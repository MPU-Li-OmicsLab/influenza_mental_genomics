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BaiduSyncdisk\005.Bioinformatics\SCI\008\influenza_mental_genomics\Manuscripts\"/>
    </mc:Choice>
  </mc:AlternateContent>
  <xr:revisionPtr revIDLastSave="0" documentId="13_ncr:1_{FA5A07D4-59A0-40F5-9847-850854E89E4A}" xr6:coauthVersionLast="47" xr6:coauthVersionMax="47" xr10:uidLastSave="{00000000-0000-0000-0000-000000000000}"/>
  <bookViews>
    <workbookView xWindow="28680" yWindow="-5670" windowWidth="38640" windowHeight="21120" xr2:uid="{00000000-000D-0000-FFFF-FFFF00000000}"/>
  </bookViews>
  <sheets>
    <sheet name="Legend" sheetId="1" r:id="rId1"/>
    <sheet name="Supplementary Table 1" sheetId="2" r:id="rId2"/>
    <sheet name="Supplementary Table 2" sheetId="3" r:id="rId3"/>
    <sheet name="Supplementary Table 3" sheetId="4" r:id="rId4"/>
    <sheet name="Supplementary Table 4" sheetId="5" r:id="rId5"/>
    <sheet name="Supplementary Table 5" sheetId="6" r:id="rId6"/>
    <sheet name="Supplementary Table 6" sheetId="7" r:id="rId7"/>
    <sheet name="Supplementary Table 7" sheetId="8" r:id="rId8"/>
    <sheet name="Supplementary Table 8" sheetId="9" r:id="rId9"/>
    <sheet name="Supplementary Table 9" sheetId="10" r:id="rId10"/>
    <sheet name="Supplementary Table 10" sheetId="11" r:id="rId11"/>
    <sheet name="Supplementary Table 11" sheetId="12" r:id="rId12"/>
    <sheet name="Supplementary Table 12" sheetId="13" r:id="rId13"/>
    <sheet name="Supplementary Table 13" sheetId="14" r:id="rId14"/>
    <sheet name="Supplementary Table 14" sheetId="15" r:id="rId15"/>
    <sheet name="Supplementary Table 15" sheetId="16" r:id="rId16"/>
    <sheet name="Supplementary Table 16" sheetId="17" r:id="rId17"/>
    <sheet name="Supplementary Table 17" sheetId="18" r:id="rId18"/>
    <sheet name="Supplementary Table 18" sheetId="19" r:id="rId19"/>
    <sheet name="Supplementary Table 19" sheetId="20" r:id="rId20"/>
    <sheet name="Supplementary Table 20" sheetId="21" r:id="rId21"/>
    <sheet name="Supplementary Table 21" sheetId="22" r:id="rId22"/>
  </sheets>
  <definedNames>
    <definedName name="_xlnm._FilterDatabase" localSheetId="2" hidden="1">'Supplementary Table 2'!$A$3:$J$38</definedName>
  </definedNames>
  <calcPr calcId="181029" forceFullCalc="1"/>
</workbook>
</file>

<file path=xl/calcChain.xml><?xml version="1.0" encoding="utf-8"?>
<calcChain xmlns="http://schemas.openxmlformats.org/spreadsheetml/2006/main">
  <c r="B23" i="1" l="1"/>
  <c r="B22" i="1"/>
  <c r="B21" i="1"/>
  <c r="B20" i="1"/>
  <c r="B19" i="1"/>
  <c r="B18" i="1"/>
  <c r="B17" i="1"/>
  <c r="B16" i="1"/>
  <c r="B15" i="1"/>
  <c r="B14" i="1"/>
  <c r="B13" i="1"/>
  <c r="B12" i="1"/>
  <c r="B11" i="1"/>
  <c r="B10" i="1"/>
  <c r="B9" i="1"/>
  <c r="B8" i="1"/>
  <c r="B7" i="1"/>
  <c r="B6" i="1"/>
  <c r="B5" i="1"/>
  <c r="B4" i="1"/>
  <c r="B3" i="1"/>
</calcChain>
</file>

<file path=xl/sharedStrings.xml><?xml version="1.0" encoding="utf-8"?>
<sst xmlns="http://schemas.openxmlformats.org/spreadsheetml/2006/main" count="16213" uniqueCount="2104">
  <si>
    <t>Contents and Legends</t>
  </si>
  <si>
    <t>Supplementary Table 1. Genome-wide association study summary statistics included in this study and their use across genetic analyses.</t>
  </si>
  <si>
    <t>Trait</t>
  </si>
  <si>
    <t>GWAS accession</t>
  </si>
  <si>
    <t>URL</t>
  </si>
  <si>
    <t>Phenotype definition</t>
  </si>
  <si>
    <t>Panel</t>
  </si>
  <si>
    <t>Population</t>
  </si>
  <si>
    <t>Consortium or cohort</t>
  </si>
  <si>
    <t>Year</t>
  </si>
  <si>
    <t>N</t>
  </si>
  <si>
    <t>Cases</t>
  </si>
  <si>
    <t>Controls</t>
  </si>
  <si>
    <t>Publisher</t>
  </si>
  <si>
    <t>PMID</t>
  </si>
  <si>
    <t>DOI</t>
  </si>
  <si>
    <t>Analyses</t>
  </si>
  <si>
    <t>Influenza</t>
  </si>
  <si>
    <t>J10_INFLUENZA</t>
  </si>
  <si>
    <t>https://storage.googleapis.com/finngen-public-data-r12/summary_stats/release/finngen_R12_J10_INFLUENZA.gz</t>
  </si>
  <si>
    <t>Primary</t>
  </si>
  <si>
    <t>European</t>
  </si>
  <si>
    <t>FinnGen</t>
  </si>
  <si>
    <t>Nature</t>
  </si>
  <si>
    <t>10.1038/s41586-022-05473-8</t>
  </si>
  <si>
    <t>LDSC, MiXeR, GenomicSEM, GWAS-by-subtraction, mtCOJO, 2SMR, MRlap, MVMR (primary), MVMR (GSCAN), MVMR (extended), coloc/SMR/SuSiE</t>
  </si>
  <si>
    <t>GCST90432107</t>
  </si>
  <si>
    <t>https://www.ebi.ac.uk/gwas/studies/GCST90432107</t>
  </si>
  <si>
    <t>Replication</t>
  </si>
  <si>
    <t>Multi-ancestry (86.0% European)</t>
  </si>
  <si>
    <t>AncestryDNA</t>
  </si>
  <si>
    <t>Nature Genetics</t>
  </si>
  <si>
    <t>10.1038/s41588-024-01844-1</t>
  </si>
  <si>
    <t>LDSC, MiXeR, GWAS-by-subtraction, mtCOJO, 2SMR, MVMR (primary), MVMR (extended), coloc/SMR/SuSiE</t>
  </si>
  <si>
    <t>Alcohol dependence</t>
  </si>
  <si>
    <t>GCST90435890</t>
  </si>
  <si>
    <t>https://www.ebi.ac.uk/gwas/studies/GCST90435890</t>
  </si>
  <si>
    <t>Alcohol-related disorders (PheCode 317)</t>
  </si>
  <si>
    <t>UK Biobank</t>
  </si>
  <si>
    <t>10.1038/s41588-018-0184-y</t>
  </si>
  <si>
    <t>LDSC, MiXeR, GenomicSEM, GWAS-by-subtraction, mtCOJO, 2SMR, MRlap, MVMR (primary), MVMR (extended)</t>
  </si>
  <si>
    <t>GCST90691955</t>
  </si>
  <si>
    <t>https://www.ebi.ac.uk/gwas/studies/GCST90691955</t>
  </si>
  <si>
    <t>10.1038/s41588-025-02335-7</t>
  </si>
  <si>
    <t>LDSC, MiXeR, mtCOJO, 2SMR, MRlap, MVMR (primary)</t>
  </si>
  <si>
    <t>Alzheimers disease</t>
  </si>
  <si>
    <t>GCST90449055</t>
  </si>
  <si>
    <t>https://www.ebi.ac.uk/gwas/studies/GCST90449055</t>
  </si>
  <si>
    <t>Alzheimer's disease (MTAG)</t>
  </si>
  <si>
    <t>PGC-ALZ, IGAP, ADSP, UK Biobank</t>
  </si>
  <si>
    <t>Nature Communications</t>
  </si>
  <si>
    <t>10.1038/s41467-024-53452-6</t>
  </si>
  <si>
    <t>LDSC, MiXeR, GenomicSEM, GWAS-by-subtraction, mtCOJO, 2SMR, MRlap</t>
  </si>
  <si>
    <t>GCST90027158</t>
  </si>
  <si>
    <t>https://www.ebi.ac.uk/gwas/studies/GCST90027158</t>
  </si>
  <si>
    <t>Alzheimer's disease</t>
  </si>
  <si>
    <t>EADB</t>
  </si>
  <si>
    <t>10.1038/s41588-022-01024-z</t>
  </si>
  <si>
    <t>LDSC, MiXeR, mtCOJO, 2SMR, MRlap</t>
  </si>
  <si>
    <t>Anorexia nervosa</t>
  </si>
  <si>
    <t>an_be2026</t>
  </si>
  <si>
    <t>https://figshare.com/articles/dataset/an_be2026/32588628</t>
  </si>
  <si>
    <t>PGC-ED, Estonian Biobank (EstBB)</t>
  </si>
  <si>
    <t>Nature Mental Health</t>
  </si>
  <si>
    <t>10.1101/2025.01.31.25321397</t>
  </si>
  <si>
    <t>an2019</t>
  </si>
  <si>
    <t>https://figshare.com/articles/dataset/an2019/14671980</t>
  </si>
  <si>
    <t>PGC-ED</t>
  </si>
  <si>
    <t>The American Journal of Psychiatry</t>
  </si>
  <si>
    <t>10.1038/s41588-019-0439-2</t>
  </si>
  <si>
    <t>Anxiety disorder</t>
  </si>
  <si>
    <t>anx2026</t>
  </si>
  <si>
    <t>https://figshare.com/articles/dataset/anx2026/31389910</t>
  </si>
  <si>
    <t>PGC, 23andMe, Million Veteran Program (MVP), FinnGen, UK Biobank, iPSYCH</t>
  </si>
  <si>
    <t>10.1038/s41588-025-02485-8</t>
  </si>
  <si>
    <t>GCST90225527</t>
  </si>
  <si>
    <t>https://www.ebi.ac.uk/gwas/studies/GCST90225527</t>
  </si>
  <si>
    <t>ICD10 F41.9: Anxiety disorder, unspecified</t>
  </si>
  <si>
    <t>Genes, Brain, and Behavior</t>
  </si>
  <si>
    <t>10.1111/gbb.12851</t>
  </si>
  <si>
    <t>Attention deficit hyperactivity disorder</t>
  </si>
  <si>
    <t>ADHD2022</t>
  </si>
  <si>
    <t>https://doi.org/10.6084/m9.figshare.22564390</t>
  </si>
  <si>
    <t>PGC, iPSYCH, deCODE</t>
  </si>
  <si>
    <t>10.1038/s41588-022-01285-8</t>
  </si>
  <si>
    <t>GCST90275147</t>
  </si>
  <si>
    <t>https://www.ebi.ac.uk/gwas/studies/GCST90275147</t>
  </si>
  <si>
    <t>Attention deficit hyperactivity disorder (adjusted for age, sex)</t>
  </si>
  <si>
    <t>iPSYCH</t>
  </si>
  <si>
    <t>10.1038/s41467-023-41210-z</t>
  </si>
  <si>
    <t>Autism spectrum disorder</t>
  </si>
  <si>
    <t>asd2019</t>
  </si>
  <si>
    <t>https://figshare.com/articles/dataset/asd2019/14671989</t>
  </si>
  <si>
    <t>iPSYCH, PGC, BUPGEN, deCODE, 23andMe</t>
  </si>
  <si>
    <t>10.1038/s41588-019-0344-8</t>
  </si>
  <si>
    <t>GCST010514</t>
  </si>
  <si>
    <t>https://www.ebi.ac.uk/gwas/studies/GCST010514</t>
  </si>
  <si>
    <t>SPARK, iPSYCH, PGC</t>
  </si>
  <si>
    <t>Translational Psychiatry</t>
  </si>
  <si>
    <t>10.1038/s41398-020-00953-9</t>
  </si>
  <si>
    <t>Bipolar disorder</t>
  </si>
  <si>
    <t>ieu-b-5110</t>
  </si>
  <si>
    <t>https://opengwas.io/datasets/ieu-b-5110</t>
  </si>
  <si>
    <t>Bipolar disorder bip2021</t>
  </si>
  <si>
    <t>PGC, iPSYCH, UK Biobank, deCODE, Estonian Biobank, HUNT</t>
  </si>
  <si>
    <t>10.1038/s41588-021-00857-4</t>
  </si>
  <si>
    <t>bip2021</t>
  </si>
  <si>
    <t>https://figshare.com/articles/dataset/PGC3_bipolar_disorder_GWAS_summary_statistics/14102594</t>
  </si>
  <si>
    <t>PGC</t>
  </si>
  <si>
    <t>Major depressive disorder</t>
  </si>
  <si>
    <t>GCST005839</t>
  </si>
  <si>
    <t>https://www.ebi.ac.uk/gwas/studies/GCST005839</t>
  </si>
  <si>
    <t>Depression</t>
  </si>
  <si>
    <t>PGC-MDD</t>
  </si>
  <si>
    <t>10.1038/s41588-018-0090-3</t>
  </si>
  <si>
    <t>GCST009979</t>
  </si>
  <si>
    <t>https://www.ebi.ac.uk/gwas/studies/GCST009979</t>
  </si>
  <si>
    <t>Molecular Psychiatry</t>
  </si>
  <si>
    <t>10.1038/s41380-019-0546-6</t>
  </si>
  <si>
    <t>Obsessive-compulsive disorder</t>
  </si>
  <si>
    <t>ieu-a-1189</t>
  </si>
  <si>
    <t>https://opengwas.io/datasets/ieu-a-1189</t>
  </si>
  <si>
    <t>Obsessive Compulsive Disorder</t>
  </si>
  <si>
    <t>10.1038/mp.2017.154</t>
  </si>
  <si>
    <t>ocd2018</t>
  </si>
  <si>
    <t>https://figshare.com/articles/dataset/ocd2018/14672103</t>
  </si>
  <si>
    <t>OCD</t>
  </si>
  <si>
    <t>IOCDF-GC, OCGAS</t>
  </si>
  <si>
    <t>Opioid medication use</t>
  </si>
  <si>
    <t>GCST90018994</t>
  </si>
  <si>
    <t>https://www.ebi.ac.uk/gwas/studies/GCST90018994</t>
  </si>
  <si>
    <t>Medication use (opioids)</t>
  </si>
  <si>
    <t>UK Biobank, FinnGen</t>
  </si>
  <si>
    <t>10.1038/s41588-021-00931-x</t>
  </si>
  <si>
    <t>LDSC, MiXeR, GenomicSEM, GWAS-by-subtraction, mtCOJO, 2SMR, MRlap, MVMR (primary), MVMR (extended), 2SMR (sensitivity)</t>
  </si>
  <si>
    <t>Opiate dependence</t>
  </si>
  <si>
    <t>OUD2022</t>
  </si>
  <si>
    <t>https://medicine.yale.edu/lab/gelernter/stats/</t>
  </si>
  <si>
    <t>opioid use disorder</t>
  </si>
  <si>
    <t>Million Veteran Program (MVP), Psychiatric Genomics Consortium (PGC), iPSYCH, FinnGen, Partners Biobank, BioVU, Yale-Penn 3</t>
  </si>
  <si>
    <t>10.1038/s41380-022-01709-1</t>
  </si>
  <si>
    <t>Parkinson disease</t>
  </si>
  <si>
    <t>GCST009324</t>
  </si>
  <si>
    <t>https://www.ebi.ac.uk/gwas/studies/GCST009324</t>
  </si>
  <si>
    <t>Parkinson's disease</t>
  </si>
  <si>
    <t>IPDGC</t>
  </si>
  <si>
    <t>The Lancet Neurology</t>
  </si>
  <si>
    <t>10.1016/S1474-4422(19)30320-5</t>
  </si>
  <si>
    <t>ieu-b-7</t>
  </si>
  <si>
    <t>https://opengwas.io/datasets/ieu-b-7</t>
  </si>
  <si>
    <t>Post traumatic stress disorder</t>
  </si>
  <si>
    <t>ptsd2024</t>
  </si>
  <si>
    <t>https://figshare.com/articles/dataset/ptsd2024/26349322?file=47850151</t>
  </si>
  <si>
    <t>PGC-PTSD</t>
  </si>
  <si>
    <t>10.1038/s41588-024-01707-9</t>
  </si>
  <si>
    <t>ptsd2019</t>
  </si>
  <si>
    <t>https://figshare.com/articles/dataset/ptsd2019/14672133</t>
  </si>
  <si>
    <t>10.1038/s41467-019-12576-w</t>
  </si>
  <si>
    <t>Schizophrenia</t>
  </si>
  <si>
    <t>ieu-b-5102</t>
  </si>
  <si>
    <t>https://opengwas.io/datasets/ieu-b-5102</t>
  </si>
  <si>
    <t>PGC-SCZ</t>
  </si>
  <si>
    <t>10.1038/s41586-022-04434-5</t>
  </si>
  <si>
    <t>GCST90275158</t>
  </si>
  <si>
    <t>https://www.ebi.ac.uk/gwas/studies/GCST90275158</t>
  </si>
  <si>
    <t>Sleep disorder</t>
  </si>
  <si>
    <t>GCST90691931</t>
  </si>
  <si>
    <t>https://www.ebi.ac.uk/gwas/studies/GCST90691931</t>
  </si>
  <si>
    <t>ICD10 G47: Sleep disorders</t>
  </si>
  <si>
    <t>GCST90473333</t>
  </si>
  <si>
    <t>https://www.ebi.ac.uk/gwas/studies/GCST90473333</t>
  </si>
  <si>
    <t>UK Biobank Whole-Genome Sequencing Consortium</t>
  </si>
  <si>
    <t>10.1038/s41586-025-09272-9</t>
  </si>
  <si>
    <t>Suicide attempt</t>
  </si>
  <si>
    <t>sui2023</t>
  </si>
  <si>
    <t>https://pgcdataaccess.formstack.com/forms/isgc_data_access_sui</t>
  </si>
  <si>
    <t>suicide attempt</t>
  </si>
  <si>
    <t>International Suicide Genetics Consortium (ISGC), VA Million Veteran Program (MVP)</t>
  </si>
  <si>
    <t>American Journal of Psychiatry</t>
  </si>
  <si>
    <t>10.1176/appi.ajp.21121266</t>
  </si>
  <si>
    <t>sui2023_noUKB</t>
  </si>
  <si>
    <t>Tobacco use disorder</t>
  </si>
  <si>
    <t>GCST90691929</t>
  </si>
  <si>
    <t>https://www.ebi.ac.uk/gwas/studies/GCST90691929</t>
  </si>
  <si>
    <t>ICD10 F17: Mental and behavioural disorders due to use of tobacco</t>
  </si>
  <si>
    <t>GCST90693050</t>
  </si>
  <si>
    <t>https://www.ebi.ac.uk/gwas/studies/GCST90693050</t>
  </si>
  <si>
    <t>Tobacco use disorder (PheCode 318)</t>
  </si>
  <si>
    <t>LDSC, MiXeR, mtCOJO, 2SMR, MRlap, MVMR (primary), MVMR (extended)</t>
  </si>
  <si>
    <t>Tourette syndrome</t>
  </si>
  <si>
    <t>ts2019</t>
  </si>
  <si>
    <t>https://figshare.com/articles/dataset/ts2019/14672232</t>
  </si>
  <si>
    <t>the American journal of psychiatry</t>
  </si>
  <si>
    <t>10.1176/appi.ajp.2018.18070857</t>
  </si>
  <si>
    <t>Angina pectoris</t>
  </si>
  <si>
    <t>GCST90018793</t>
  </si>
  <si>
    <t>https://www.ebi.ac.uk/gwas/studies/GCST90018793</t>
  </si>
  <si>
    <t>Other</t>
  </si>
  <si>
    <t>GenomicSEM, GWAS-by-subtraction</t>
  </si>
  <si>
    <t>Annual healthcare cost</t>
  </si>
  <si>
    <t>GCST90292604</t>
  </si>
  <si>
    <t>https://www.ebi.ac.uk/gwas/studies/GCST90292604</t>
  </si>
  <si>
    <t>NA</t>
  </si>
  <si>
    <t>10.1038/s41467-023-41394-4</t>
  </si>
  <si>
    <t>GenomicSEM, GWAS-by-subtraction, mtCOJO, MVMR (primary)</t>
  </si>
  <si>
    <t>Asthma</t>
  </si>
  <si>
    <t>GCST008916</t>
  </si>
  <si>
    <t>https://www.ebi.ac.uk/gwas/studies/GCST008916</t>
  </si>
  <si>
    <t>European Respiratory Journal</t>
  </si>
  <si>
    <t>10.1038/s41588-018-0121-6</t>
  </si>
  <si>
    <t>MVMR (primary)</t>
  </si>
  <si>
    <t>GCST90652530</t>
  </si>
  <si>
    <t>https://www.ebi.ac.uk/gwas/studies/GCST90652530</t>
  </si>
  <si>
    <t>FinnGen, UK Biobank</t>
  </si>
  <si>
    <t>10.1038/s41467-025-64847-4</t>
  </si>
  <si>
    <t>Body mass index</t>
  </si>
  <si>
    <t>GCST009004</t>
  </si>
  <si>
    <t>https://www.ebi.ac.uk/gwas/studies/GCST009004</t>
  </si>
  <si>
    <t>GIANT, UK Biobank</t>
  </si>
  <si>
    <t>Human Molecular Genetics</t>
  </si>
  <si>
    <t>10.1093/hmg/ddy271</t>
  </si>
  <si>
    <t>GenomicSEM, GWAS-by-subtraction, MVMR (primary), MVMR (GSCAN), MVMR (extended)</t>
  </si>
  <si>
    <t>Chronic obstructive pulmonary disease</t>
  </si>
  <si>
    <t>GCST90399694</t>
  </si>
  <si>
    <t>https://www.ebi.ac.uk/gwas/studies/GCST90399694</t>
  </si>
  <si>
    <t>Global Biobank Meta-analysis Initiative (GBMI)</t>
  </si>
  <si>
    <t>Cell Genomics</t>
  </si>
  <si>
    <t>10.1016/j.xgen.2022.100192</t>
  </si>
  <si>
    <t>Cigarettes per day</t>
  </si>
  <si>
    <t>ieu-b-25</t>
  </si>
  <si>
    <t>https://opengwas.io/datasets/ieu-b-25</t>
  </si>
  <si>
    <t>Cigarettes per Day</t>
  </si>
  <si>
    <t>GWAS and Sequencing Consortium of Alcohol and Nicotine Use (GSCAN)</t>
  </si>
  <si>
    <t>10.1038/s41588-019-0527-0</t>
  </si>
  <si>
    <t>MVMR (GSCAN)</t>
  </si>
  <si>
    <t>Coronary artery disease</t>
  </si>
  <si>
    <t>GCST90132314</t>
  </si>
  <si>
    <t>https://www.ebi.ac.uk/gwas/studies/GCST90132314</t>
  </si>
  <si>
    <t>CARDIoGRAMplusC4D</t>
  </si>
  <si>
    <t>10.1038/s41588-022-01233-6</t>
  </si>
  <si>
    <t>COVID-19</t>
  </si>
  <si>
    <t>GCST011073</t>
  </si>
  <si>
    <t>https://www.ebi.ac.uk/gwas/studies/GCST011073</t>
  </si>
  <si>
    <t>COVID-19 (RELEASE 5)</t>
  </si>
  <si>
    <t>COVID-19 Host Genetics Initiative (HGI)</t>
  </si>
  <si>
    <t xml:space="preserve">European Journal of Human Genetics </t>
  </si>
  <si>
    <t>10.1038/s41431-020-0636-6</t>
  </si>
  <si>
    <t>GCST011081</t>
  </si>
  <si>
    <t>https://www.ebi.ac.uk/gwas/studies/GCST011081</t>
  </si>
  <si>
    <t>COVID-19 (hospitalized vs population) RELEASE 5</t>
  </si>
  <si>
    <t>GenomicSEM, GWAS-by-subtraction, MVMR (extended)</t>
  </si>
  <si>
    <t>GCST90013414</t>
  </si>
  <si>
    <t>https://www.ebi.ac.uk/gwas/studies/GCST90013414</t>
  </si>
  <si>
    <t>COVID-19 (critical illness vs population)</t>
  </si>
  <si>
    <t>GenOMICC</t>
  </si>
  <si>
    <t>10.1038/s41586-020-2725-y</t>
  </si>
  <si>
    <t>MVMR (extended)</t>
  </si>
  <si>
    <t>COVID19_HGI_B2</t>
  </si>
  <si>
    <t>https://www.covid19hg.org/results/r5/</t>
  </si>
  <si>
    <t>European Journal of Human Genetics</t>
  </si>
  <si>
    <t>32404885</t>
  </si>
  <si>
    <t>MVMR (GSCAN), coloc/SMR/SuSiE</t>
  </si>
  <si>
    <t>C-reactive protein levels</t>
  </si>
  <si>
    <t>GCST90029070</t>
  </si>
  <si>
    <t>https://www.ebi.ac.uk/gwas/studies/GCST90029070</t>
  </si>
  <si>
    <t>UK Biobank, CHARGE</t>
  </si>
  <si>
    <t>10.1038/s41467-022-29688-5</t>
  </si>
  <si>
    <t>Educational attainment</t>
  </si>
  <si>
    <t>GCST90566697</t>
  </si>
  <si>
    <t>https://www.ebi.ac.uk/gwas/studies/GCST90566697</t>
  </si>
  <si>
    <t>Educational attainment (MTAG)</t>
  </si>
  <si>
    <t>UK Biobank, Social Science Genetic Association Consortium (SSGAC)</t>
  </si>
  <si>
    <t>10.1038/s41380-025-03047-4</t>
  </si>
  <si>
    <t>Psychiatric-specialist help-seeking</t>
  </si>
  <si>
    <t>GCST90042862</t>
  </si>
  <si>
    <t>https://www.ebi.ac.uk/gwas/studies/GCST90042862</t>
  </si>
  <si>
    <t>Seen psychiatrist for nerves anxiety tension or depression (UKB data field 2100)</t>
  </si>
  <si>
    <t>10.1038/s41588-021-00954-4</t>
  </si>
  <si>
    <t>GenomicSEM, GWAS-by-subtraction, mtCOJO</t>
  </si>
  <si>
    <t>Hospital contact for infections</t>
  </si>
  <si>
    <t>GCST90270866</t>
  </si>
  <si>
    <t>https://www.ebi.ac.uk/gwas/studies/GCST90270866</t>
  </si>
  <si>
    <t>Any infection (hospital admission)</t>
  </si>
  <si>
    <t>International Journal of Epidemiology</t>
  </si>
  <si>
    <t>10.1093/ije/dyad010</t>
  </si>
  <si>
    <t>Hypertension</t>
  </si>
  <si>
    <t>GCST90038604</t>
  </si>
  <si>
    <t>https://www.ebi.ac.uk/gwas/studies/GCST90038604</t>
  </si>
  <si>
    <t>Nature Aging</t>
  </si>
  <si>
    <t>10.1038/s43587-021-00051-5</t>
  </si>
  <si>
    <t>Influenza and pneumonia</t>
  </si>
  <si>
    <t>J10_INFLUPNEU</t>
  </si>
  <si>
    <t>https://storage.googleapis.com/finngen-public-data-r12/summary_stats/release/finngen_R12_J10_INFLUPNEU.gz</t>
  </si>
  <si>
    <t>MVMR (primary), MVMR (GSCAN)</t>
  </si>
  <si>
    <t>GCST90473653</t>
  </si>
  <si>
    <t>https://www.ebi.ac.uk/gwas/studies/GCST90473653</t>
  </si>
  <si>
    <t>ICD10 J09-J18: Influenza and pneumonia</t>
  </si>
  <si>
    <t>Ischemic stroke</t>
  </si>
  <si>
    <t>GCST90104540</t>
  </si>
  <si>
    <t>https://www.ebi.ac.uk/gwas/studies/GCST90104540</t>
  </si>
  <si>
    <t>MEGASTROKE</t>
  </si>
  <si>
    <t>10.1038/s41586-022-05165-3</t>
  </si>
  <si>
    <t>Myocardial infarction</t>
  </si>
  <si>
    <t>GCST90038610</t>
  </si>
  <si>
    <t>https://www.ebi.ac.uk/gwas/studies/GCST90038610</t>
  </si>
  <si>
    <t>Neutrophil count</t>
  </si>
  <si>
    <t>ieu-b-34</t>
  </si>
  <si>
    <t>https://opengwas.io/datasets/ieu-b-34</t>
  </si>
  <si>
    <t>neutrophil cell count</t>
  </si>
  <si>
    <t>Blood Cell Consortium</t>
  </si>
  <si>
    <t>Cell</t>
  </si>
  <si>
    <t>10.1016/j.cell.2020.06.045</t>
  </si>
  <si>
    <t>Number of illnesses</t>
  </si>
  <si>
    <t>GCST90691745</t>
  </si>
  <si>
    <t>https://www.ebi.ac.uk/gwas/studies/GCST90691745</t>
  </si>
  <si>
    <t>Number of self-reported non-cancer illnesses (UKB data field 135)</t>
  </si>
  <si>
    <t>Pneumonia</t>
  </si>
  <si>
    <t>ieu-b-4976</t>
  </si>
  <si>
    <t>https://opengwas.io/datasets/ieu-b-4976</t>
  </si>
  <si>
    <t>10.1038/s41586-018-0579-z</t>
  </si>
  <si>
    <t>GCST90624053</t>
  </si>
  <si>
    <t>https://www.ebi.ac.uk/gwas/studies/GCST90624053</t>
  </si>
  <si>
    <t>10.1038/s41588-025-02269-0</t>
  </si>
  <si>
    <t>GCST90270869</t>
  </si>
  <si>
    <t>https://www.ebi.ac.uk/gwas/studies/GCST90270869</t>
  </si>
  <si>
    <t>Pneumonia (hospital admission)</t>
  </si>
  <si>
    <t>J10_PNEUMONIA</t>
  </si>
  <si>
    <t>https://storage.googleapis.com/finngen-public-data-r12/summary_stats/release/finngen_R12_J10_PNEUMONIA.gz</t>
  </si>
  <si>
    <t>Smoking initiation</t>
  </si>
  <si>
    <t>ieu-b-4877</t>
  </si>
  <si>
    <t>https://opengwas.io/datasets/ieu-b-4877</t>
  </si>
  <si>
    <t>smoking initiation</t>
  </si>
  <si>
    <t>Smoking status</t>
  </si>
  <si>
    <t>GCST007327</t>
  </si>
  <si>
    <t>https://www.ebi.ac.uk/gwas/studies/GCST007327</t>
  </si>
  <si>
    <t>Smoking status (ever vs never smokers)</t>
  </si>
  <si>
    <t>Social Science Genetic Association Consortium (SSGAC)</t>
  </si>
  <si>
    <t>10.1038/s41588-019-0409-3</t>
  </si>
  <si>
    <t>GenomicSEM, GWAS-by-subtraction, MVMR (primary)</t>
  </si>
  <si>
    <t>GCST90691956</t>
  </si>
  <si>
    <t>https://www.ebi.ac.uk/gwas/studies/GCST90691956</t>
  </si>
  <si>
    <t>Type 2 diabetes</t>
  </si>
  <si>
    <t>GCST90029024</t>
  </si>
  <si>
    <t>https://www.ebi.ac.uk/gwas/studies/GCST90029024</t>
  </si>
  <si>
    <t>10.1038/s41588-018-0054-x</t>
  </si>
  <si>
    <t>Upper respiratory tract infection</t>
  </si>
  <si>
    <t>GCST90281181</t>
  </si>
  <si>
    <t>https://www.ebi.ac.uk/gwas/studies/GCST90281181</t>
  </si>
  <si>
    <t>PloS Medicine</t>
  </si>
  <si>
    <t>10.1371/journal.pmed.1004174</t>
  </si>
  <si>
    <t>GCST90473682</t>
  </si>
  <si>
    <t>https://www.ebi.ac.uk/gwas/studies/GCST90473682</t>
  </si>
  <si>
    <t>Other diseases of upper respiratory tract</t>
  </si>
  <si>
    <t>Note: This table catalogues every GWAS summary statistics dataset used in this study. Panel indicates the role of each dataset: Primary, main analysis panel (European-ancestry psychiatric and neurodevelopmental disorder GWAS); Replication, alternative GWAS panel (not necessarily independent); Other, datasets outside the two panels that entered specific analyses as covariates, comparator or negative-control outcomes. Two influenza phenotype definitions were used as the exposure: J10_INFLUENZA (FinnGen, ICD-10 code J10; primary) and GCST90432107 (Kosmicki et al.; replication). The Analyses column lists the frameworks each dataset entered: LDSC, LD-score regression; MiXeR, polygenic mixture-model overlap; GenomicSEM, genomic structural equation modelling; GWAS-by-subtraction, residual influenza GWAS after removing genetic components of psychiatric and control traits; mtCOJO, multi-trait conditional and joint analysis conditioning the influenza GWAS on healthcare-contact and distress covariates; 2SMR, two-sample Mendelian randomization; MRlap, Mendelian randomization corrected for latent heritable confounding and sample overlap; MVMR, multivariable Mendelian randomization (primary models, GSCAN smoking phenotypes, and extended infectious-disease outcomes); coloc/SMR/SuSiE, colocalization, summary-data-based Mendelian randomization and sum-of-single-effects fine-mapping at the ST6GAL1 and B3GALT5 loci. Sample size (N), cases and controls are as reported by the source study. NA, not reported or not applicable. Abbreviations: GWAS, genome-wide association study; ICD, International Classification of Diseases; SMR, summary-data-based Mendelian randomization; SuSiE, sum of single effects.</t>
  </si>
  <si>
    <t>Supplementary Table 2. Observed-scale SNP heritability estimated by LD-score regression for the GWAS datasets in the primary and replication analysis panels.</t>
  </si>
  <si>
    <t>SNP h2</t>
  </si>
  <si>
    <t>SE</t>
  </si>
  <si>
    <t>h2 z</t>
  </si>
  <si>
    <t>LDSC intercept</t>
  </si>
  <si>
    <t>Intercept SE</t>
  </si>
  <si>
    <t>Lambda-GC</t>
  </si>
  <si>
    <t>QC passed (z &gt; 4)</t>
  </si>
  <si>
    <t>Yes</t>
  </si>
  <si>
    <t>Attention-deficit/hyperactivity disorder</t>
  </si>
  <si>
    <t>Post-traumatic stress disorder</t>
  </si>
  <si>
    <t>Note: SNP heritability (h2) on the observed scale was estimated for each GWAS dataset by LD-score regression using HapMap3 SNPs and a European linkage disequilibrium reference panel. The heritability z statistic is h2 divided by its standard error; QC passed indicates z &gt; 4, the conventional threshold for sufficient polygenic signal precision. Lambda-GC is the genomic control inflation factor of the summary statistics, and the LDSC intercept estimates inflation from population stratification and cryptic relatedness, with values near 1 indicating minimal confounding. The two influenza phenotype definitions are J10_INFLUENZA (FinnGen, ICD-10 code J10; primary exposure) and GCST90432107 (Kosmicki et al.; replication exposure). GCST90432107 was a multi-ancestry meta-analysis (86.0% European ancestry); all other datasets in this table were European-ancestry GWAS. NA, not applicable. Abbreviations: GWAS, genome-wide association study; LD, linkage disequilibrium; LDSC, LD-score regression; SE, standard error.</t>
  </si>
  <si>
    <t>Supplementary Table 3. Cross-trait genetic correlations between two influenza GWAS definitions and the psychiatric disorder GWAS datasets in the primary and replication panels.</t>
  </si>
  <si>
    <t>Influenza GWAS</t>
  </si>
  <si>
    <t>rg</t>
  </si>
  <si>
    <t>z</t>
  </si>
  <si>
    <t>P</t>
  </si>
  <si>
    <t>FDR</t>
  </si>
  <si>
    <t>gcov intercept</t>
  </si>
  <si>
    <t>Note: Genetic correlations (rg) between each influenza GWAS and each disorder GWAS were estimated by cross-trait LD-score regression using HapMap3 SNPs and a European linkage disequilibrium reference panel; rg is on the observed scale. The influenza exposures are J10_INFLUENZA (FinnGen, ICD-10 code J10; primary) and GCST90432107 (Kosmicki et al.; replication). P values are two-sided, derived from z = rg / SE under a standard normal distribution; FDR was computed by the Benjamini-Hochberg procedure within each exposure panel. The gcov intercept is the cross-trait LD-score regression intercept, which estimates genetic covariance attributable to sample overlap and shared stratification; values near 0 indicate negligible overlap. GCST90432107 was a multi-ancestry meta-analysis (86.0% European ancestry); all other datasets in this table were European-ancestry GWAS. NA, not applicable. Abbreviations: FDR, false discovery rate; GWAS, genome-wide association study; LD, linkage disequilibrium; SE, standard error.</t>
  </si>
  <si>
    <t>Supplementary Table 4. Bivariate MiXeR estimates of polygenic overlap between influenza and the psychiatric disorder GWAS datasets.</t>
  </si>
  <si>
    <t>Influenza GWAS accession</t>
  </si>
  <si>
    <t>Disorder GWAS accession</t>
  </si>
  <si>
    <t>Influenza h2 (mean)</t>
  </si>
  <si>
    <t>Influenza h2 (SD)</t>
  </si>
  <si>
    <t>Trait h2 (mean)</t>
  </si>
  <si>
    <t>Trait h2 (SD)</t>
  </si>
  <si>
    <t>rg (mean)</t>
  </si>
  <si>
    <t>rg (SD)</t>
  </si>
  <si>
    <t>Influenza-specific SNPs
(mean)</t>
  </si>
  <si>
    <t>Influenza-specific SNPs
(SD)</t>
  </si>
  <si>
    <t>Trait-specific SNPs
(mean)</t>
  </si>
  <si>
    <t>Trait-specific SNPs
(SD)</t>
  </si>
  <si>
    <t>Shared SNPs
(mean)</t>
  </si>
  <si>
    <t>Shared SNPs
(SD)</t>
  </si>
  <si>
    <t>Dice
(mean)</t>
  </si>
  <si>
    <t>Dice
(SD)</t>
  </si>
  <si>
    <t>Delta AIC</t>
  </si>
  <si>
    <t>Delta BIC</t>
  </si>
  <si>
    <t>Note: Bivariate causal mixture model (MiXeR) estimates of polygenic overlap between each influenza GWAS and each disorder GWAS, from 20 replicate runs. Influenza h2 and Trait h2 are SNP-based heritabilities on the liability scale for influenza (trait 1) and the disorder (trait 2), reported as mean ± SD across replicates. rg is the estimated genetic correlation. SNP counts are the estimated numbers of trait-influenza-specific (nc1), disorder-specific (nc2) and shared (nc12) causal variants at a per-SNP probability threshold of 1e-9; these are raw variant counts (the corresponding Venn diagrams in the main figures display them scaled per 1,000 variants). Dice is the Dice coefficient quantifying the proportion of shared causal variants. Delta AIC and Delta BIC are the differences in Akaike and Bayesian information criteria between the full bivariate model and the best-fitting nested model (positive values support the full model with non-zero genetic overlap, as encoded by the native best_vs_min_AIC/BIC fields). GCST90432107 was a multi-ancestry meta-analysis (86.0% European ancestry); all other datasets in this table were European-ancestry GWAS. Abbreviations: AIC, Akaike information criterion; BIC, Bayesian information criterion; GWAS, genome-wide association study; h2, SNP-based heritability; SD, standard deviation; SNP, single-nucleotide polymorphism.</t>
  </si>
  <si>
    <t>Supplementary Table 5. Model fit statistics for the genomic structural equation models relating influenza to the healthcare-contact and infection-specific factors.</t>
  </si>
  <si>
    <t>Model</t>
  </si>
  <si>
    <t>Chi-square</t>
  </si>
  <si>
    <t>df</t>
  </si>
  <si>
    <t>AIC</t>
  </si>
  <si>
    <t>Delta AIC vs best</t>
  </si>
  <si>
    <t>CFI</t>
  </si>
  <si>
    <t>SRMR</t>
  </si>
  <si>
    <t>Single factor (M0)</t>
  </si>
  <si>
    <t>Correlated two-factor (M1)</t>
  </si>
  <si>
    <t>Influenza as infection indicator (M2a)</t>
  </si>
  <si>
    <t>Influenza as healthcare-contact indicator (M2b)</t>
  </si>
  <si>
    <t>Influenza regressed on both factors (M2c)</t>
  </si>
  <si>
    <t>Orthogonal bifactor (M2d)</t>
  </si>
  <si>
    <t>Note: Model fit statistics for the confirmatory factor models of the genetic covariance structure among the indicator traits, estimated by genomic structural equation modelling with diagonally weighted least squares. M0, single general factor; M1, correlated two-factor model (healthcare-contact factor F_H and infection-specific factor F_I); M2a-M2d, influenza placement variants on the M1 structure, with influenza specified as an indicator of F_I (M2a), of F_H (M2b), regressed on both factors (M2c), or modelled as an outcome of an orthogonal bifactor structure (M2d). Delta AIC vs best is the difference in Akaike information criterion relative to the best-fitting placement model; smaller values indicate better fit. CFI, comparative fit index; SRMR, standardized root mean square residual. In M1, the genetic correlation between F_H and F_I was 0.8898 (SE = 0.0898, P = 3.850 × 10-23). NA, not applicable. Abbreviations: AIC, Akaike information criterion; CFI, comparative fit index; SRMR, standardized root mean square residual.</t>
  </si>
  <si>
    <t>Supplementary Table 6. Standardized indicator loadings and influenza structural coefficients in the orthogonal bifactor model (M2d).</t>
  </si>
  <si>
    <t>Block</t>
  </si>
  <si>
    <t>Factor</t>
  </si>
  <si>
    <t>Indicator or outcome</t>
  </si>
  <si>
    <t>Estimate</t>
  </si>
  <si>
    <t>Significance</t>
  </si>
  <si>
    <t>R2 contribution</t>
  </si>
  <si>
    <t>Indicator loadings</t>
  </si>
  <si>
    <t>G (general)</t>
  </si>
  <si>
    <t>Help-seeking from a GP</t>
  </si>
  <si>
    <t>***</t>
  </si>
  <si>
    <t>1.436 × 10^-394</t>
  </si>
  <si>
    <t>4.147 × 10^-402</t>
  </si>
  <si>
    <t>6.646 × 10^-454</t>
  </si>
  <si>
    <t>COVID-19 (hospitalized)</t>
  </si>
  <si>
    <t>COVID-19 (susceptibility)</t>
  </si>
  <si>
    <t>F_Is (infection-specific)</t>
  </si>
  <si>
    <t>Influenza structural paths</t>
  </si>
  <si>
    <t>Influenza (clinically ascertained)</t>
  </si>
  <si>
    <t>Supplementary Table 7. Associations of psychiatric disorder outcomes with the general and infection-specific factors in the bifactor outcome model (M3b) and sensitivity excluding COVID-19 indicators.</t>
  </si>
  <si>
    <t>Outcome</t>
  </si>
  <si>
    <t>G beta</t>
  </si>
  <si>
    <t>G P</t>
  </si>
  <si>
    <t>F_Is beta</t>
  </si>
  <si>
    <t>F_Is SE</t>
  </si>
  <si>
    <t>F_Is P</t>
  </si>
  <si>
    <t>F_Is FDR</t>
  </si>
  <si>
    <t>Pathway</t>
  </si>
  <si>
    <t>Main F_Is beta (SE)</t>
  </si>
  <si>
    <t>Main FDR</t>
  </si>
  <si>
    <t>No-COVID F_Is beta (SE)</t>
  </si>
  <si>
    <t>No-COVID FDR</t>
  </si>
  <si>
    <t>0.3802</t>
  </si>
  <si>
    <t>-0.0733</t>
  </si>
  <si>
    <t>0.0420</t>
  </si>
  <si>
    <t>Single-pathway</t>
  </si>
  <si>
    <t>-0.0733 (0.0420)</t>
  </si>
  <si>
    <t>-0.4087 (0.3951)</t>
  </si>
  <si>
    <t>0.6875</t>
  </si>
  <si>
    <t>0.1282</t>
  </si>
  <si>
    <t>0.0594</t>
  </si>
  <si>
    <t>+0.1282 (0.0594)*</t>
  </si>
  <si>
    <t>+0.4630 (0.1976)*</t>
  </si>
  <si>
    <t>0.5968</t>
  </si>
  <si>
    <t>0.5443</t>
  </si>
  <si>
    <t>0.0990</t>
  </si>
  <si>
    <t>Dual-pathway</t>
  </si>
  <si>
    <t>+0.5443 (0.0990)***</t>
  </si>
  <si>
    <t>+0.7429 (0.2205)***</t>
  </si>
  <si>
    <t>0.5972</t>
  </si>
  <si>
    <t>0.3879</t>
  </si>
  <si>
    <t>0.0993</t>
  </si>
  <si>
    <t>+0.3879 (0.0993)***</t>
  </si>
  <si>
    <t>+0.6734 (0.2433)**</t>
  </si>
  <si>
    <t>0.7033</t>
  </si>
  <si>
    <t>0.2517</t>
  </si>
  <si>
    <t>0.0659</t>
  </si>
  <si>
    <t>+0.2517 (0.0659)***</t>
  </si>
  <si>
    <t>+0.4978 (0.1666)**</t>
  </si>
  <si>
    <t>0.2893</t>
  </si>
  <si>
    <t>-0.1537</t>
  </si>
  <si>
    <t>0.0604</t>
  </si>
  <si>
    <t>Opposite pathway</t>
  </si>
  <si>
    <t>-0.1537 (0.0604)*</t>
  </si>
  <si>
    <t>-0.2867 (0.1553)</t>
  </si>
  <si>
    <t>0.2511</t>
  </si>
  <si>
    <t>-0.0136</t>
  </si>
  <si>
    <t>0.0846</t>
  </si>
  <si>
    <t>-0.0136 (0.0846)</t>
  </si>
  <si>
    <t>+0.0692 (0.1528)</t>
  </si>
  <si>
    <t>0.3492</t>
  </si>
  <si>
    <t>-0.2522</t>
  </si>
  <si>
    <t>0.0816</t>
  </si>
  <si>
    <t>-0.2522 (0.0816)**</t>
  </si>
  <si>
    <t>-0.4916 (0.1850)**</t>
  </si>
  <si>
    <t>0.0410</t>
  </si>
  <si>
    <t>-0.0793</t>
  </si>
  <si>
    <t>0.0797</t>
  </si>
  <si>
    <t>-0.0793 (0.0797)</t>
  </si>
  <si>
    <t>-0.1080 (0.1421)</t>
  </si>
  <si>
    <t>0.2010</t>
  </si>
  <si>
    <t>-0.0436</t>
  </si>
  <si>
    <t>0.0994</t>
  </si>
  <si>
    <t>-0.0436 (0.0994)</t>
  </si>
  <si>
    <t>n.c.</t>
  </si>
  <si>
    <t>0.1632</t>
  </si>
  <si>
    <t>0.1043</t>
  </si>
  <si>
    <t>0.0639</t>
  </si>
  <si>
    <t>+0.1043 (0.0639)</t>
  </si>
  <si>
    <t>+0.1156 (0.1909)</t>
  </si>
  <si>
    <t>0.4554</t>
  </si>
  <si>
    <t>-0.0692</t>
  </si>
  <si>
    <t>0.0477</t>
  </si>
  <si>
    <t>-0.0692 (0.0477)</t>
  </si>
  <si>
    <t>-0.5293 (0.6702)</t>
  </si>
  <si>
    <t>0.7793</t>
  </si>
  <si>
    <t>-0.0200</t>
  </si>
  <si>
    <t>0.0672</t>
  </si>
  <si>
    <t>-0.0200 (0.0672)</t>
  </si>
  <si>
    <t>Supplementary Table 8. Validity of the healthcare-contact and infection-specific factors assessed by genetic correlations with independent traits.</t>
  </si>
  <si>
    <t>F_H rg (95% CI)</t>
  </si>
  <si>
    <t>F_H FDR</t>
  </si>
  <si>
    <t>F_I rg (95% CI)</t>
  </si>
  <si>
    <t>F_I FDR</t>
  </si>
  <si>
    <t>0.5022 (0.4634, 0.5410)***</t>
  </si>
  <si>
    <t>0.4214 (0.2942, 0.5486)***</t>
  </si>
  <si>
    <t>0.5795 (0.5438, 0.6152)***</t>
  </si>
  <si>
    <t>0.6160 (0.4553, 0.7767)***</t>
  </si>
  <si>
    <t>0.3205 (0.2954, 0.3456)***</t>
  </si>
  <si>
    <t>0.4462 (0.3439, 0.5485)***</t>
  </si>
  <si>
    <t>C-reactive protein</t>
  </si>
  <si>
    <t>0.3285 (0.3024, 0.3546)***</t>
  </si>
  <si>
    <t>0.5272 (0.4080, 0.6464)***</t>
  </si>
  <si>
    <t>0.6535 (0.6143, 0.6927)***</t>
  </si>
  <si>
    <t>0.8616 (0.6856, 1.0376)***</t>
  </si>
  <si>
    <t>0.3825 (0.3537, 0.4113)***</t>
  </si>
  <si>
    <t>0.3497 (0.2501, 0.4493)***</t>
  </si>
  <si>
    <t>-0.3926 (-0.4214, -0.3638)***</t>
  </si>
  <si>
    <t>-0.4705 (-0.5732, -0.3678)***</t>
  </si>
  <si>
    <t>0.2843 (0.2557, 0.3129)***</t>
  </si>
  <si>
    <t>0.1840 (0.0903, 0.2777)***</t>
  </si>
  <si>
    <t>Ischaemic stroke</t>
  </si>
  <si>
    <t>0.3408 (0.2951, 0.3865)***</t>
  </si>
  <si>
    <t>0.4457 (0.3038, 0.5876)***</t>
  </si>
  <si>
    <t>0.3437 (0.2959, 0.3915)***</t>
  </si>
  <si>
    <t>0.3399 (0.2056, 0.4742)***</t>
  </si>
  <si>
    <t>0.3962 (0.3648, 0.4276)***</t>
  </si>
  <si>
    <t>0.4574 (0.3520, 0.5628)***</t>
  </si>
  <si>
    <t>0.3853 (0.3526, 0.4180)***</t>
  </si>
  <si>
    <t>0.4034 (0.2923, 0.5145)***</t>
  </si>
  <si>
    <t>Supplementary Table 9. Attenuation of influenza-disorder genetic correlations after conditioning on healthcare-contact and psychological-distress covariates by multi-trait conditional and joint analysis.</t>
  </si>
  <si>
    <t>Disorder</t>
  </si>
  <si>
    <t>Unconditioned rg</t>
  </si>
  <si>
    <t>Unconditioned P</t>
  </si>
  <si>
    <t>Conditioned on GP-help-seeking rg</t>
  </si>
  <si>
    <t>Conditioned on GP-help-seeking P</t>
  </si>
  <si>
    <t>Conditioned on healthcare cost rg</t>
  </si>
  <si>
    <t>Conditioned on healthcare cost P</t>
  </si>
  <si>
    <t>Conditioned on number of illnesses rg</t>
  </si>
  <si>
    <t>Conditioned on number of illnesses P</t>
  </si>
  <si>
    <t>Conditioned on all healthcare-contact traits rg</t>
  </si>
  <si>
    <t>Conditioned on all healthcare-contact traits P</t>
  </si>
  <si>
    <t>Conditioned on psychological distress rg</t>
  </si>
  <si>
    <t>Conditioned on psychological distress P</t>
  </si>
  <si>
    <t>Note: Combined-panel genetic correlations (rg) between influenza and each psychiatric or neurodevelopmental disorder before (unconditioned) and after multi-trait conditioning on healthcare-contact and psychological-distress covariates, estimated by multi-trait conditional and joint analysis (mtCOJO) with genome-wide significant SNPs of the covariates fitted as co-heritable traits. Psychiatric-specialist help-seeking, healthcare cost and number of illnesses were conditioned jointly as the all healthcare-contact traits model; psychological distress was conditioned separately. P values are two-sided. Pathway classifies each disorder by the sign and significance of its cross-loading on the infection-specific factor F_Is in the bifactor outcome model (Supplementary Table 7); NA indicates disorders not included in that model (post-traumatic stress disorder, anxiety disorder, major depressive disorder and sleep disorder). Disorder order follows the descending unconditioned rg. Abbreviations: GP, general practitioner; mtCOJO, multi-trait conditional and joint analysis; rg, genetic correlation.</t>
  </si>
  <si>
    <t>Supplementary Table 10. Genome-wide significant loci of the influenza GWAS and their residual association signals after GWAS-by-subtraction conditioning.</t>
  </si>
  <si>
    <t>Locus</t>
  </si>
  <si>
    <t>Lead SNP</t>
  </si>
  <si>
    <t>CHR</t>
  </si>
  <si>
    <t>POS</t>
  </si>
  <si>
    <t>P FinnGen raw</t>
  </si>
  <si>
    <t>P FinnGen SUB1</t>
  </si>
  <si>
    <t>P FinnGen SUB2</t>
  </si>
  <si>
    <t>P Kosmicki raw</t>
  </si>
  <si>
    <t>P Kosmicki SUB1</t>
  </si>
  <si>
    <t>P Kosmicki SUB2</t>
  </si>
  <si>
    <t>Stage</t>
  </si>
  <si>
    <t>SNPs analysed</t>
  </si>
  <si>
    <t>Lambda residual</t>
  </si>
  <si>
    <t>Top P residual</t>
  </si>
  <si>
    <t>GWS loci</t>
  </si>
  <si>
    <t>ST6GAL1</t>
  </si>
  <si>
    <t>rs13322149</t>
  </si>
  <si>
    <t>B3GALT5</t>
  </si>
  <si>
    <t>rs2837113</t>
  </si>
  <si>
    <t>Residual GWAS QC</t>
  </si>
  <si>
    <t>SUB1</t>
  </si>
  <si>
    <t>SUB2</t>
  </si>
  <si>
    <t>Kosmicki</t>
  </si>
  <si>
    <t>Note: Genome-wide significant loci of the influenza GWAS and their association signals in the GWAS-by-subtraction residual models for the two influenza GWAS panels (FinnGen J10_INFLUENZA and Kosmicki et al.). SUB1 is the residual GWAS after regressing out genetic effects of the healthcare-contact covariates (Psychiatric-specialist help-seeking, healthcare cost and number of illnesses); SUB2 is the residual GWAS after additionally regressing out the illness-distress dimension indicators (post-traumatic stress disorder, anxiety, major depressive disorder, sleep disorder, pneumonia, upper respiratory tract infection, COVID-19 hospitalization and susceptibility). The genome-wide lead SNP was rs13322149 at ST6GAL1; by contrast, rs55958900 was the most significant marginal SNP within the GWAS-eQTL overlapping-variant set used for regulatory comparisons; P values are two-sided from the GWAS or residual summary statistics at the lead SNP (exact values in full decimal notation). The residual GWAS QC block reports the number of SNPs analysed, the genomic control lambda of the residual trait (Lambda_Fres) and the smallest residual P value (Top P_Fres) for each panel and residualization stage. NA, not applicable. Abbreviations: GWAS, genome-wide association study; GWS, genome-wide significant; SNP, single-nucleotide polymorphism.</t>
  </si>
  <si>
    <t>Supplementary Table 11. Colocalization of the ST6GAL1 and B3GALT5 influenza GWAS loci with cis-eQTL and cis-pQTL across tissues and cell types.</t>
  </si>
  <si>
    <t>GWAS</t>
  </si>
  <si>
    <t>Gene</t>
  </si>
  <si>
    <t>Tissue or pQTL dataset</t>
  </si>
  <si>
    <t>n SNPs</t>
  </si>
  <si>
    <t>PP.H0</t>
  </si>
  <si>
    <t>PP.H1</t>
  </si>
  <si>
    <t>PP.H2</t>
  </si>
  <si>
    <t>PP.H3</t>
  </si>
  <si>
    <t>PP.H4</t>
  </si>
  <si>
    <t>Note</t>
  </si>
  <si>
    <t>eQTL colocalization</t>
  </si>
  <si>
    <t>COVID19_HGI_B2_B3GALT5</t>
  </si>
  <si>
    <t>Brain_Amygdala</t>
  </si>
  <si>
    <t>OK</t>
  </si>
  <si>
    <t>Brain_Cerebellum</t>
  </si>
  <si>
    <t>Brain_Cortex</t>
  </si>
  <si>
    <t>Brain_Frontal_Cortex_BA9</t>
  </si>
  <si>
    <t>Brain_Hippocampus</t>
  </si>
  <si>
    <t>Brain_Hypothalamus</t>
  </si>
  <si>
    <t>Brain_Putamen_basal_ganglia</t>
  </si>
  <si>
    <t>Liver</t>
  </si>
  <si>
    <t>Lung</t>
  </si>
  <si>
    <t>Spleen</t>
  </si>
  <si>
    <t>Braineac2_putamen</t>
  </si>
  <si>
    <t>Braineac2_substantia_nigra</t>
  </si>
  <si>
    <t>BrainSeq_DLPFC</t>
  </si>
  <si>
    <t>CommonMind_DLPFC</t>
  </si>
  <si>
    <t>ROSMAP_DLPFC</t>
  </si>
  <si>
    <t>brainSCOPE_Astro</t>
  </si>
  <si>
    <t>brainSCOPE_Chandelier__Pvalb</t>
  </si>
  <si>
    <t>brainSCOPE_L2.3.IT</t>
  </si>
  <si>
    <t>brainSCOPE_L4.IT</t>
  </si>
  <si>
    <t>brainSCOPE_L6.IT</t>
  </si>
  <si>
    <t>brainSCOPE_Vip</t>
  </si>
  <si>
    <t>PsychENCODE_DLPFC_bulk</t>
  </si>
  <si>
    <t>COVID19_HGI_B2_ST6GAL1</t>
  </si>
  <si>
    <t>Cells_EBV-transformed_lymphocytes</t>
  </si>
  <si>
    <t>Whole_Blood</t>
  </si>
  <si>
    <t>BLUEPRINT_monocyte</t>
  </si>
  <si>
    <t>BLUEPRINT_neutrophil</t>
  </si>
  <si>
    <t>BLUEPRINT_Tcell</t>
  </si>
  <si>
    <t>Natri2024_AT1</t>
  </si>
  <si>
    <t>Natri2024_AT2</t>
  </si>
  <si>
    <t>Natri2024_Basal</t>
  </si>
  <si>
    <t>Natri2024_Ciliated</t>
  </si>
  <si>
    <t>Natri2024_DifferentiatingCiliated</t>
  </si>
  <si>
    <t>Natri2024_KRT5-KRT17+</t>
  </si>
  <si>
    <t>Natri2024_Proliferating</t>
  </si>
  <si>
    <t>Natri2024_Secretory-SCGB1A1+MUC5B+</t>
  </si>
  <si>
    <t>Natri2024_Secretory-SCGB1A1+SCGB3A2+</t>
  </si>
  <si>
    <t>Natri2024_Secretory-SCGB3A2+</t>
  </si>
  <si>
    <t>Natri2024_TransitionalAT2</t>
  </si>
  <si>
    <t>Nedelec_macrophage_naive</t>
  </si>
  <si>
    <t>Nedelec_macrophage_Salmonella</t>
  </si>
  <si>
    <t>OneK1K_CD14_Mono</t>
  </si>
  <si>
    <t>OneK1K_CD4_Naive</t>
  </si>
  <si>
    <t>OneK1K_NK</t>
  </si>
  <si>
    <t>Quach_monocyte_LPS</t>
  </si>
  <si>
    <t>Quach_monocyte_naive</t>
  </si>
  <si>
    <t>Quach_monocyte_Pam3CSK4</t>
  </si>
  <si>
    <t>Quach_monocyte_R848</t>
  </si>
  <si>
    <t>brainSCOPE_L5.IT</t>
  </si>
  <si>
    <t>brainSCOPE_Lamp5</t>
  </si>
  <si>
    <t>brainSCOPE_OPC</t>
  </si>
  <si>
    <t>&lt;10 common SNPs</t>
  </si>
  <si>
    <t>brainSCOPE_Sst__Sst.Chodl</t>
  </si>
  <si>
    <t>FinnGen_SUB2_B3GALT5</t>
  </si>
  <si>
    <t>FinnGen_SUB2_ST6GAL1</t>
  </si>
  <si>
    <t>GCST90432107_B3GALT5</t>
  </si>
  <si>
    <t>GCST90432107_ST6GAL1</t>
  </si>
  <si>
    <t>J10_INFLUENZA_B3GALT5</t>
  </si>
  <si>
    <t>J10_INFLUENZA_ST6GAL1</t>
  </si>
  <si>
    <t>Kosmicki_SUB2_B3GALT5</t>
  </si>
  <si>
    <t>Kosmicki_SUB2_ST6GAL1</t>
  </si>
  <si>
    <t>pQTL colocalization</t>
  </si>
  <si>
    <t>UKB_PPP_ST6GAL1</t>
  </si>
  <si>
    <t>INTERVAL_ST6GAL1</t>
  </si>
  <si>
    <t>OK (position match)</t>
  </si>
  <si>
    <t>&lt;10 SNPs after allele alignment</t>
  </si>
  <si>
    <t>Note: Bayesian colocalization (coloc) of the ST6GAL1 and B3GALT5 influenza GWAS loci with cis-expression and cis-protein quantitative trait loci. The eQTL colocalization block tests each influenza GWAS definition (J10_INFLUENZA from FinnGen, GCST90432107 from Kosmicki et al., and the two SUB2 GWAS-by-subtraction residuals) against gene expression in each listed tissue or cell type dataset; the pQTL colocalization block tests the same GWAS against plasma protein abundance in the UKB Pharma Proteomics Project (UKB_PPP) and INTERVAL studies. PP.H0-PP.H4 are the posterior probabilities of the five coloc hypotheses: no association (H0), association with the molecular trait only (H1), association with influenza only (H2), independent causal variants (H3) and a shared causal variant (H4). The primary colocalization threshold is PP.H4 &gt;= 0.7; values of 0.5-0.7 are suggestive only; posterior probabilities are shown as exact values in full decimal notation. Tests with fewer than 10 common SNPs after allele alignment were not run. Abbreviations: eQTL, expression quantitative trait locus; GWAS, genome-wide association study; PP, posterior probability; pQTL, protein quantitative trait locus; SNP, single-nucleotide polymorphism.</t>
  </si>
  <si>
    <t>Supplementary Table 12. SuSiE fine-mapped credible sets and brain chromatin annotations at the ST6GAL1 and B3GALT5 influenza loci.</t>
  </si>
  <si>
    <t>Dataset</t>
  </si>
  <si>
    <t>Credible set</t>
  </si>
  <si>
    <t>SNP</t>
  </si>
  <si>
    <t>Position</t>
  </si>
  <si>
    <t>PIP</t>
  </si>
  <si>
    <t>cCRE ID</t>
  </si>
  <si>
    <t>cCRE class</t>
  </si>
  <si>
    <t>Chromatin states</t>
  </si>
  <si>
    <t>ST6GAL1_GWAS</t>
  </si>
  <si>
    <t>ST6GAL1_GWAS_CS3</t>
  </si>
  <si>
    <t>3:186931889:A:G</t>
  </si>
  <si>
    <t>3:186931894:A:G</t>
  </si>
  <si>
    <t>ST6GAL1_GWAS_CS1</t>
  </si>
  <si>
    <t>3:186933001:A:G</t>
  </si>
  <si>
    <t>EH38D5523319</t>
  </si>
  <si>
    <t>dELS</t>
  </si>
  <si>
    <t>Brain Angular Gyrus: Active TSS; Brain Angular Gyrus (v1): Weak transcription; Brain Anterior Caudate: Active TSS; Brain Cingulate Gyrus: Active TSS; Brain Cortex: Flanking TSS; Brain Hippocampus Middle: Active TSS; Brain Substantia Nigra: Active TSS</t>
  </si>
  <si>
    <t>ST6GAL1_GWAS_CS2</t>
  </si>
  <si>
    <t>3:186941996:A:G</t>
  </si>
  <si>
    <t>ST6GAL1_L6.IT_neuron</t>
  </si>
  <si>
    <t>ST6GAL1_L6.IT_neuron_CS2</t>
  </si>
  <si>
    <t>3:186922899:T:A</t>
  </si>
  <si>
    <t>ST6GAL1_L6.IT_neuron_CS4</t>
  </si>
  <si>
    <t>3:186926674:A:G</t>
  </si>
  <si>
    <t>ST6GAL1_L6.IT_neuron_CS1</t>
  </si>
  <si>
    <t>ST6GAL1_L6.IT_neuron_CS5</t>
  </si>
  <si>
    <t>ST6GAL1_L6.IT_neuron_CS3</t>
  </si>
  <si>
    <t>3:186941077:G:C</t>
  </si>
  <si>
    <t>ST6GAL1_Lung</t>
  </si>
  <si>
    <t>ST6GAL1_Lung_CS2</t>
  </si>
  <si>
    <t>3:186907279:C:G</t>
  </si>
  <si>
    <t>ST6GAL1_Lung_CS1</t>
  </si>
  <si>
    <t>ST6GAL1_Lung_CS3</t>
  </si>
  <si>
    <t>3:186924322:T:G</t>
  </si>
  <si>
    <t>B3GALT5_GWAS</t>
  </si>
  <si>
    <t>B3GALT5_GWAS_CS1</t>
  </si>
  <si>
    <t>21:39670772:G:A</t>
  </si>
  <si>
    <t>B3GALT5_GWAS_CS2</t>
  </si>
  <si>
    <t>21:39683309:A:G</t>
  </si>
  <si>
    <t>21:39683882:G:T</t>
  </si>
  <si>
    <t>21:39684411:G:A</t>
  </si>
  <si>
    <t>21:39694299:A:G</t>
  </si>
  <si>
    <t>21:39697333:T:G</t>
  </si>
  <si>
    <t>21:39698266:C:T</t>
  </si>
  <si>
    <t>B3GALT5_Lung</t>
  </si>
  <si>
    <t>B3GALT5_Lung_CS1</t>
  </si>
  <si>
    <t>21:39598257:G:T</t>
  </si>
  <si>
    <t>B3GALT5_Lung_CS2</t>
  </si>
  <si>
    <t>21:39640448:C:T</t>
  </si>
  <si>
    <t>Note: Fine-mapped credible sets from SuSiE summary-statistic fine-mapping of the ST6GAL1 and B3GALT5 loci in the influenza GWAS and in the lung and L6.IT neuron eQTL datasets that colocalized with the GWAS signal. Each row is a SNP assigned to a credible set (CS); PIP is the marginal posterior inclusion probability, not the within-single-effect alpha weight and z its signed fine-mapping z score. SNPs are listed by credible set; sets with a single SNP at PIP = 1 contain one candidate causal variant. The cCRE columns report the candidate cis-regulatory element (cCRE) of the encyclopedia of DNA elements (ENCODE) overlapping the SNP, and the Chromatin states column the chromatin state annotations of seven adult brain regions from the Roadmap Epigenomics Consortium in the format tissue: state, separated by semicolons; these annotations are available only for SNPs examined in the targeted annotation panel (the GWAS lead SNPs and shared fine-mapped SNPs). NA, not available. Abbreviations: cCRE, candidate cis-regulatory element; CS, credible set; eQTL, expression quantitative trait locus; GWAS, genome-wide association study; PIP, posterior inclusion probability; SNP, single-nucleotide polymorphism.</t>
  </si>
  <si>
    <t>Supplementary Table 13. Predicted enhancer-to-gene links at the ST6GAL1 and B3GALT5 influenza GWAS loci.</t>
  </si>
  <si>
    <t>Source</t>
  </si>
  <si>
    <t>Gene ENSG</t>
  </si>
  <si>
    <t>Enhancer</t>
  </si>
  <si>
    <t>Start</t>
  </si>
  <si>
    <t>End</t>
  </si>
  <si>
    <t>Score</t>
  </si>
  <si>
    <t>Gene rank</t>
  </si>
  <si>
    <t>Genome percentile</t>
  </si>
  <si>
    <t>Distance to SNP</t>
  </si>
  <si>
    <t>In cis window</t>
  </si>
  <si>
    <t>Nearest in cis</t>
  </si>
  <si>
    <t>Only cis link</t>
  </si>
  <si>
    <t>In SNP atac peak</t>
  </si>
  <si>
    <t>Liftover</t>
  </si>
  <si>
    <t>EpiMap_FOCS_brain</t>
  </si>
  <si>
    <t>ENSG00000183778</t>
  </si>
  <si>
    <t>chunk1983_3759_1</t>
  </si>
  <si>
    <t>chr21</t>
  </si>
  <si>
    <t>No</t>
  </si>
  <si>
    <t>ok</t>
  </si>
  <si>
    <t>chunk1983_4636_1</t>
  </si>
  <si>
    <t>chunk1983_4837_1</t>
  </si>
  <si>
    <t>chunk1983_5175_1</t>
  </si>
  <si>
    <t>chunk1983_5183_1</t>
  </si>
  <si>
    <t>chunk1983_5184_1</t>
  </si>
  <si>
    <t>chunk1983_5186_1</t>
  </si>
  <si>
    <t>chunk1983_5189_1</t>
  </si>
  <si>
    <t>chunk1983_5206_1</t>
  </si>
  <si>
    <t>chunk1983_5208_1</t>
  </si>
  <si>
    <t>chunk1983_5222_1</t>
  </si>
  <si>
    <t>chunk1983_5281_1</t>
  </si>
  <si>
    <t>chunk1983_5293_1</t>
  </si>
  <si>
    <t>chunk1983_5294_1</t>
  </si>
  <si>
    <t>chunk1983_5295_1</t>
  </si>
  <si>
    <t>chunk1983_5297_1</t>
  </si>
  <si>
    <t>chunk1983_5319_1</t>
  </si>
  <si>
    <t>chunk1983_5342_1</t>
  </si>
  <si>
    <t>chunk1983_5354_1</t>
  </si>
  <si>
    <t>chunk1983_5358_1</t>
  </si>
  <si>
    <t>chunk1983_5359_1</t>
  </si>
  <si>
    <t>chunk1983_5360_1</t>
  </si>
  <si>
    <t>chunk1983_5361_1</t>
  </si>
  <si>
    <t>chunk1983_5361_2</t>
  </si>
  <si>
    <t>chunk1983_5384_2</t>
  </si>
  <si>
    <t>chunk1983_5386_1</t>
  </si>
  <si>
    <t>chunk1983_5393_1</t>
  </si>
  <si>
    <t>chunk1983_5478_1</t>
  </si>
  <si>
    <t>chunk1983_5480_1</t>
  </si>
  <si>
    <t>chunk1983_5493_1</t>
  </si>
  <si>
    <t>chunk1983_5494_1</t>
  </si>
  <si>
    <t>chunk1983_5496_1</t>
  </si>
  <si>
    <t>chunk1983_5506_1</t>
  </si>
  <si>
    <t>chunk1983_5508_1</t>
  </si>
  <si>
    <t>chunk1983_5510_1</t>
  </si>
  <si>
    <t>chunk1983_5511_1</t>
  </si>
  <si>
    <t>chunk1983_5512_1</t>
  </si>
  <si>
    <t>chunk1983_5516_1</t>
  </si>
  <si>
    <t>chunk1983_5517_1</t>
  </si>
  <si>
    <t>ENSG00000073849</t>
  </si>
  <si>
    <t>chunk2262_4168_1</t>
  </si>
  <si>
    <t>chr3</t>
  </si>
  <si>
    <t>chunk2262_4170_1</t>
  </si>
  <si>
    <t>chunk2262_4171_1</t>
  </si>
  <si>
    <t>chunk2262_4173_1</t>
  </si>
  <si>
    <t>chunk2262_4179_1</t>
  </si>
  <si>
    <t>chunk2262_4182_1</t>
  </si>
  <si>
    <t>chunk2262_4151_1</t>
  </si>
  <si>
    <t>chunk2262_4150_1</t>
  </si>
  <si>
    <t>chunk2262_4148_1</t>
  </si>
  <si>
    <t>chunk2262_4147_1</t>
  </si>
  <si>
    <t>chunk2262_4191_1</t>
  </si>
  <si>
    <t>chunk2262_4192_1</t>
  </si>
  <si>
    <t>chunk2262_4193_1</t>
  </si>
  <si>
    <t>chunk2262_4194_1</t>
  </si>
  <si>
    <t>chunk2262_4195_1</t>
  </si>
  <si>
    <t>chunk2262_4196_1</t>
  </si>
  <si>
    <t>chunk2262_4200_1</t>
  </si>
  <si>
    <t>chunk2262_4198_1</t>
  </si>
  <si>
    <t>chunk2262_4139_1</t>
  </si>
  <si>
    <t>chunk2262_4199_1</t>
  </si>
  <si>
    <t>chunk2262_4201_1</t>
  </si>
  <si>
    <t>chunk2262_4202_1</t>
  </si>
  <si>
    <t>chunk2262_4203_1</t>
  </si>
  <si>
    <t>chunk2262_4205_1</t>
  </si>
  <si>
    <t>chunk2262_4206_1</t>
  </si>
  <si>
    <t>chunk2262_4209_1</t>
  </si>
  <si>
    <t>chunk2262_4128_1</t>
  </si>
  <si>
    <t>chunk2262_4125_1</t>
  </si>
  <si>
    <t>chunk2262_4123_1</t>
  </si>
  <si>
    <t>chunk2262_4122_1</t>
  </si>
  <si>
    <t>chunk2262_4121_1</t>
  </si>
  <si>
    <t>chunk2262_4214_1</t>
  </si>
  <si>
    <t>chunk2262_4215_1</t>
  </si>
  <si>
    <t>chunk2262_4217_1</t>
  </si>
  <si>
    <t>chunk2262_4219_1</t>
  </si>
  <si>
    <t>chunk2262_4221_1</t>
  </si>
  <si>
    <t>chunk2262_4222_1</t>
  </si>
  <si>
    <t>chunk2262_4223_1</t>
  </si>
  <si>
    <t>chunk2262_4225_2</t>
  </si>
  <si>
    <t>chunk2262_4106_1</t>
  </si>
  <si>
    <t>chunk2262_4226_2</t>
  </si>
  <si>
    <t>chunk2262_4227_1</t>
  </si>
  <si>
    <t>chunk2262_4228_1</t>
  </si>
  <si>
    <t>chunk2262_4229_1</t>
  </si>
  <si>
    <t>chunk2262_4230_1</t>
  </si>
  <si>
    <t>chunk2262_4231_1</t>
  </si>
  <si>
    <t>chunk2262_4232_1</t>
  </si>
  <si>
    <t>chunk2262_4235_1</t>
  </si>
  <si>
    <t>chunk2262_4237_1</t>
  </si>
  <si>
    <t>chunk2262_4242_1</t>
  </si>
  <si>
    <t>chunk2262_4243_1</t>
  </si>
  <si>
    <t>chunk2262_4244_1</t>
  </si>
  <si>
    <t>chunk2262_4245_1</t>
  </si>
  <si>
    <t>chunk2262_4249_1</t>
  </si>
  <si>
    <t>chunk2262_4251_1</t>
  </si>
  <si>
    <t>chunk2262_4253_1</t>
  </si>
  <si>
    <t>chunk2262_4255_1</t>
  </si>
  <si>
    <t>chunk2262_4257_1</t>
  </si>
  <si>
    <t>chunk2262_4259_1</t>
  </si>
  <si>
    <t>chunk2262_4260_1</t>
  </si>
  <si>
    <t>chunk2262_4261_1</t>
  </si>
  <si>
    <t>chunk2262_4262_1</t>
  </si>
  <si>
    <t>chunk2262_4263_1</t>
  </si>
  <si>
    <t>chunk2262_4264_1</t>
  </si>
  <si>
    <t>chunk2262_4265_1</t>
  </si>
  <si>
    <t>chunk2262_4266_1</t>
  </si>
  <si>
    <t>chunk2262_4267_1</t>
  </si>
  <si>
    <t>chunk2262_4268_1</t>
  </si>
  <si>
    <t>chunk2262_4272_1</t>
  </si>
  <si>
    <t>chunk2262_4277_1</t>
  </si>
  <si>
    <t>chunk2262_4279_1</t>
  </si>
  <si>
    <t>chunk2262_4280_1</t>
  </si>
  <si>
    <t>chunk2262_4281_1</t>
  </si>
  <si>
    <t>chunk2262_4283_1</t>
  </si>
  <si>
    <t>chunk2262_4282_1</t>
  </si>
  <si>
    <t>chunk2262_4285_1</t>
  </si>
  <si>
    <t>chunk2262_4286_1</t>
  </si>
  <si>
    <t>chunk2262_4046_1</t>
  </si>
  <si>
    <t>chunk2262_4045_1</t>
  </si>
  <si>
    <t>chunk2262_4044_1</t>
  </si>
  <si>
    <t>chunk2262_4290_1</t>
  </si>
  <si>
    <t>chunk2262_4291_1</t>
  </si>
  <si>
    <t>chunk2262_4292_1</t>
  </si>
  <si>
    <t>chunk2262_4302_1</t>
  </si>
  <si>
    <t>chunk2262_4303_1</t>
  </si>
  <si>
    <t>chunk2262_4304_1</t>
  </si>
  <si>
    <t>chunk2262_4305_1</t>
  </si>
  <si>
    <t>chunk2262_4306_1</t>
  </si>
  <si>
    <t>chunk2262_4307_1</t>
  </si>
  <si>
    <t>chunk2262_4309_2</t>
  </si>
  <si>
    <t>chunk2262_4310_1</t>
  </si>
  <si>
    <t>chunk2262_4311_1</t>
  </si>
  <si>
    <t>chunk2262_4312_1</t>
  </si>
  <si>
    <t>chunk2262_4313_1</t>
  </si>
  <si>
    <t>chunk2262_4314_1</t>
  </si>
  <si>
    <t>chunk2262_4315_1</t>
  </si>
  <si>
    <t>chunk2262_4316_1</t>
  </si>
  <si>
    <t>chunk2262_4317_1</t>
  </si>
  <si>
    <t>chunk2262_4318_1</t>
  </si>
  <si>
    <t>chunk2262_4323_1</t>
  </si>
  <si>
    <t>chunk2262_4324_1</t>
  </si>
  <si>
    <t>chunk2262_4325_1</t>
  </si>
  <si>
    <t>chunk2262_4326_1</t>
  </si>
  <si>
    <t>chunk2262_4331_1</t>
  </si>
  <si>
    <t>chunk2262_4332_1</t>
  </si>
  <si>
    <t>chunk2262_4335_1</t>
  </si>
  <si>
    <t>chunk2262_4334_1</t>
  </si>
  <si>
    <t>chunk2262_4336_1</t>
  </si>
  <si>
    <t>chunk2262_4338_1</t>
  </si>
  <si>
    <t>chunk2262_4005_1</t>
  </si>
  <si>
    <t>chunk2262_4004_2</t>
  </si>
  <si>
    <t>chunk2262_4003_1</t>
  </si>
  <si>
    <t>chunk2262_4358_1</t>
  </si>
  <si>
    <t>chunk2262_4359_1</t>
  </si>
  <si>
    <t>chunk2262_4362_1</t>
  </si>
  <si>
    <t>chunk2262_4363_1</t>
  </si>
  <si>
    <t>chunk2262_4364_1</t>
  </si>
  <si>
    <t>chunk2262_4365_1</t>
  </si>
  <si>
    <t>chunk2262_4367_1</t>
  </si>
  <si>
    <t>chunk2262_4377_1</t>
  </si>
  <si>
    <t>chunk2262_4378_1</t>
  </si>
  <si>
    <t>chunk2262_4379_1</t>
  </si>
  <si>
    <t>chunk2262_4380_1</t>
  </si>
  <si>
    <t>chunk2262_4381_1</t>
  </si>
  <si>
    <t>chunk2262_4383_1</t>
  </si>
  <si>
    <t>chunk2262_4385_1</t>
  </si>
  <si>
    <t>chunk2262_4388_1</t>
  </si>
  <si>
    <t>chunk2262_4389_1</t>
  </si>
  <si>
    <t>chunk2262_4390_1</t>
  </si>
  <si>
    <t>chunk2262_4392_1</t>
  </si>
  <si>
    <t>chunk2262_4393_1</t>
  </si>
  <si>
    <t>chunk2262_4395_1</t>
  </si>
  <si>
    <t>chunk2262_4397_1</t>
  </si>
  <si>
    <t>chunk2262_4399_1</t>
  </si>
  <si>
    <t>chunk2262_4403_1</t>
  </si>
  <si>
    <t>chunk2262_4404_1</t>
  </si>
  <si>
    <t>chunk2262_4405_1</t>
  </si>
  <si>
    <t>chunk2262_4405_2</t>
  </si>
  <si>
    <t>chunk2262_4407_1</t>
  </si>
  <si>
    <t>chunk2262_4409_1</t>
  </si>
  <si>
    <t>chunk2262_4409_2</t>
  </si>
  <si>
    <t>chunk2262_4410_1</t>
  </si>
  <si>
    <t>chunk2262_4412_2</t>
  </si>
  <si>
    <t>chunk2262_4416_1</t>
  </si>
  <si>
    <t>chunk2262_4417_1</t>
  </si>
  <si>
    <t>chunk2262_4418_1</t>
  </si>
  <si>
    <t>chunk2262_4419_1</t>
  </si>
  <si>
    <t>chunk2262_4420_1</t>
  </si>
  <si>
    <t>chunk2262_4421_1</t>
  </si>
  <si>
    <t>chunk2262_4422_1</t>
  </si>
  <si>
    <t>chunk2262_4423_1</t>
  </si>
  <si>
    <t>chunk2262_4430_1</t>
  </si>
  <si>
    <t>chunk2262_4432_1</t>
  </si>
  <si>
    <t>chunk2262_4461_1</t>
  </si>
  <si>
    <t>chunk2262_4464_1</t>
  </si>
  <si>
    <t>chunk2262_4467_1</t>
  </si>
  <si>
    <t>chunk2262_4468_1</t>
  </si>
  <si>
    <t>chunk2262_4470_1</t>
  </si>
  <si>
    <t>chunk2262_3888_1</t>
  </si>
  <si>
    <t>chunk2262_3887_1</t>
  </si>
  <si>
    <t>chunk2262_4474_1</t>
  </si>
  <si>
    <t>chunk2262_4479_1</t>
  </si>
  <si>
    <t>chunk2262_4484_1</t>
  </si>
  <si>
    <t>chunk2262_4486_1</t>
  </si>
  <si>
    <t>chunk2262_4487_1</t>
  </si>
  <si>
    <t>chunk2262_4488_1</t>
  </si>
  <si>
    <t>chunk2262_4489_1</t>
  </si>
  <si>
    <t>chunk2262_4491_1</t>
  </si>
  <si>
    <t>chunk2262_4492_1</t>
  </si>
  <si>
    <t>chunk2262_4494_1</t>
  </si>
  <si>
    <t>chunk2262_4495_1</t>
  </si>
  <si>
    <t>chunk2262_4497_1</t>
  </si>
  <si>
    <t>chunk2262_4498_1</t>
  </si>
  <si>
    <t>chunk2262_4500_1</t>
  </si>
  <si>
    <t>chunk2262_4501_1</t>
  </si>
  <si>
    <t>chunk2262_4503_1</t>
  </si>
  <si>
    <t>chunk2262_4520_1</t>
  </si>
  <si>
    <t>chunk2262_4559_1</t>
  </si>
  <si>
    <t>chunk2262_4556_1</t>
  </si>
  <si>
    <t>chunk2262_4563_1</t>
  </si>
  <si>
    <t>chunk2262_4565_1</t>
  </si>
  <si>
    <t>chunk2262_4566_1</t>
  </si>
  <si>
    <t>chunk2262_4567_1</t>
  </si>
  <si>
    <t>chunk2262_4569_1</t>
  </si>
  <si>
    <t>chunk2262_4571_1</t>
  </si>
  <si>
    <t>chunk2262_4573_1</t>
  </si>
  <si>
    <t>chunk2262_4572_1</t>
  </si>
  <si>
    <t>chunk2262_4574_1</t>
  </si>
  <si>
    <t>chunk2262_4575_1</t>
  </si>
  <si>
    <t>chunk2262_4577_1</t>
  </si>
  <si>
    <t>chunk2262_4580_1</t>
  </si>
  <si>
    <t>chunk2262_4581_1</t>
  </si>
  <si>
    <t>chunk2262_4582_1</t>
  </si>
  <si>
    <t>chunk2262_4583_1</t>
  </si>
  <si>
    <t>chunk2262_4584_1</t>
  </si>
  <si>
    <t>chunk2262_4587_1</t>
  </si>
  <si>
    <t>chunk2262_3787_1</t>
  </si>
  <si>
    <t>chunk2262_3786_1</t>
  </si>
  <si>
    <t>chunk2262_3785_1</t>
  </si>
  <si>
    <t>chunk2262_3782_1</t>
  </si>
  <si>
    <t>chunk2262_3780_1</t>
  </si>
  <si>
    <t>chunk2262_3779_1</t>
  </si>
  <si>
    <t>chunk2262_3777_1</t>
  </si>
  <si>
    <t>chunk2262_3776_1</t>
  </si>
  <si>
    <t>chunk2262_3774_1</t>
  </si>
  <si>
    <t>chunk2262_3772_1</t>
  </si>
  <si>
    <t>chunk2262_3771_1</t>
  </si>
  <si>
    <t>chunk2262_3768_1</t>
  </si>
  <si>
    <t>chunk2262_3766_1</t>
  </si>
  <si>
    <t>chunk2262_3764_1</t>
  </si>
  <si>
    <t>chunk2262_3763_1</t>
  </si>
  <si>
    <t>chunk2262_3759_1</t>
  </si>
  <si>
    <t>chunk2262_3758_1</t>
  </si>
  <si>
    <t>chunk2262_4689_1</t>
  </si>
  <si>
    <t>chunk2262_4691_1</t>
  </si>
  <si>
    <t>chunk2262_4694_1</t>
  </si>
  <si>
    <t>chunk2262_5055_2</t>
  </si>
  <si>
    <t>chunk2262_3241_3</t>
  </si>
  <si>
    <t>chunk2262_2327_1</t>
  </si>
  <si>
    <t>chunk2263_186_1</t>
  </si>
  <si>
    <t>PEC_INT16_HiC</t>
  </si>
  <si>
    <t>EH37E1230348</t>
  </si>
  <si>
    <t>native_hg38</t>
  </si>
  <si>
    <t>Note: Predicted enhancer-to-gene links supporting the ST6GAL1 and B3GALT5 loci, from the EpiMap FOCS brain enhancer-gene linking model (FOCS_predicted_links) and, for ST6GAL1, an independent promoter-capture Hi-C interaction from the PEC INT16 resource. Score is the linking score from the source model; Gene_rank and Genome_percentile rank the link among all links to the gene and across the genome respectively. Distance_to_SNP is the distance from the enhancer to the marginal SNP within the GWAS-eQTL overlap (rs55958900), not the genome-wide lead rs13322149 (NA for links not anchored to a SNP window). In_cis_window indicates the enhancer lies within the cis-linkage window of the locus; Nearest_in_cis marks the link to the nearest gene within the cis window; Only_cis_link indicates the enhancer is linked to only one gene in the cis window; In_SNP_atac_peak indicates overlap with an accessible chromatin peak at the lead SNP. Coordinates are on GRCh38. Abbreviations: GWAS, genome-wide association study; Hi-C, high-throughput chromosome conformation capture; PEC, PsychENCODE; SNP, single-nucleotide polymorphism.</t>
  </si>
  <si>
    <t>Supplementary Table 14. Single-nucleus ATAC-sequencing chromatin accessibility and accessibility-expression associations at the ST6GAL1 locus.</t>
  </si>
  <si>
    <t>Cell type</t>
  </si>
  <si>
    <t>Region</t>
  </si>
  <si>
    <t>Signal</t>
  </si>
  <si>
    <t>Background</t>
  </si>
  <si>
    <t>Fold enrichment</t>
  </si>
  <si>
    <t>Analysis family</t>
  </si>
  <si>
    <t>Test</t>
  </si>
  <si>
    <t>n</t>
  </si>
  <si>
    <t>beta (SE)</t>
  </si>
  <si>
    <t>Spearman rho</t>
  </si>
  <si>
    <t>Spearman P</t>
  </si>
  <si>
    <t>Locus chromatin accessibility</t>
  </si>
  <si>
    <t>L6IT</t>
  </si>
  <si>
    <t>snp_rs10937275</t>
  </si>
  <si>
    <t>pec_enhancer</t>
  </si>
  <si>
    <t>lead_snp</t>
  </si>
  <si>
    <t>L4IT</t>
  </si>
  <si>
    <t>L5IT</t>
  </si>
  <si>
    <t>L6CT</t>
  </si>
  <si>
    <t>Sst</t>
  </si>
  <si>
    <t>Pvalb</t>
  </si>
  <si>
    <t>Oligo</t>
  </si>
  <si>
    <t>OPC</t>
  </si>
  <si>
    <t>Astro</t>
  </si>
  <si>
    <t>Micro-PVM</t>
  </si>
  <si>
    <t>Cell-type comparison</t>
  </si>
  <si>
    <t>Peak-expression association tests</t>
  </si>
  <si>
    <t>L6 IT</t>
  </si>
  <si>
    <t>celltype_specificity</t>
  </si>
  <si>
    <t>target:ST6GAL1</t>
  </si>
  <si>
    <t>0.0893 (0.2120)</t>
  </si>
  <si>
    <t>lead_negctrl:ST6GAL1</t>
  </si>
  <si>
    <t>-0.0343 (0.0835)</t>
  </si>
  <si>
    <t>Oligodendrocyte</t>
  </si>
  <si>
    <t>0.8292 (0.5571)</t>
  </si>
  <si>
    <t>-0.0203 (0.1457)</t>
  </si>
  <si>
    <t>Astrocyte</t>
  </si>
  <si>
    <t>-0.1368 (0.6200)</t>
  </si>
  <si>
    <t>-0.0597 (0.2190)</t>
  </si>
  <si>
    <t>Microglia-PVM</t>
  </si>
  <si>
    <t>0.2168 (0.2383)</t>
  </si>
  <si>
    <t>-0.0390 (0.0690)</t>
  </si>
  <si>
    <t>gene_specificity</t>
  </si>
  <si>
    <t>target:ADIPOQ</t>
  </si>
  <si>
    <t>0.0948 (0.0771)</t>
  </si>
  <si>
    <t>target:ADIPOQ-AS1</t>
  </si>
  <si>
    <t>0.0348 (0.0338)</t>
  </si>
  <si>
    <t>target:AHSG</t>
  </si>
  <si>
    <t>0.0235 (0.1442)</t>
  </si>
  <si>
    <t>target:BCL6</t>
  </si>
  <si>
    <t>-0.0878 (0.3259)</t>
  </si>
  <si>
    <t>target:CRYGS</t>
  </si>
  <si>
    <t>-0.1566 (0.1603)</t>
  </si>
  <si>
    <t>target:DGKG</t>
  </si>
  <si>
    <t>-0.2703 (0.1566)</t>
  </si>
  <si>
    <t>target:DNAJB11</t>
  </si>
  <si>
    <t>-0.0001 (0.2028)</t>
  </si>
  <si>
    <t>target:EIF4A2</t>
  </si>
  <si>
    <t>0.1664 (0.3488)</t>
  </si>
  <si>
    <t>target:ETV5</t>
  </si>
  <si>
    <t>-0.0471 (0.4723)</t>
  </si>
  <si>
    <t>target:ETV5-AS1</t>
  </si>
  <si>
    <t>0.0403 (0.0195)</t>
  </si>
  <si>
    <t>target:FETUB</t>
  </si>
  <si>
    <t>0.2467 (0.1116)</t>
  </si>
  <si>
    <t>target:HRG</t>
  </si>
  <si>
    <t>0.1585 (0.0744)</t>
  </si>
  <si>
    <t>target:KNG1</t>
  </si>
  <si>
    <t>0.1391 (0.0985)</t>
  </si>
  <si>
    <t>target:LINC02020</t>
  </si>
  <si>
    <t>-0.0561 (0.0950)</t>
  </si>
  <si>
    <t>target:LINC02041</t>
  </si>
  <si>
    <t>0.0000 (0.0000)</t>
  </si>
  <si>
    <t>target:LINC02043</t>
  </si>
  <si>
    <t>-0.1267 (0.1675)</t>
  </si>
  <si>
    <t>target:LINC02051</t>
  </si>
  <si>
    <t>-0.0140 (0.0119)</t>
  </si>
  <si>
    <t>target:LINC02052</t>
  </si>
  <si>
    <t>0.0844 (0.0617)</t>
  </si>
  <si>
    <t>target:MASP1</t>
  </si>
  <si>
    <t>0.0028 (0.0966)</t>
  </si>
  <si>
    <t>target:RFC4</t>
  </si>
  <si>
    <t>-0.2584 (0.1916)</t>
  </si>
  <si>
    <t>target:RPL39L</t>
  </si>
  <si>
    <t>0.3023 (0.1712)</t>
  </si>
  <si>
    <t>target:RTP1</t>
  </si>
  <si>
    <t>-0.1427 (0.1153)</t>
  </si>
  <si>
    <t>target:RTP2</t>
  </si>
  <si>
    <t>0.0117 (0.0113)</t>
  </si>
  <si>
    <t>target:RTP4</t>
  </si>
  <si>
    <t>-0.0258 (0.0167)</t>
  </si>
  <si>
    <t>target:SST</t>
  </si>
  <si>
    <t>0.0512 (0.1387)</t>
  </si>
  <si>
    <t>target:TBCCD1</t>
  </si>
  <si>
    <t>-0.0218 (0.1764)</t>
  </si>
  <si>
    <t>target:LIFR</t>
  </si>
  <si>
    <t>0.3813 (0.1769)</t>
  </si>
  <si>
    <t>target:LINC02110</t>
  </si>
  <si>
    <t>background_peaks</t>
  </si>
  <si>
    <t>rand:chr5:87265668-87269667</t>
  </si>
  <si>
    <t>0.6357 (0.2627)</t>
  </si>
  <si>
    <t>rand:chr9:27570584-27575036</t>
  </si>
  <si>
    <t>-0.1421 (0.2521)</t>
  </si>
  <si>
    <t>rand:chr19:55254144-55260324</t>
  </si>
  <si>
    <t>-0.0224 (0.2528)</t>
  </si>
  <si>
    <t>rand:chr19:795370-799818</t>
  </si>
  <si>
    <t>0.2534 (0.2783)</t>
  </si>
  <si>
    <t>rand:chr11:131909133-131915643</t>
  </si>
  <si>
    <t>-0.1743 (0.2092)</t>
  </si>
  <si>
    <t>rand:chr19:33298036-33304710</t>
  </si>
  <si>
    <t>-0.1190 (0.2311)</t>
  </si>
  <si>
    <t>rand:chr3:195540169-195547236</t>
  </si>
  <si>
    <t>-0.3204 (0.2353)</t>
  </si>
  <si>
    <t>rand:chr1:33429530-33437570</t>
  </si>
  <si>
    <t>0.0453 (0.2119)</t>
  </si>
  <si>
    <t>rand:chr2:73279543-73287268</t>
  </si>
  <si>
    <t>-0.2271 (0.1998)</t>
  </si>
  <si>
    <t>rand:chr10:73768817-73775769</t>
  </si>
  <si>
    <t>-0.4038 (0.2588)</t>
  </si>
  <si>
    <t>rand:chr18:34975520-34980435</t>
  </si>
  <si>
    <t>0.6284 (0.2677)</t>
  </si>
  <si>
    <t>rand:chr16:75647032-75650869</t>
  </si>
  <si>
    <t>-0.4454 (0.2489)</t>
  </si>
  <si>
    <t>rand:chr2:178477783-178481739</t>
  </si>
  <si>
    <t>0.2124 (0.2352)</t>
  </si>
  <si>
    <t>rand:chr1:54884910-54888687</t>
  </si>
  <si>
    <t>0.1177 (0.2682)</t>
  </si>
  <si>
    <t>rand:chr1:153919706-153924735</t>
  </si>
  <si>
    <t>-0.1034 (0.2505)</t>
  </si>
  <si>
    <t>rand:chr9:112329770-112335253</t>
  </si>
  <si>
    <t>0.0648 (0.2420)</t>
  </si>
  <si>
    <t>rand:chr12:2353042-2361040</t>
  </si>
  <si>
    <t>0.2988 (0.2266)</t>
  </si>
  <si>
    <t>rand:chr11:59549081-59554175</t>
  </si>
  <si>
    <t>-0.1509 (0.2268)</t>
  </si>
  <si>
    <t>rand:chr11:67116902-67121384</t>
  </si>
  <si>
    <t>-0.0832 (0.2572)</t>
  </si>
  <si>
    <t>rand:chr4:182445962-182451720</t>
  </si>
  <si>
    <t>-0.2831 (0.2115)</t>
  </si>
  <si>
    <t>rand:chr16:53129114-53132964</t>
  </si>
  <si>
    <t>0.0099 (0.2231)</t>
  </si>
  <si>
    <t>rand:chr8:51897105-51902664</t>
  </si>
  <si>
    <t>-0.2943 (0.2268)</t>
  </si>
  <si>
    <t>rand:chr11:125493712-125497531</t>
  </si>
  <si>
    <t>-0.1301 (0.2583)</t>
  </si>
  <si>
    <t>rand:chr4:56976264-56980033</t>
  </si>
  <si>
    <t>0.3339 (0.2700)</t>
  </si>
  <si>
    <t>rand:chr19:47035215-47043262</t>
  </si>
  <si>
    <t>-0.2042 (0.2198)</t>
  </si>
  <si>
    <t>rand:chr15:40102446-40109725</t>
  </si>
  <si>
    <t>-0.0351 (0.1873)</t>
  </si>
  <si>
    <t>rand:chr21:15726165-15731713</t>
  </si>
  <si>
    <t>-0.1574 (0.2085)</t>
  </si>
  <si>
    <t>rand:chr22:26427875-26432829</t>
  </si>
  <si>
    <t>0.2980 (0.2265)</t>
  </si>
  <si>
    <t>rand:chr10:5887980-5891349</t>
  </si>
  <si>
    <t>0.1841 (0.2826)</t>
  </si>
  <si>
    <t>rand:chr6:4133547-4136975</t>
  </si>
  <si>
    <t>0.0524 (0.2021)</t>
  </si>
  <si>
    <t>rand:chr12:119152527-119161411</t>
  </si>
  <si>
    <t>-0.2244 (0.2199)</t>
  </si>
  <si>
    <t>rand:chr1:203286020-203292412</t>
  </si>
  <si>
    <t>0.0717 (0.2525)</t>
  </si>
  <si>
    <t>rand:chr19:35867651-35871227</t>
  </si>
  <si>
    <t>0.1289 (0.2256)</t>
  </si>
  <si>
    <t>rand:chr1:223358856-223366437</t>
  </si>
  <si>
    <t>-0.1643 (0.2674)</t>
  </si>
  <si>
    <t>rand:chr10:21515389-21520493</t>
  </si>
  <si>
    <t>-0.1271 (0.1930)</t>
  </si>
  <si>
    <t>rand:chr9:99103470-99107833</t>
  </si>
  <si>
    <t>0.0808 (0.2196)</t>
  </si>
  <si>
    <t>rand:chr7:92586130-92591394</t>
  </si>
  <si>
    <t>0.3032 (0.2469)</t>
  </si>
  <si>
    <t>rand:chr8:19599696-19609085</t>
  </si>
  <si>
    <t>0.0470 (0.2708)</t>
  </si>
  <si>
    <t>rand:chr7:66994466-66997920</t>
  </si>
  <si>
    <t>0.3681 (0.2624)</t>
  </si>
  <si>
    <t>rand:chr2:42751194-42758208</t>
  </si>
  <si>
    <t>0.2760 (0.2575)</t>
  </si>
  <si>
    <t>rand:chr4:70701932-70706816</t>
  </si>
  <si>
    <t>0.0447 (0.2361)</t>
  </si>
  <si>
    <t>rand:chr5:75335416-75339179</t>
  </si>
  <si>
    <t>-0.1103 (0.2998)</t>
  </si>
  <si>
    <t>rand:chr3:113744869-113748171</t>
  </si>
  <si>
    <t>0.0159 (0.2495)</t>
  </si>
  <si>
    <t>rand:chr2:219215906-219220753</t>
  </si>
  <si>
    <t>0.2449 (0.2431)</t>
  </si>
  <si>
    <t>rand:chr8:17409965-17415556</t>
  </si>
  <si>
    <t>-0.2745 (0.2324)</t>
  </si>
  <si>
    <t>rand:chr20:17679823-17683190</t>
  </si>
  <si>
    <t>0.2176 (0.2583)</t>
  </si>
  <si>
    <t>rand:chr3:195268351-195272590</t>
  </si>
  <si>
    <t>0.0174 (0.2666)</t>
  </si>
  <si>
    <t>rand:chr10:88878689-88882809</t>
  </si>
  <si>
    <t>0.2201 (0.2669)</t>
  </si>
  <si>
    <t>rand:chr9:34516070-34524154</t>
  </si>
  <si>
    <t>0.0006 (0.2089)</t>
  </si>
  <si>
    <t>rand:chr1:29235813-29241381</t>
  </si>
  <si>
    <t>-0.0100 (0.2259)</t>
  </si>
  <si>
    <t>rand:chr20:35273161-35279911</t>
  </si>
  <si>
    <t>0.0807 (0.2684)</t>
  </si>
  <si>
    <t>rand:chr16:67480230-67484335</t>
  </si>
  <si>
    <t>-0.4798 (0.2203)</t>
  </si>
  <si>
    <t>rand:chr20:25194343-25198048</t>
  </si>
  <si>
    <t>-0.1713 (0.1938)</t>
  </si>
  <si>
    <t>rand:chr2:29112689-29118575</t>
  </si>
  <si>
    <t>-0.0722 (0.1983)</t>
  </si>
  <si>
    <t>rand:chr8:94893449-94897233</t>
  </si>
  <si>
    <t>-0.0701 (0.2619)</t>
  </si>
  <si>
    <t>rand:chr1:83996278-84002411</t>
  </si>
  <si>
    <t>-0.2129 (0.2820)</t>
  </si>
  <si>
    <t>rand:chr16:8711516-8715526</t>
  </si>
  <si>
    <t>-0.1323 (0.2688)</t>
  </si>
  <si>
    <t>rand:chr1:21321888-21328094</t>
  </si>
  <si>
    <t>-0.0551 (0.2134)</t>
  </si>
  <si>
    <t>rand:chr1:200737863-200742223</t>
  </si>
  <si>
    <t>0.2800 (0.2329)</t>
  </si>
  <si>
    <t>rand:chr11:43941091-43945406</t>
  </si>
  <si>
    <t>-0.1567 (0.2255)</t>
  </si>
  <si>
    <t>rand:chr8:144753751-144758395</t>
  </si>
  <si>
    <t>-0.0561 (0.2500)</t>
  </si>
  <si>
    <t>rand:chr10:13096439-13103579</t>
  </si>
  <si>
    <t>-0.4629 (0.2619)</t>
  </si>
  <si>
    <t>rand:chr1:92028512-92033591</t>
  </si>
  <si>
    <t>0.0502 (0.2415)</t>
  </si>
  <si>
    <t>rand:chr10:79979440-79983994</t>
  </si>
  <si>
    <t>0.1063 (0.2844)</t>
  </si>
  <si>
    <t>rand:chr13:41059303-41062732</t>
  </si>
  <si>
    <t>-0.1426 (0.2805)</t>
  </si>
  <si>
    <t>rand:chr8:22365344-22371895</t>
  </si>
  <si>
    <t>-0.1976 (0.2204)</t>
  </si>
  <si>
    <t>rand:chr10:127904403-127909248</t>
  </si>
  <si>
    <t>-0.2074 (0.2276)</t>
  </si>
  <si>
    <t>rand:chr14:103332170-103335755</t>
  </si>
  <si>
    <t>0.0422 (0.3720)</t>
  </si>
  <si>
    <t>rand:chr4:6048383-6058217</t>
  </si>
  <si>
    <t>0.0541 (0.1932)</t>
  </si>
  <si>
    <t>rand:chr1:37409030-37416899</t>
  </si>
  <si>
    <t>0.2727 (0.2172)</t>
  </si>
  <si>
    <t>rand:chr2:45648747-45656130</t>
  </si>
  <si>
    <t>0.3400 (0.2757)</t>
  </si>
  <si>
    <t>rand:chr3:35657055-35666241</t>
  </si>
  <si>
    <t>-0.0490 (0.2574)</t>
  </si>
  <si>
    <t>rand:chr11:47213744-47217183</t>
  </si>
  <si>
    <t>-0.1960 (0.2053)</t>
  </si>
  <si>
    <t>rand:chr9:35338377-35346898</t>
  </si>
  <si>
    <t>-0.1397 (0.1994)</t>
  </si>
  <si>
    <t>rand:chr21:32409737-32416395</t>
  </si>
  <si>
    <t>0.2320 (0.2621)</t>
  </si>
  <si>
    <t>rand:chr14:64877947-64881359</t>
  </si>
  <si>
    <t>0.1577 (0.1993)</t>
  </si>
  <si>
    <t>rand:chr13:102844190-102848119</t>
  </si>
  <si>
    <t>0.4249 (0.2291)</t>
  </si>
  <si>
    <t>rand:chr19:6736104-6740186</t>
  </si>
  <si>
    <t>0.2166 (0.2986)</t>
  </si>
  <si>
    <t>rand:chr6:110351690-110361268</t>
  </si>
  <si>
    <t>0.1575 (0.2680)</t>
  </si>
  <si>
    <t>rand:chr6:88161266-88170731</t>
  </si>
  <si>
    <t>0.1288 (0.2665)</t>
  </si>
  <si>
    <t>rand:chr6:33567553-33572721</t>
  </si>
  <si>
    <t>-0.1528 (0.2061)</t>
  </si>
  <si>
    <t>rand:chr2:112577571-112587385</t>
  </si>
  <si>
    <t>0.1273 (0.2497)</t>
  </si>
  <si>
    <t>rand:chr19:405067-410753</t>
  </si>
  <si>
    <t>-0.0495 (0.1645)</t>
  </si>
  <si>
    <t>rand:chr2:239233740-239241402</t>
  </si>
  <si>
    <t>-0.0489 (0.2053)</t>
  </si>
  <si>
    <t>rand:chr5:84381617-84386396</t>
  </si>
  <si>
    <t>-0.0660 (0.2760)</t>
  </si>
  <si>
    <t>rand:chr19:9845667-9854898</t>
  </si>
  <si>
    <t>0.0749 (0.2494)</t>
  </si>
  <si>
    <t>rand:chrX:47617542-47624721</t>
  </si>
  <si>
    <t>-0.0135 (0.1747)</t>
  </si>
  <si>
    <t>rand:chr9:17577555-17583542</t>
  </si>
  <si>
    <t>-0.1170 (0.1747)</t>
  </si>
  <si>
    <t>rand:chr12:109289597-109295603</t>
  </si>
  <si>
    <t>0.2957 (0.2234)</t>
  </si>
  <si>
    <t>rand:chr6:36440987-36445254</t>
  </si>
  <si>
    <t>-0.0244 (0.2023)</t>
  </si>
  <si>
    <t>rand:chr17:42534646-42538781</t>
  </si>
  <si>
    <t>-0.2050 (0.1883)</t>
  </si>
  <si>
    <t>rand:chr5:173886662-173893428</t>
  </si>
  <si>
    <t>-0.2685 (0.3391)</t>
  </si>
  <si>
    <t>rand:chr3:127628202-127632519</t>
  </si>
  <si>
    <t>0.0933 (0.1795)</t>
  </si>
  <si>
    <t>rand:chr20:62230526-62240003</t>
  </si>
  <si>
    <t>-0.0330 (0.2270)</t>
  </si>
  <si>
    <t>rand:chr4:3197466-3204974</t>
  </si>
  <si>
    <t>-0.1474 (0.1620)</t>
  </si>
  <si>
    <t>rand:chr2:199847562-199852566</t>
  </si>
  <si>
    <t>-0.2585 (0.1852)</t>
  </si>
  <si>
    <t>rand:chr3:197595352-197601673</t>
  </si>
  <si>
    <t>0.1575 (0.1912)</t>
  </si>
  <si>
    <t>rand:chr17:72942264-72948067</t>
  </si>
  <si>
    <t>-0.0670 (0.1796)</t>
  </si>
  <si>
    <t>rand:chr22:30324421-30328946</t>
  </si>
  <si>
    <t>-0.1023 (0.1764)</t>
  </si>
  <si>
    <t>rand:chr6:13409622-13415812</t>
  </si>
  <si>
    <t>0.1767 (0.1780)</t>
  </si>
  <si>
    <t>0.2294 (0.4461)</t>
  </si>
  <si>
    <t>0.7962 (0.4772)</t>
  </si>
  <si>
    <t>-0.6337 (0.4857)</t>
  </si>
  <si>
    <t>0.0587 (0.4254)</t>
  </si>
  <si>
    <t>0.4888 (0.4776)</t>
  </si>
  <si>
    <t>0.8118 (0.3377)</t>
  </si>
  <si>
    <t>-0.6138 (0.5061)</t>
  </si>
  <si>
    <t>0.3367 (0.4893)</t>
  </si>
  <si>
    <t>-0.1359 (0.4126)</t>
  </si>
  <si>
    <t>-0.2464 (0.4348)</t>
  </si>
  <si>
    <t>0.1526 (0.5649)</t>
  </si>
  <si>
    <t>-0.8497 (0.4394)</t>
  </si>
  <si>
    <t>-0.3917 (0.4610)</t>
  </si>
  <si>
    <t>-0.3769 (0.4142)</t>
  </si>
  <si>
    <t>-0.3634 (0.4580)</t>
  </si>
  <si>
    <t>0.2080 (0.4361)</t>
  </si>
  <si>
    <t>0.2058 (0.6327)</t>
  </si>
  <si>
    <t>-0.4743 (0.4539)</t>
  </si>
  <si>
    <t>0.3497 (0.5178)</t>
  </si>
  <si>
    <t>0.1160 (0.3897)</t>
  </si>
  <si>
    <t>-0.0925 (0.4662)</t>
  </si>
  <si>
    <t>0.0437 (0.4235)</t>
  </si>
  <si>
    <t>0.5888 (0.4014)</t>
  </si>
  <si>
    <t>-0.3152 (0.5245)</t>
  </si>
  <si>
    <t>0.0373 (0.4593)</t>
  </si>
  <si>
    <t>0.0797 (0.2445)</t>
  </si>
  <si>
    <t>0.1592 (0.4189)</t>
  </si>
  <si>
    <t>-0.4795 (0.5152)</t>
  </si>
  <si>
    <t>0.2962 (0.5157)</t>
  </si>
  <si>
    <t>0.6816 (0.3367)</t>
  </si>
  <si>
    <t>0.2590 (0.3979)</t>
  </si>
  <si>
    <t>0.1331 (0.5240)</t>
  </si>
  <si>
    <t>0.3794 (0.4114)</t>
  </si>
  <si>
    <t>0.2523 (0.4655)</t>
  </si>
  <si>
    <t>-0.2900 (0.4332)</t>
  </si>
  <si>
    <t>0.3065 (0.3940)</t>
  </si>
  <si>
    <t>-0.2978 (0.5399)</t>
  </si>
  <si>
    <t>-0.2362 (0.5115)</t>
  </si>
  <si>
    <t>-0.3768 (0.6947)</t>
  </si>
  <si>
    <t>-0.0673 (0.6495)</t>
  </si>
  <si>
    <t>-0.6245 (0.4848)</t>
  </si>
  <si>
    <t>-1.3308 (0.6104)</t>
  </si>
  <si>
    <t>-0.1962 (0.3235)</t>
  </si>
  <si>
    <t>0.6823 (0.4514)</t>
  </si>
  <si>
    <t>0.7485 (0.4281)</t>
  </si>
  <si>
    <t>0.4903 (0.5368)</t>
  </si>
  <si>
    <t>-0.2194 (0.4508)</t>
  </si>
  <si>
    <t>-1.2254 (0.5969)</t>
  </si>
  <si>
    <t>-0.4008 (0.3705)</t>
  </si>
  <si>
    <t>0.0416 (0.4036)</t>
  </si>
  <si>
    <t>-0.2493 (0.5842)</t>
  </si>
  <si>
    <t>0.2844 (0.4104)</t>
  </si>
  <si>
    <t>0.7711 (0.5190)</t>
  </si>
  <si>
    <t>-0.4286 (0.4143)</t>
  </si>
  <si>
    <t>-0.3884 (0.5600)</t>
  </si>
  <si>
    <t>-0.8007 (0.5660)</t>
  </si>
  <si>
    <t>0.8366 (0.3923)</t>
  </si>
  <si>
    <t>0.5175 (0.4339)</t>
  </si>
  <si>
    <t>0.6959 (0.4030)</t>
  </si>
  <si>
    <t>-0.6369 (0.4874)</t>
  </si>
  <si>
    <t>-0.1882 (0.5174)</t>
  </si>
  <si>
    <t>1.3037 (0.5071)</t>
  </si>
  <si>
    <t>-0.2482 (0.3296)</t>
  </si>
  <si>
    <t>-0.0991 (0.4548)</t>
  </si>
  <si>
    <t>0.0450 (0.5034)</t>
  </si>
  <si>
    <t>0.2881 (0.4320)</t>
  </si>
  <si>
    <t>0.9016 (0.3547)</t>
  </si>
  <si>
    <t>-0.7857 (0.5008)</t>
  </si>
  <si>
    <t>0.1645 (0.2575)</t>
  </si>
  <si>
    <t>-0.0839 (0.2696)</t>
  </si>
  <si>
    <t>0.0113 (0.5847)</t>
  </si>
  <si>
    <t>-0.1194 (0.3088)</t>
  </si>
  <si>
    <t>-0.0431 (0.4727)</t>
  </si>
  <si>
    <t>0.4809 (0.3550)</t>
  </si>
  <si>
    <t>0.3246 (0.5132)</t>
  </si>
  <si>
    <t>0.2285 (0.4076)</t>
  </si>
  <si>
    <t>0.2160 (0.4403)</t>
  </si>
  <si>
    <t>0.6339 (0.4226)</t>
  </si>
  <si>
    <t>-0.2084 (0.5382)</t>
  </si>
  <si>
    <t>-0.4308 (0.5944)</t>
  </si>
  <si>
    <t>-0.3991 (0.5006)</t>
  </si>
  <si>
    <t>-0.4420 (0.5283)</t>
  </si>
  <si>
    <t>0.7033 (0.4048)</t>
  </si>
  <si>
    <t>-0.4674 (0.4055)</t>
  </si>
  <si>
    <t>-0.2351 (0.4202)</t>
  </si>
  <si>
    <t>-0.6030 (0.4481)</t>
  </si>
  <si>
    <t>0.3770 (0.4368)</t>
  </si>
  <si>
    <t>0.3571 (0.4258)</t>
  </si>
  <si>
    <t>-0.1605 (0.4409)</t>
  </si>
  <si>
    <t>-0.0188 (0.5053)</t>
  </si>
  <si>
    <t>0.4354 (0.3938)</t>
  </si>
  <si>
    <t>0.0138 (0.6907)</t>
  </si>
  <si>
    <t>0.3772 (0.3969)</t>
  </si>
  <si>
    <t>0.1721 (0.4161)</t>
  </si>
  <si>
    <t>-0.4593 (0.4364)</t>
  </si>
  <si>
    <t>1.2703 (0.4552)</t>
  </si>
  <si>
    <t>0.4483 (0.3828)</t>
  </si>
  <si>
    <t>-0.0365 (0.3487)</t>
  </si>
  <si>
    <t>0.8087 (0.4049)</t>
  </si>
  <si>
    <t>-0.1016 (0.3946)</t>
  </si>
  <si>
    <t>-0.4830 (0.6167)</t>
  </si>
  <si>
    <t>-0.6231 (0.6897)</t>
  </si>
  <si>
    <t>0.8489 (0.6711)</t>
  </si>
  <si>
    <t>0.5975 (0.6222)</t>
  </si>
  <si>
    <t>0.3493 (0.5823)</t>
  </si>
  <si>
    <t>-0.0677 (0.6162)</t>
  </si>
  <si>
    <t>-0.1425 (0.7318)</t>
  </si>
  <si>
    <t>-0.5789 (0.7003)</t>
  </si>
  <si>
    <t>-0.3874 (0.6490)</t>
  </si>
  <si>
    <t>-0.5366 (0.6504)</t>
  </si>
  <si>
    <t>0.2533 (0.6233)</t>
  </si>
  <si>
    <t>0.1515 (0.7050)</t>
  </si>
  <si>
    <t>-0.4366 (0.7964)</t>
  </si>
  <si>
    <t>-0.2110 (0.8688)</t>
  </si>
  <si>
    <t>0.2941 (0.7179)</t>
  </si>
  <si>
    <t>-0.4292 (0.7254)</t>
  </si>
  <si>
    <t>-0.6351 (0.5682)</t>
  </si>
  <si>
    <t>-0.5875 (0.7490)</t>
  </si>
  <si>
    <t>0.4997 (0.7575)</t>
  </si>
  <si>
    <t>0.3480 (0.4903)</t>
  </si>
  <si>
    <t>0.3541 (0.6542)</t>
  </si>
  <si>
    <t>-0.1418 (0.7219)</t>
  </si>
  <si>
    <t>-0.7347 (0.6044)</t>
  </si>
  <si>
    <t>1.1858 (0.6020)</t>
  </si>
  <si>
    <t>0.0843 (0.6635)</t>
  </si>
  <si>
    <t>-0.2136 (0.6417)</t>
  </si>
  <si>
    <t>0.5690 (0.6830)</t>
  </si>
  <si>
    <t>-0.2799 (0.6294)</t>
  </si>
  <si>
    <t>-0.1862 (0.6304)</t>
  </si>
  <si>
    <t>-0.0349 (0.7412)</t>
  </si>
  <si>
    <t>0.8024 (0.5556)</t>
  </si>
  <si>
    <t>0.4313 (0.7027)</t>
  </si>
  <si>
    <t>0.7334 (0.6965)</t>
  </si>
  <si>
    <t>-0.5631 (0.7102)</t>
  </si>
  <si>
    <t>0.3860 (0.6683)</t>
  </si>
  <si>
    <t>-0.8264 (0.6633)</t>
  </si>
  <si>
    <t>-0.5140 (0.5904)</t>
  </si>
  <si>
    <t>-0.1371 (0.6273)</t>
  </si>
  <si>
    <t>0.5608 (0.6807)</t>
  </si>
  <si>
    <t>-0.7398 (0.6055)</t>
  </si>
  <si>
    <t>-0.8244 (0.6229)</t>
  </si>
  <si>
    <t>1.3200 (0.7734)</t>
  </si>
  <si>
    <t>0.4541 (0.7380)</t>
  </si>
  <si>
    <t>-0.5191 (0.4919)</t>
  </si>
  <si>
    <t>-0.1710 (0.7684)</t>
  </si>
  <si>
    <t>0.2263 (0.7718)</t>
  </si>
  <si>
    <t>-1.2596 (0.6905)</t>
  </si>
  <si>
    <t>0.6490 (0.8199)</t>
  </si>
  <si>
    <t>0.0523 (0.6286)</t>
  </si>
  <si>
    <t>0.7494 (0.5703)</t>
  </si>
  <si>
    <t>0.5656 (0.6094)</t>
  </si>
  <si>
    <t>-0.2063 (0.5068)</t>
  </si>
  <si>
    <t>1.4235 (0.6859)</t>
  </si>
  <si>
    <t>0.2983 (0.6339)</t>
  </si>
  <si>
    <t>0.6051 (0.6482)</t>
  </si>
  <si>
    <t>-0.6141 (0.7740)</t>
  </si>
  <si>
    <t>-0.6292 (0.6486)</t>
  </si>
  <si>
    <t>-0.3865 (0.6805)</t>
  </si>
  <si>
    <t>0.7907 (0.6156)</t>
  </si>
  <si>
    <t>0.7413 (0.6164)</t>
  </si>
  <si>
    <t>0.2776 (0.5685)</t>
  </si>
  <si>
    <t>0.1111 (0.8687)</t>
  </si>
  <si>
    <t>-0.0025 (0.5821)</t>
  </si>
  <si>
    <t>-0.7048 (0.5220)</t>
  </si>
  <si>
    <t>0.2572 (0.8084)</t>
  </si>
  <si>
    <t>0.1895 (0.6365)</t>
  </si>
  <si>
    <t>-0.6256 (0.6859)</t>
  </si>
  <si>
    <t>0.3743 (0.7382)</t>
  </si>
  <si>
    <t>0.4485 (0.5652)</t>
  </si>
  <si>
    <t>-0.5063 (0.4840)</t>
  </si>
  <si>
    <t>-0.5508 (0.8040)</t>
  </si>
  <si>
    <t>0.3476 (0.7106)</t>
  </si>
  <si>
    <t>-0.0204 (0.6211)</t>
  </si>
  <si>
    <t>-0.7453 (0.5463)</t>
  </si>
  <si>
    <t>0.2613 (0.8254)</t>
  </si>
  <si>
    <t>-0.1243 (0.6124)</t>
  </si>
  <si>
    <t>0.5483 (0.5168)</t>
  </si>
  <si>
    <t>0.8092 (0.8356)</t>
  </si>
  <si>
    <t>-0.5947 (0.6368)</t>
  </si>
  <si>
    <t>-0.0797 (0.8776)</t>
  </si>
  <si>
    <t>0.2049 (0.7241)</t>
  </si>
  <si>
    <t>-0.3258 (0.7422)</t>
  </si>
  <si>
    <t>-0.1993 (0.5398)</t>
  </si>
  <si>
    <t>0.4874 (0.5350)</t>
  </si>
  <si>
    <t>-0.1694 (0.8196)</t>
  </si>
  <si>
    <t>0.7704 (0.7740)</t>
  </si>
  <si>
    <t>-0.6996 (0.6429)</t>
  </si>
  <si>
    <t>-0.2965 (0.5717)</t>
  </si>
  <si>
    <t>-0.6170 (0.4778)</t>
  </si>
  <si>
    <t>0.0985 (0.5602)</t>
  </si>
  <si>
    <t>-0.3623 (0.6312)</t>
  </si>
  <si>
    <t>-0.0734 (0.8827)</t>
  </si>
  <si>
    <t>0.1069 (0.5299)</t>
  </si>
  <si>
    <t>-0.0566 (0.6318)</t>
  </si>
  <si>
    <t>0.1902 (0.5416)</t>
  </si>
  <si>
    <t>-0.0486 (0.7070)</t>
  </si>
  <si>
    <t>-0.5800 (0.5669)</t>
  </si>
  <si>
    <t>0.0201 (0.5332)</t>
  </si>
  <si>
    <t>1.3265 (0.5739)</t>
  </si>
  <si>
    <t>-0.4136 (0.4759)</t>
  </si>
  <si>
    <t>-0.0924 (0.2355)</t>
  </si>
  <si>
    <t>0.0082 (0.1869)</t>
  </si>
  <si>
    <t>-0.0160 (0.1843)</t>
  </si>
  <si>
    <t>-0.3293 (0.1529)</t>
  </si>
  <si>
    <t>0.0480 (0.1611)</t>
  </si>
  <si>
    <t>0.1350 (0.2041)</t>
  </si>
  <si>
    <t>-0.1272 (0.2066)</t>
  </si>
  <si>
    <t>-0.1515 (0.2103)</t>
  </si>
  <si>
    <t>0.2322 (0.1703)</t>
  </si>
  <si>
    <t>-0.0549 (0.1794)</t>
  </si>
  <si>
    <t>-0.1584 (0.2091)</t>
  </si>
  <si>
    <t>-0.1620 (0.1770)</t>
  </si>
  <si>
    <t>-0.0539 (0.2110)</t>
  </si>
  <si>
    <t>-0.1206 (0.2279)</t>
  </si>
  <si>
    <t>0.0776 (0.2073)</t>
  </si>
  <si>
    <t>-0.0138 (0.2112)</t>
  </si>
  <si>
    <t>0.4247 (0.1719)</t>
  </si>
  <si>
    <t>0.1004 (0.1979)</t>
  </si>
  <si>
    <t>-0.3184 (0.1782)</t>
  </si>
  <si>
    <t>-0.1306 (0.1212)</t>
  </si>
  <si>
    <t>-0.3422 (0.1874)</t>
  </si>
  <si>
    <t>-0.0727 (0.1890)</t>
  </si>
  <si>
    <t>-0.3770 (0.2237)</t>
  </si>
  <si>
    <t>-0.3055 (0.2520)</t>
  </si>
  <si>
    <t>0.0264 (0.1944)</t>
  </si>
  <si>
    <t>-0.1799 (0.1832)</t>
  </si>
  <si>
    <t>-0.0430 (0.2163)</t>
  </si>
  <si>
    <t>-0.0456 (0.2000)</t>
  </si>
  <si>
    <t>-0.2200 (0.1956)</t>
  </si>
  <si>
    <t>-0.0387 (0.2503)</t>
  </si>
  <si>
    <t>-0.0144 (0.2058)</t>
  </si>
  <si>
    <t>-0.0402 (0.1909)</t>
  </si>
  <si>
    <t>-0.3995 (0.2147)</t>
  </si>
  <si>
    <t>-0.2031 (0.2087)</t>
  </si>
  <si>
    <t>0.3406 (0.1537)</t>
  </si>
  <si>
    <t>-0.0549 (0.1651)</t>
  </si>
  <si>
    <t>-0.2123 (0.2538)</t>
  </si>
  <si>
    <t>0.2006 (0.1658)</t>
  </si>
  <si>
    <t>0.0499 (0.2416)</t>
  </si>
  <si>
    <t>0.0849 (0.1963)</t>
  </si>
  <si>
    <t>-0.1491 (0.2091)</t>
  </si>
  <si>
    <t>-0.1159 (0.2132)</t>
  </si>
  <si>
    <t>0.1393 (0.2049)</t>
  </si>
  <si>
    <t>-0.0916 (0.1887)</t>
  </si>
  <si>
    <t>0.0819 (0.1752)</t>
  </si>
  <si>
    <t>-0.3955 (0.2490)</t>
  </si>
  <si>
    <t>-0.3512 (0.1991)</t>
  </si>
  <si>
    <t>-0.1274 (0.1984)</t>
  </si>
  <si>
    <t>-0.1586 (0.1936)</t>
  </si>
  <si>
    <t>0.0557 (0.1546)</t>
  </si>
  <si>
    <t>0.1878 (0.2173)</t>
  </si>
  <si>
    <t>0.1348 (0.1940)</t>
  </si>
  <si>
    <t>0.2095 (0.1872)</t>
  </si>
  <si>
    <t>-0.5214 (0.1717)</t>
  </si>
  <si>
    <t>0.0371 (0.2069)</t>
  </si>
  <si>
    <t>-0.1309 (0.2041)</t>
  </si>
  <si>
    <t>-0.0289 (0.1690)</t>
  </si>
  <si>
    <t>0.1686 (0.1608)</t>
  </si>
  <si>
    <t>-0.2357 (0.1921)</t>
  </si>
  <si>
    <t>-0.3387 (0.1717)</t>
  </si>
  <si>
    <t>-0.0530 (0.1362)</t>
  </si>
  <si>
    <t>-0.2627 (0.2127)</t>
  </si>
  <si>
    <t>0.1247 (0.1857)</t>
  </si>
  <si>
    <t>-0.1076 (0.1902)</t>
  </si>
  <si>
    <t>-0.0862 (0.2144)</t>
  </si>
  <si>
    <t>0.0904 (0.1626)</t>
  </si>
  <si>
    <t>0.1024 (0.2133)</t>
  </si>
  <si>
    <t>-0.1382 (0.2431)</t>
  </si>
  <si>
    <t>0.3433 (0.1636)</t>
  </si>
  <si>
    <t>0.0682 (0.1692)</t>
  </si>
  <si>
    <t>-0.0729 (0.2358)</t>
  </si>
  <si>
    <t>0.1888 (0.1772)</t>
  </si>
  <si>
    <t>0.0874 (0.1507)</t>
  </si>
  <si>
    <t>0.0868 (0.1465)</t>
  </si>
  <si>
    <t>-0.2634 (0.2994)</t>
  </si>
  <si>
    <t>-0.1181 (0.1902)</t>
  </si>
  <si>
    <t>-0.1781 (0.1770)</t>
  </si>
  <si>
    <t>-0.3928 (0.2154)</t>
  </si>
  <si>
    <t>0.2643 (0.2476)</t>
  </si>
  <si>
    <t>0.2670 (0.1854)</t>
  </si>
  <si>
    <t>0.0708 (0.1603)</t>
  </si>
  <si>
    <t>-0.2738 (0.2142)</t>
  </si>
  <si>
    <t>0.3027 (0.1565)</t>
  </si>
  <si>
    <t>-0.1558 (0.1689)</t>
  </si>
  <si>
    <t>0.1240 (0.2256)</t>
  </si>
  <si>
    <t>-0.1748 (0.1979)</t>
  </si>
  <si>
    <t>-0.0399 (0.1954)</t>
  </si>
  <si>
    <t>0.3144 (0.1649)</t>
  </si>
  <si>
    <t>0.1083 (0.1884)</t>
  </si>
  <si>
    <t>0.1430 (0.1718)</t>
  </si>
  <si>
    <t>-0.1261 (0.1339)</t>
  </si>
  <si>
    <t>-0.1073 (0.2330)</t>
  </si>
  <si>
    <t>-0.0586 (0.1569)</t>
  </si>
  <si>
    <t>-0.0384 (0.2160)</t>
  </si>
  <si>
    <t>0.1481 (0.1534)</t>
  </si>
  <si>
    <t>-0.1498 (0.1595)</t>
  </si>
  <si>
    <t>0.2838 (0.1839)</t>
  </si>
  <si>
    <t>0.1272 (0.1399)</t>
  </si>
  <si>
    <t>0.0391 (0.1853)</t>
  </si>
  <si>
    <t>-0.1606 (0.1753)</t>
  </si>
  <si>
    <t>Note: Single-nucleus ATAC-sequencing (snATAC-seq) support for the ST6GAL1 locus in human cortex. The locus chromatin accessibility block reports chromatin accessibility signal at the lead SNP, the linked PsychENCODE enhancer and the fine-mapped SNP rs10937275 in each cell type, with the background accessibility and the fold enrichment of signal over background. The cell-type comparison block reports the same fold enrichments side by side across cell types (NA indicates cell types without data). The peak-expression association tests block reports linear and Spearman correlations between peak accessibility and ST6GAL1 expression across donor nuclei within each cell type: the analysis-family labels are celltype_specificity, gene_specificity and background_peaks; beta (SE) is the slope of the accessibility-expression regression, P values are two-sided, and FDR was computed by the Benjamini-Hochberg procedure within each analysis family. Abbreviations: ATAC-seq, assay for transposase-accessible chromatin using sequencing; FDR, false discovery rate; SE, standard error; SNP, single-nucleotide polymorphism.</t>
  </si>
  <si>
    <t>Supplementary Table 15. Summary-data-based Mendelian randomization of brain cell-type-specific ST6GAL1 and B3GALT5 expression on influenza and COVID-19.</t>
  </si>
  <si>
    <t>b_SMR (SE)</t>
  </si>
  <si>
    <t>P_SMR</t>
  </si>
  <si>
    <t>P_HEIDI</t>
  </si>
  <si>
    <t>nSNP HEIDI</t>
  </si>
  <si>
    <t>Top SNP</t>
  </si>
  <si>
    <t>Status</t>
  </si>
  <si>
    <t>Significant</t>
  </si>
  <si>
    <t>0.0078 (0.0214)</t>
  </si>
  <si>
    <t>rs613758</t>
  </si>
  <si>
    <t>Chandelier / Pvalb</t>
  </si>
  <si>
    <t>0.0071 (0.0211)</t>
  </si>
  <si>
    <t>rs1475593</t>
  </si>
  <si>
    <t>L2.3.IT</t>
  </si>
  <si>
    <t>0.0110 (0.0161)</t>
  </si>
  <si>
    <t>rs6517553</t>
  </si>
  <si>
    <t>L4.IT</t>
  </si>
  <si>
    <t>0.0100 (0.0146)</t>
  </si>
  <si>
    <t>L5.6.NP</t>
  </si>
  <si>
    <t>error</t>
  </si>
  <si>
    <t>L5.IT</t>
  </si>
  <si>
    <t>L6.CT</t>
  </si>
  <si>
    <t>L6.IT</t>
  </si>
  <si>
    <t>0.0062 (0.0183)</t>
  </si>
  <si>
    <t>L6b</t>
  </si>
  <si>
    <t>Lamp5</t>
  </si>
  <si>
    <t>Lamp5.Lhx6</t>
  </si>
  <si>
    <t>Micro.PVM</t>
  </si>
  <si>
    <t>PC</t>
  </si>
  <si>
    <t>Sst / Sst.Chodl</t>
  </si>
  <si>
    <t>Vip</t>
  </si>
  <si>
    <t>0.0084 (0.0214)</t>
  </si>
  <si>
    <t>rs3787927</t>
  </si>
  <si>
    <t>-0.0292 (0.0393)</t>
  </si>
  <si>
    <t>0.0151 (0.0286)</t>
  </si>
  <si>
    <t>0.0141 (0.0254)</t>
  </si>
  <si>
    <t>0.0128 (0.0231)</t>
  </si>
  <si>
    <t>0.0131 (0.0247)</t>
  </si>
  <si>
    <t>0.0183 (0.0344)</t>
  </si>
  <si>
    <t>0.0092 (0.0129)</t>
  </si>
  <si>
    <t>rs1468906</t>
  </si>
  <si>
    <t>0.0104 (0.0146)</t>
  </si>
  <si>
    <t>0.0092 (0.0130)</t>
  </si>
  <si>
    <t>0.0098 (0.0137)</t>
  </si>
  <si>
    <t>0.0222 (0.0183)</t>
  </si>
  <si>
    <t>rs13064443</t>
  </si>
  <si>
    <t>0.0231 (0.0192)</t>
  </si>
  <si>
    <t>0.0065 (0.0190)</t>
  </si>
  <si>
    <t>rs28366037</t>
  </si>
  <si>
    <t>0.0074 (0.0126)</t>
  </si>
  <si>
    <t>rs2041965</t>
  </si>
  <si>
    <t>0.0067 (0.0153)</t>
  </si>
  <si>
    <t>rs1981767</t>
  </si>
  <si>
    <t>0.0711 (0.0221)</t>
  </si>
  <si>
    <t>0.0713 (0.0222)</t>
  </si>
  <si>
    <t>0.1524 (0.0379)</t>
  </si>
  <si>
    <t>0.1584 (0.0429)</t>
  </si>
  <si>
    <t>0.1049 (0.0357)</t>
  </si>
  <si>
    <t>0.0694 (0.0216)</t>
  </si>
  <si>
    <t>0.0391 (0.0204)</t>
  </si>
  <si>
    <t>Note: Summary-data-based Mendelian randomization (SMR) testing whether the cis-regulatory expression of ST6GAL1 and B3GALT5 in each brain cell type has a causal effect on influenza (FinnGen J10_INFLUENZA) or COVID-19 (COVID-19 HGI B2), using brain cell-type-specific eQTL instruments. b_SMR is the SMR effect estimate (SE) on the liability scale; P values are two-sided. The HEIDI test (P_HEIDI) distinguishes a single shared causal variant from linkage-driven associations; a low P_HEIDI suggests the signal is driven by two distinct variants in linkage disequilibrium. Significant indicates the original study thresholds; HEIDI P &lt; 0.05 is a linkage alert, and four of the six ST6GAL1 associations did not pass this threshold; all significant associations are for ST6GAL1 in J10_INFLUENZA. Rows with Status error could not be computed because of missing cell-type eQTL reference data and are retained for completeness. NA, not computed. Abbreviations: eQTL, expression quantitative trait locus; GWAS, genome-wide association study; HEIDI, heterogeneity in dependent instruments; SE, standard error; SMR, summary-data-based Mendelian randomization; SNP, single-nucleotide polymorphism.</t>
  </si>
  <si>
    <t>Supplementary Table 16. Bidirectional two-sample Mendelian randomization between influenza and the psychiatric disorder GWAS datasets.</t>
  </si>
  <si>
    <t>Direction</t>
  </si>
  <si>
    <t>Exposure</t>
  </si>
  <si>
    <t>nSNP</t>
  </si>
  <si>
    <t>IVW OR (95% CI)</t>
  </si>
  <si>
    <t>IVW P</t>
  </si>
  <si>
    <t>MR-Egger OR</t>
  </si>
  <si>
    <t>MR-Egger P</t>
  </si>
  <si>
    <t>Weighted median OR</t>
  </si>
  <si>
    <t>Weighted median P</t>
  </si>
  <si>
    <t>Egger intercept</t>
  </si>
  <si>
    <t>Egger intercept P</t>
  </si>
  <si>
    <t>Q P (IVW)</t>
  </si>
  <si>
    <t>MR-PRESSO global P</t>
  </si>
  <si>
    <t>Steiger passed</t>
  </si>
  <si>
    <t>Meta OR (95% CI)</t>
  </si>
  <si>
    <t>Meta P</t>
  </si>
  <si>
    <t>Meta FDR</t>
  </si>
  <si>
    <t>nSNP total</t>
  </si>
  <si>
    <t>Panels</t>
  </si>
  <si>
    <t>n IVs</t>
  </si>
  <si>
    <t>Instrument R2</t>
  </si>
  <si>
    <t>Detectable OR upper</t>
  </si>
  <si>
    <t>Detectable OR lower</t>
  </si>
  <si>
    <t>Power</t>
  </si>
  <si>
    <t>Per-panel MR</t>
  </si>
  <si>
    <t>Forward</t>
  </si>
  <si>
    <t>1.0519 (0.9466, 1.1691)</t>
  </si>
  <si>
    <t>1.0443 (0.9327, 1.1693)</t>
  </si>
  <si>
    <t>1.0849 (0.9431, 1.2481)</t>
  </si>
  <si>
    <t>1.0277 (0.9768, 1.0812)</t>
  </si>
  <si>
    <t>0.9483 (0.7910, 1.1369)</t>
  </si>
  <si>
    <t>0.9968 (0.9009, 1.1029)</t>
  </si>
  <si>
    <t>1.0222 (0.9377, 1.1144)</t>
  </si>
  <si>
    <t>0.8183 (0.6756, 0.9912)</t>
  </si>
  <si>
    <t>1.0834 (0.9986, 1.1754)</t>
  </si>
  <si>
    <t>0.9571 (0.7977, 1.1483)</t>
  </si>
  <si>
    <t>1.0017 (0.9208, 1.0896)</t>
  </si>
  <si>
    <t>0.9867 (0.9164, 1.0624)</t>
  </si>
  <si>
    <t>1.0015 (0.9984, 1.0046)</t>
  </si>
  <si>
    <t>1.0166 (0.9939, 1.0399)</t>
  </si>
  <si>
    <t>1.0016 (0.9766, 1.0273)</t>
  </si>
  <si>
    <t>1.0097 (0.8962, 1.1376)</t>
  </si>
  <si>
    <t>1.0034 (0.9859, 1.0212)</t>
  </si>
  <si>
    <t>1.0837 (0.9982, 1.1764)</t>
  </si>
  <si>
    <t>1.0281 (0.9331, 1.1327)</t>
  </si>
  <si>
    <t>1.1652 (0.9916, 1.3693)</t>
  </si>
  <si>
    <t>1.0256 (0.9281, 1.1333)</t>
  </si>
  <si>
    <t>1.0304 (0.9349, 1.1356)</t>
  </si>
  <si>
    <t>0.9287 (0.6821, 1.2643)</t>
  </si>
  <si>
    <t>1.0830 (0.9988, 1.1742)</t>
  </si>
  <si>
    <t>0.8353 (0.7094, 0.9837)</t>
  </si>
  <si>
    <t>1.0041 (0.9670, 1.0426)</t>
  </si>
  <si>
    <t>1.1280 (1.0024, 1.2694)</t>
  </si>
  <si>
    <t>1.0042 (0.9902, 1.0183)</t>
  </si>
  <si>
    <t>0.9952 (0.9214, 1.0749)</t>
  </si>
  <si>
    <t>1.0079 (0.9295, 1.0929)</t>
  </si>
  <si>
    <t>1.0290 (0.8085, 1.3096)</t>
  </si>
  <si>
    <t>Reverse</t>
  </si>
  <si>
    <t>1.0338 (0.9778, 1.0930)</t>
  </si>
  <si>
    <t>1.0150 (0.9488, 1.0857)</t>
  </si>
  <si>
    <t>1.0354 (0.9823, 1.0914)</t>
  </si>
  <si>
    <t>1.2240 (1.1377, 1.3169)</t>
  </si>
  <si>
    <t>1.0433 (0.9641, 1.1291)</t>
  </si>
  <si>
    <t>1.0223 (0.9791, 1.0674)</t>
  </si>
  <si>
    <t>1.0643 (0.9248, 1.2249)</t>
  </si>
  <si>
    <t>1.0202 (0.9833, 1.0584)</t>
  </si>
  <si>
    <t>1.0334 (0.9448, 1.1304)</t>
  </si>
  <si>
    <t>1.0293 (0.9537, 1.1109)</t>
  </si>
  <si>
    <t>1.1392 (1.0498, 1.2363)</t>
  </si>
  <si>
    <t>0.9700 (0.9303, 1.0114)</t>
  </si>
  <si>
    <t>3.7338 (0.1463, 95.2773)</t>
  </si>
  <si>
    <t>1.0751 (0.8366, 1.3815)</t>
  </si>
  <si>
    <t>1.1324 (0.7936, 1.6159)</t>
  </si>
  <si>
    <t>1.0411 (0.9411, 1.1517)</t>
  </si>
  <si>
    <t>0.9919 (0.7866, 1.2508)</t>
  </si>
  <si>
    <t>1.0525 (0.9517, 1.1640)</t>
  </si>
  <si>
    <t>1.0695 (0.9985, 1.1456)</t>
  </si>
  <si>
    <t>0.9328 (0.8626, 1.0087)</t>
  </si>
  <si>
    <t>0.8759 (0.7668, 1.0004)</t>
  </si>
  <si>
    <t>1.0466 (0.9777, 1.1204)</t>
  </si>
  <si>
    <t>0.9775 (0.9387, 1.0179)</t>
  </si>
  <si>
    <t>1.0190 (0.9895, 1.0494)</t>
  </si>
  <si>
    <t>1.0362 (0.9931, 1.0812)</t>
  </si>
  <si>
    <t>0.9916 (0.9563, 1.0281)</t>
  </si>
  <si>
    <t>1.1691 (0.8192, 1.6684)</t>
  </si>
  <si>
    <t>0.9925 (0.9314, 1.0576)</t>
  </si>
  <si>
    <t>1.7326 (1.4303, 2.0987)</t>
  </si>
  <si>
    <t>1.0267 (0.9299, 1.1335)</t>
  </si>
  <si>
    <t>1.1434 (1.0273, 1.2726)</t>
  </si>
  <si>
    <t>0.9886 (0.9569, 1.0212)</t>
  </si>
  <si>
    <t>Reverse meta-analysis</t>
  </si>
  <si>
    <t>Meta (fixed effect)</t>
  </si>
  <si>
    <t>1.2250 (1.1380, 1.3180)</t>
  </si>
  <si>
    <t>Primary;Replication</t>
  </si>
  <si>
    <t>1.1410 (1.0530, 1.2350)</t>
  </si>
  <si>
    <t>1.0790 (1.0030, 1.1600)</t>
  </si>
  <si>
    <t>1.0580 (1.0080, 1.1100)</t>
  </si>
  <si>
    <t>1.0490 (0.9870, 1.1140)</t>
  </si>
  <si>
    <t>1.0420 (0.9660, 1.1240)</t>
  </si>
  <si>
    <t>1.0360 (0.9810, 1.0940)</t>
  </si>
  <si>
    <t>1.0290 (0.9990, 1.0610)</t>
  </si>
  <si>
    <t>1.0280 (0.9860, 1.0710)</t>
  </si>
  <si>
    <t>1.0200 (0.9900, 1.0500)</t>
  </si>
  <si>
    <t>1.0050 (0.9800, 1.0320)</t>
  </si>
  <si>
    <t>0.9770 (0.9020, 1.0590)</t>
  </si>
  <si>
    <t>0.9770 (0.9500, 1.0060)</t>
  </si>
  <si>
    <t>0.9760 (0.9180, 1.0380)</t>
  </si>
  <si>
    <t>0.9710 (0.9320, 1.0110)</t>
  </si>
  <si>
    <t>Forward meta-analysis</t>
  </si>
  <si>
    <t>Meta</t>
  </si>
  <si>
    <t>1.100 (1.022, 1.183)</t>
  </si>
  <si>
    <t>1.060 (0.971, 1.158)</t>
  </si>
  <si>
    <t>1.054 (0.993, 1.118)</t>
  </si>
  <si>
    <t>1.029 (0.961, 1.102)</t>
  </si>
  <si>
    <t>1.029 (0.808, 1.310)</t>
  </si>
  <si>
    <t>1.019 (0.944, 1.100)</t>
  </si>
  <si>
    <t>1.018 (0.996, 1.041)</t>
  </si>
  <si>
    <t>1.009 (0.985, 1.033)</t>
  </si>
  <si>
    <t>1.006 (0.992, 1.020)</t>
  </si>
  <si>
    <t>1.004 (0.970, 1.039)</t>
  </si>
  <si>
    <t>1.002 (0.985, 1.020)</t>
  </si>
  <si>
    <t>1.002 (0.999, 1.005)</t>
  </si>
  <si>
    <t>1.001 (0.947, 1.059)</t>
  </si>
  <si>
    <t>0.997 (0.928, 1.071)</t>
  </si>
  <si>
    <t>0.953 (0.838, 1.083)</t>
  </si>
  <si>
    <t>0.929 (0.747, 1.155)</t>
  </si>
  <si>
    <t>0.828 (0.731, 0.938)</t>
  </si>
  <si>
    <t>Forward power</t>
  </si>
  <si>
    <t>Note: Two-sample Mendelian randomization (MR) between influenza (FinnGen J10_INFLUENZA) and the psychiatric disorder GWAS datasets, in both directions. The per-panel MR block reports estimates for the primary and replication panels separately. Forward and reverse meta-analysis blocks report fixed-effect IVW composite estimates; because some panels share cohorts or are nested, these composites are descriptive rather than independent replication. FDR was computed by the Benjamini-Hochberg procedure within direction. Effect estimates are odds ratios (OR) per genetically higher liability to the exposure trait, with 95% confidence intervals in parentheses. MR-Egger and weighted median estimates are sensitivity analyses; the Egger intercept P value tests directional pleiotropy; the Q P value is Cochran's Q heterogeneity statistic for the IVW model; the MR-PRESSO global P value tests overall horizontal pleiotropy; Steiger filtering indicates whether the instrument explained more variance in the exposure than in the outcome (causal direction consistent). The forward power block reports, for each panel, the number of instrumental variants (n IVs), their combined R2, and the smallest and largest OR detectable at 80% power with alpha = 0.05 for the influenza-to-disorder direction. P values are two-sided. NA, not estimated or not applicable. Abbreviations: CI, confidence interval; FDR, false discovery rate; IVW, inverse variance weighted; MR, Mendelian randomization; OR, odds ratio; SNP, single-nucleotide polymorphism.</t>
  </si>
  <si>
    <t>Supplementary Table 17. Bias-corrected Mendelian randomization of the effect of psychiatric disorders on influenza by MRlap.</t>
  </si>
  <si>
    <t>Observed beta</t>
  </si>
  <si>
    <t>Observed SE</t>
  </si>
  <si>
    <t>Observed P</t>
  </si>
  <si>
    <t>MR-Egger beta</t>
  </si>
  <si>
    <t>Corrected beta</t>
  </si>
  <si>
    <t>Corrected SE</t>
  </si>
  <si>
    <t>Corrected P</t>
  </si>
  <si>
    <t>FDR (panel)</t>
  </si>
  <si>
    <t>FDR (all)</t>
  </si>
  <si>
    <t>Difference statistic</t>
  </si>
  <si>
    <t>Difference P</t>
  </si>
  <si>
    <t>h2 exposure</t>
  </si>
  <si>
    <t>h2 outcome</t>
  </si>
  <si>
    <t>Cross-trait intercept</t>
  </si>
  <si>
    <t>Polygenicity</t>
  </si>
  <si>
    <t>ADHD</t>
  </si>
  <si>
    <t>ieu_b_5110</t>
  </si>
  <si>
    <t>ieu_a_1189</t>
  </si>
  <si>
    <t>no IV left after thresholding</t>
  </si>
  <si>
    <t>PTSD</t>
  </si>
  <si>
    <t>ieu_b_5102</t>
  </si>
  <si>
    <t>insufficient IVs (1 left after pruning)</t>
  </si>
  <si>
    <t>ieu_b_7</t>
  </si>
  <si>
    <t>Note: MRlap bias-corrected Mendelian randomization for the disorder-to-influenza (reverse) direction in the primary and replication panels. MRlap re-estimates the causal effect after modelling and removing bias from linkage disequilibrium and sample overlap between the exposure and outcome GWAS. Observed beta is the standard inverse-variance-weighted estimate and corrected beta the MRlap bias-corrected estimate, reported as beta (SE) on the log-odds ratio scale per standard deviation higher genetic liability to the disorder; P values are two-sided. m IVs is the number of instrumental variants retained after MRlap pruning. Status indicates pairs for which MRlap could not be computed because too few instruments remained; for these pairs corrected estimates are not available. FDR was computed by the Benjamini-Hochberg procedure within each panel (FDR panel) and across all 33 tests (FDR all). The difference test statistic and its P value compare the corrected and observed estimates. h2 exposure and h2 outcome are the SNP-based heritabilities used by MRlap; rg is their genetic correlation; the cross-trait intercept estimates correlation due to sample overlap; polygenicity is the estimated fraction of causal variants. NA, not estimated. Abbreviations: FDR, false discovery rate; IV, instrumental variant; MR, Mendelian randomization; SE, standard error; SNP, single-nucleotide polymorphism.</t>
  </si>
  <si>
    <t>Supplementary Table 18. Multivariable Mendelian randomization of substance-use traits on influenza and related outcomes.</t>
  </si>
  <si>
    <t>Exposure accession</t>
  </si>
  <si>
    <t>Covariate accessions</t>
  </si>
  <si>
    <t>OR</t>
  </si>
  <si>
    <t>OR_lci</t>
  </si>
  <si>
    <t>OR_uci</t>
  </si>
  <si>
    <t>Q P</t>
  </si>
  <si>
    <t>Conditional F (main)</t>
  </si>
  <si>
    <t>Conditional F (min)</t>
  </si>
  <si>
    <t>Analysis note</t>
  </si>
  <si>
    <t>MVMR models</t>
  </si>
  <si>
    <t>Tobacco_p5e5</t>
  </si>
  <si>
    <t>GCST009004;GCST90566697</t>
  </si>
  <si>
    <t>Threshold sensitivity p=5e-5</t>
  </si>
  <si>
    <t>Tobacco_pneumonia</t>
  </si>
  <si>
    <t>Specificity test on pneumonia</t>
  </si>
  <si>
    <t>Tobacco_p1e4</t>
  </si>
  <si>
    <t>Threshold sensitivity p=1e-4</t>
  </si>
  <si>
    <t>Tobacco_p1e4_Rep</t>
  </si>
  <si>
    <t>Replication threshold p=1e-4</t>
  </si>
  <si>
    <t>Tobacco_adj_neutrophil</t>
  </si>
  <si>
    <t>ieu-b-34;GCST009004;GCST90566697</t>
  </si>
  <si>
    <t>Control for neutrophil count</t>
  </si>
  <si>
    <t>Tobacco_simple</t>
  </si>
  <si>
    <t>Minimal covariates to maximize conditional F</t>
  </si>
  <si>
    <t>Tobacco_p5e7</t>
  </si>
  <si>
    <t>Threshold sensitivity p=5e-7</t>
  </si>
  <si>
    <t>Tobacco_adj_smoking</t>
  </si>
  <si>
    <t>GCST007327;GCST009004;GCST90566697</t>
  </si>
  <si>
    <t>Control for smoking status</t>
  </si>
  <si>
    <t>Tobacco_simple_adjEdu_only</t>
  </si>
  <si>
    <t>IV strength check: adjust for education only</t>
  </si>
  <si>
    <t>Tobacco_kb_5000</t>
  </si>
  <si>
    <t>Clumping kb=5000</t>
  </si>
  <si>
    <t>Tobacco_adj_smoking_Rep</t>
  </si>
  <si>
    <t>Replication control smoking</t>
  </si>
  <si>
    <t>Tobacco_p1e7</t>
  </si>
  <si>
    <t>Threshold sensitivity p=1e-7</t>
  </si>
  <si>
    <t>Tobacco_simple_Rep</t>
  </si>
  <si>
    <t>Replication minimal model</t>
  </si>
  <si>
    <t>Tobacco_kb_1000_Rep</t>
  </si>
  <si>
    <t>Replication kb=1000</t>
  </si>
  <si>
    <t>Tobacco_kb_5000_Rep</t>
  </si>
  <si>
    <t>Replication kb=5000</t>
  </si>
  <si>
    <t>Tobacco_r2_01_Rep</t>
  </si>
  <si>
    <t>Replication r2=0.01</t>
  </si>
  <si>
    <t>Tobacco_r2_005_Rep</t>
  </si>
  <si>
    <t>Replication r2=0.005</t>
  </si>
  <si>
    <t>Tobacco_flu_pneumonia</t>
  </si>
  <si>
    <t>Broader influenza+pneumonia outcome</t>
  </si>
  <si>
    <t>Tobacco_adj_asthma</t>
  </si>
  <si>
    <t>GCST008916;GCST009004;GCST90566697</t>
  </si>
  <si>
    <t>Control for asthma/airway</t>
  </si>
  <si>
    <t>Tobacco_p5e6_Rep</t>
  </si>
  <si>
    <t>Replication threshold p=5e-6</t>
  </si>
  <si>
    <t>Tobacco_kb_500_Rep</t>
  </si>
  <si>
    <t>Replication kb=500</t>
  </si>
  <si>
    <t>Tobacco_kb_250_Rep</t>
  </si>
  <si>
    <t>Replication kb=250</t>
  </si>
  <si>
    <t>Tobacco_kb_1000</t>
  </si>
  <si>
    <t>Clumping kb=1000</t>
  </si>
  <si>
    <t>Tobacco_r2_05_Rep</t>
  </si>
  <si>
    <t>Replication r2=0.05</t>
  </si>
  <si>
    <t>Tobacco_r2_005</t>
  </si>
  <si>
    <t>Relaxed clumping r2=0.005</t>
  </si>
  <si>
    <t>Tobacco_r2_01</t>
  </si>
  <si>
    <t>Relaxed clumping r2=0.01</t>
  </si>
  <si>
    <t>Tobacco_phecode_primary</t>
  </si>
  <si>
    <t>Alternative tobacco phenotype: PheCode 318 (Primary)</t>
  </si>
  <si>
    <t>Tobacco_adj_healthcare</t>
  </si>
  <si>
    <t>GCST90292604;GCST009004;GCST90566697</t>
  </si>
  <si>
    <t>Control for healthcare contact</t>
  </si>
  <si>
    <t>Tobacco_kb_500</t>
  </si>
  <si>
    <t>Clumping kb=500</t>
  </si>
  <si>
    <t>Tobacco_p5e7_Rep</t>
  </si>
  <si>
    <t>Replication threshold p=5e-7</t>
  </si>
  <si>
    <t>Tobacco_univariate</t>
  </si>
  <si>
    <t>Univariate MR no covariates (instrument strength reference)</t>
  </si>
  <si>
    <t>Tobacco_simple_adjBMI_only</t>
  </si>
  <si>
    <t>IV strength check: adjust for BMI only</t>
  </si>
  <si>
    <t>Tobacco_p1e6</t>
  </si>
  <si>
    <t>Threshold sensitivity p=1e-6</t>
  </si>
  <si>
    <t>Tobacco_p1e7_Rep</t>
  </si>
  <si>
    <t>Replication threshold p=1e-7</t>
  </si>
  <si>
    <t>Tobacco_kb_250</t>
  </si>
  <si>
    <t>Tight clumping kb=250</t>
  </si>
  <si>
    <t>Tobacco_p1e6_Rep</t>
  </si>
  <si>
    <t>Replication threshold p=1e-6</t>
  </si>
  <si>
    <t>Tobacco_r2_05</t>
  </si>
  <si>
    <t>Relaxed clumping r2=0.05</t>
  </si>
  <si>
    <t>Tobacco_p5e6</t>
  </si>
  <si>
    <t>Threshold sensitivity p=5e-6</t>
  </si>
  <si>
    <t>Opiate_simple_Rep</t>
  </si>
  <si>
    <t>Opiate dependence replication</t>
  </si>
  <si>
    <t>Opiate_simple</t>
  </si>
  <si>
    <t>Opiate dependence as exposure</t>
  </si>
  <si>
    <t>Smoking_simple</t>
  </si>
  <si>
    <t>Smoking status as exposure</t>
  </si>
  <si>
    <t>Alcohol_simple_Rep</t>
  </si>
  <si>
    <t>Alcohol dependence replication</t>
  </si>
  <si>
    <t>Alcohol_simple</t>
  </si>
  <si>
    <t>Alcohol dependence as exposure</t>
  </si>
  <si>
    <t>GSCAN_CigarettesPerDay_pneumonia</t>
  </si>
  <si>
    <t>GSCAN_CigarettesPerDay_flupneu</t>
  </si>
  <si>
    <t>GSCAN_CigarettesPerDay_pneumonia_adjBMI</t>
  </si>
  <si>
    <t>GSCAN_SmokingInitiation_pneumonia</t>
  </si>
  <si>
    <t>Pneumonia outcome (J10_INFLUPNEU surrogate)</t>
  </si>
  <si>
    <t>GSCAN_SmokingInitiation_pneumonia_adjBMI</t>
  </si>
  <si>
    <t>Pneumonia outcome + BMI</t>
  </si>
  <si>
    <t>GSCAN_CigarettesPerDay_flupneu_adjBMI</t>
  </si>
  <si>
    <t>GSCAN_SmokingInitiation_flupneu</t>
  </si>
  <si>
    <t>GSCAN_SmokingInitiation_flupneu_adjBMI</t>
  </si>
  <si>
    <t>GSCAN_SmokingInitiation_pneumonia_adjEdu</t>
  </si>
  <si>
    <t>Pneumonia outcome + Education</t>
  </si>
  <si>
    <t>GSCAN_CigarettesPerDay_pneumonia_adjEdu</t>
  </si>
  <si>
    <t>GSCAN_SmokingInitiation_flupneu_adjEdu</t>
  </si>
  <si>
    <t>GSCAN_CigarettesPerDay_flupneu_adjEdu</t>
  </si>
  <si>
    <t>GSCAN_SmokingInitiation_covid</t>
  </si>
  <si>
    <t>GSCAN_SmokingInitiation_covid_adjBMI</t>
  </si>
  <si>
    <t>GSCAN_CigarettesPerDay_flu</t>
  </si>
  <si>
    <t>Cigarettes per day unadjusted</t>
  </si>
  <si>
    <t>GSCAN_SmokingInitiation_flu_adjBMI</t>
  </si>
  <si>
    <t>GSCAN_SmokingInitiation_flu</t>
  </si>
  <si>
    <t>Smoking initiation unadjusted</t>
  </si>
  <si>
    <t>GSCAN_SmokingInitiation_flu_adjEdu</t>
  </si>
  <si>
    <t>GSCAN_CigarettesPerDay_covid</t>
  </si>
  <si>
    <t>GSCAN_CigarettesPerDay_flu_adjBMI</t>
  </si>
  <si>
    <t>GSCAN_CigarettesPerDay_flu_adjEdu</t>
  </si>
  <si>
    <t>GSCAN_CigarettesPerDay_covid_adjBMI</t>
  </si>
  <si>
    <t>GSCAN_SmokingInitiation_covid_adjEdu</t>
  </si>
  <si>
    <t>GSCAN_CigarettesPerDay_covid_adjEdu</t>
  </si>
  <si>
    <t>Tobacco_any_infection_hosp</t>
  </si>
  <si>
    <t>Tobacco on any infection hospitalized</t>
  </si>
  <si>
    <t>Tobacco_pneumonia_large</t>
  </si>
  <si>
    <t>Tobacco on large pneumonia GWAS</t>
  </si>
  <si>
    <t>Tobacco_pneumonia_hosp</t>
  </si>
  <si>
    <t>Tobacco on pneumonia hospitalized</t>
  </si>
  <si>
    <t>Tobacco_influenza_pneumonia_J09J18</t>
  </si>
  <si>
    <t>Tobacco on influenza and pneumonia J09-J18</t>
  </si>
  <si>
    <t>Tobacco_flu_Rep_extended</t>
  </si>
  <si>
    <t>Tobacco replication extended</t>
  </si>
  <si>
    <t>Alcohol_covid_hosp</t>
  </si>
  <si>
    <t>Alcohol on COVID-19 hospitalized</t>
  </si>
  <si>
    <t>Tobacco_covid_hosp</t>
  </si>
  <si>
    <t>Tobacco on COVID-19 hospitalized</t>
  </si>
  <si>
    <t>Opiate_any_infection_hosp</t>
  </si>
  <si>
    <t>Opiate on any infection hospitalized</t>
  </si>
  <si>
    <t>MultiSUD_flu</t>
  </si>
  <si>
    <t>GCST90691929;GCST90435890;GCST90018994</t>
  </si>
  <si>
    <t>Multiple SUD on influenza</t>
  </si>
  <si>
    <t>Opiate_pneumonia_large</t>
  </si>
  <si>
    <t>Opiate on large pneumonia GWAS</t>
  </si>
  <si>
    <t>Opiate_covid_hosp</t>
  </si>
  <si>
    <t>Opiate on COVID-19 hospitalized</t>
  </si>
  <si>
    <t>Opiate_flu</t>
  </si>
  <si>
    <t>Opiate on influenza</t>
  </si>
  <si>
    <t>Alcohol_covid_critical</t>
  </si>
  <si>
    <t>Alcohol on COVID-19 critical</t>
  </si>
  <si>
    <t>Opiate_covid_critical</t>
  </si>
  <si>
    <t>Opiate on COVID-19 critical</t>
  </si>
  <si>
    <t>Tobacco_covid_critical</t>
  </si>
  <si>
    <t>Tobacco on COVID-19 critical</t>
  </si>
  <si>
    <t>Alcohol_flu</t>
  </si>
  <si>
    <t>Alcohol on influenza</t>
  </si>
  <si>
    <t>Alcohol_any_infection_hosp</t>
  </si>
  <si>
    <t>Alcohol on any infection hospitalized</t>
  </si>
  <si>
    <t>Alcohol_pneumonia_large</t>
  </si>
  <si>
    <t>Alcohol on large pneumonia GWAS</t>
  </si>
  <si>
    <t>Supplementary Table 19. Incident psychiatric diagnoses after influenza, upper respiratory tract infection and pneumonia in UK Biobank.</t>
  </si>
  <si>
    <t>section</t>
  </si>
  <si>
    <t>exposure</t>
  </si>
  <si>
    <t>analysis</t>
  </si>
  <si>
    <t>outcome</t>
  </si>
  <si>
    <t>term</t>
  </si>
  <si>
    <t>contrast</t>
  </si>
  <si>
    <t>estimate_type</t>
  </si>
  <si>
    <t>estimate</t>
  </si>
  <si>
    <t>ci_lo</t>
  </si>
  <si>
    <t>ci_hi</t>
  </si>
  <si>
    <t>p</t>
  </si>
  <si>
    <t>n_total</t>
  </si>
  <si>
    <t>n_events</t>
  </si>
  <si>
    <t>n_exposed</t>
  </si>
  <si>
    <t>events_exposed</t>
  </si>
  <si>
    <t>py_exposed</t>
  </si>
  <si>
    <t>events_unexposed</t>
  </si>
  <si>
    <t>py_unexposed</t>
  </si>
  <si>
    <t>crude_rr</t>
  </si>
  <si>
    <t>stratifier</t>
  </si>
  <si>
    <t>stratum</t>
  </si>
  <si>
    <t>note</t>
  </si>
  <si>
    <t>main</t>
  </si>
  <si>
    <t>flu</t>
  </si>
  <si>
    <t>crude</t>
  </si>
  <si>
    <t>any_psych</t>
  </si>
  <si>
    <t>incident flu vs never-flu</t>
  </si>
  <si>
    <t>RR</t>
  </si>
  <si>
    <t>unadjusted</t>
  </si>
  <si>
    <t>no_lifestyle</t>
  </si>
  <si>
    <t>primary</t>
  </si>
  <si>
    <t>mutual</t>
  </si>
  <si>
    <t>sensitivity</t>
  </si>
  <si>
    <t>S0_unadjusted</t>
  </si>
  <si>
    <t>S1_nolifestyle</t>
  </si>
  <si>
    <t>S2_plus_healthcare_contact</t>
  </si>
  <si>
    <t>S3_plus_index_year</t>
  </si>
  <si>
    <t>S4_logit_2y_window</t>
  </si>
  <si>
    <t>S5_min2y_followup</t>
  </si>
  <si>
    <t>strata</t>
  </si>
  <si>
    <t>stratified</t>
  </si>
  <si>
    <t>gp_nerves</t>
  </si>
  <si>
    <t>missing</t>
  </si>
  <si>
    <t>no</t>
  </si>
  <si>
    <t>yes</t>
  </si>
  <si>
    <t>psych_spec</t>
  </si>
  <si>
    <t>hosp_ever</t>
  </si>
  <si>
    <t>ever</t>
  </si>
  <si>
    <t>never</t>
  </si>
  <si>
    <t>F17_tobacco</t>
  </si>
  <si>
    <t>F20_schizophrenia</t>
  </si>
  <si>
    <t>F25_schizoaffective</t>
  </si>
  <si>
    <t>F30_mania</t>
  </si>
  <si>
    <t>F31_bipolar</t>
  </si>
  <si>
    <t>not_converged</t>
  </si>
  <si>
    <t>zero_events_exposed</t>
  </si>
  <si>
    <t>F32_dep_single</t>
  </si>
  <si>
    <t>F33_dep_recur</t>
  </si>
  <si>
    <t>F34_persistent_mood</t>
  </si>
  <si>
    <t>F38_other_mood</t>
  </si>
  <si>
    <t>F39_unspec_mood</t>
  </si>
  <si>
    <t>F40_phobic</t>
  </si>
  <si>
    <t>F41_anxiety</t>
  </si>
  <si>
    <t>F42_ocd</t>
  </si>
  <si>
    <t>F43_stress_ptsd</t>
  </si>
  <si>
    <t>uri</t>
  </si>
  <si>
    <t>incident uri vs never-uri</t>
  </si>
  <si>
    <t>pne</t>
  </si>
  <si>
    <t>incident pne vs never-pne</t>
  </si>
  <si>
    <t>Note: Rate ratios (RR) compare incident psychiatric diagnoses after influenza (J09–J11), upper respiratory tract infection (J00–J06) or pneumonia (J12–J18) with the corresponding unexposed participants. The primary analysis adjusts for demographic and lifestyle covariates but not healthcare-contact indicators; the S2 sensitivity model adds those indicators. Other analysis labels denote crude, progressively adjusted and sensitivity models. Person-years (py), event counts and exposed sample sizes are reported where applicable. Empty cells indicate quantities not estimated for that model. Abbreviations: CI, confidence interval; RR, rate ratio; UKB, UK Biobank.</t>
  </si>
  <si>
    <t>Supplementary Table 20. Smoking status, cigarette dose and self-reported recent flu, pneumonia or ear infection in NHANES 2005–2018.</t>
  </si>
  <si>
    <t>cycle</t>
  </si>
  <si>
    <t>model</t>
  </si>
  <si>
    <t>adjustment</t>
  </si>
  <si>
    <t>n_exposed_flu</t>
  </si>
  <si>
    <t>p_value</t>
  </si>
  <si>
    <t>est_type</t>
  </si>
  <si>
    <t>smoking_status</t>
  </si>
  <si>
    <t>2005-2006</t>
  </si>
  <si>
    <t>M1</t>
  </si>
  <si>
    <t>former</t>
  </si>
  <si>
    <t>former_vs_never</t>
  </si>
  <si>
    <t>age+sex+race(+cycle)</t>
  </si>
  <si>
    <t>current</t>
  </si>
  <si>
    <t>current_vs_never</t>
  </si>
  <si>
    <t>M2</t>
  </si>
  <si>
    <t>M1+poverty_ratio+education</t>
  </si>
  <si>
    <t>smoking_dose</t>
  </si>
  <si>
    <t>cpd_1_9</t>
  </si>
  <si>
    <t>cpd_1_9_vs_never</t>
  </si>
  <si>
    <t>cpd_10_19</t>
  </si>
  <si>
    <t>cpd_10_19_vs_never</t>
  </si>
  <si>
    <t>cpd_20p</t>
  </si>
  <si>
    <t>cpd_20p_vs_never</t>
  </si>
  <si>
    <t>2007-2008</t>
  </si>
  <si>
    <t>2009-2010</t>
  </si>
  <si>
    <t>2011-2012</t>
  </si>
  <si>
    <t>2013-2014</t>
  </si>
  <si>
    <t>2015-2016</t>
  </si>
  <si>
    <t>2017-2018</t>
  </si>
  <si>
    <t>Pooled_2005_2018</t>
  </si>
  <si>
    <t>Note: Survey-weighted logistic regression examined self-reported recent flu, pneumonia or ear infection in the past 30 days (HSQ520; a composite item, not influenza-like illness). M1 adjusted for age, sex, race/ethnicity and cycle; M2 additionally adjusted for poverty ratio and education. Current smokers were categorized as 1–9, 10–19 or at least 20 cigarettes per day. Models used MEC examination weights divided by the number of pooled cycles and HC1 robust standard errors; strata and PSU were not modelled, so standard errors may be understated. OR, odds ratio; CI, confidence interval; MEC, mobile examination center; NHANES, National Health and Nutrition Examination Survey.</t>
  </si>
  <si>
    <t>Supplementary Table 21. Doctor-diagnosed depression, perceived stress, smoking and influenza vaccination in KNHANES 2016–2019.</t>
  </si>
  <si>
    <t>level</t>
  </si>
  <si>
    <t>events</t>
  </si>
  <si>
    <t>exposed</t>
  </si>
  <si>
    <t>dep_dx</t>
  </si>
  <si>
    <t>1</t>
  </si>
  <si>
    <t>2016</t>
  </si>
  <si>
    <t>age+sex(+cycle)</t>
  </si>
  <si>
    <t>2017</t>
  </si>
  <si>
    <t>2018</t>
  </si>
  <si>
    <t>2019</t>
  </si>
  <si>
    <t>Pooled</t>
  </si>
  <si>
    <t>M1+income+education+marital</t>
  </si>
  <si>
    <t>smoke</t>
  </si>
  <si>
    <t>stress</t>
  </si>
  <si>
    <t>Note: The outcome was self-reported influenza vaccination (BH9_11), not influenza infection. M1 adjusted for age, sex and year; M2 additionally adjusted for income, education and marital status. Survey-weighted logistic models used examination weights divided by four and HC1 robust standard errors; strata and PSU were not modelled, so standard errors may be understated. OR, odds ratio; CI, confidence interval; KNHANES, Korea National Health and Nutrition Examination Survey.</t>
  </si>
  <si>
    <r>
      <t xml:space="preserve">Note: Standardized parameter estimates from the orthogonal bifactor model (M2d) in which a general genetic factor G and an infection-specific factor F_Is load on the indicator traits, and clinically ascertained influenza is regressed on both factors. Indicator loadings are standardized factor loadings of the 11 indicator traits on G and F_Is. Influenza structural paths are standardized regression coefficients of influenza on each factor, with the R2 contribution column giving the proportion of influenza variance explained by each factor. P values are two-sided. Significance stars follow conventional thresholds (* </t>
    </r>
    <r>
      <rPr>
        <i/>
        <sz val="10"/>
        <rFont val="Times New Roman"/>
        <family val="1"/>
      </rPr>
      <t>P</t>
    </r>
    <r>
      <rPr>
        <sz val="10"/>
        <rFont val="Times New Roman"/>
        <family val="1"/>
      </rPr>
      <t xml:space="preserve"> &lt; 0.05, ** </t>
    </r>
    <r>
      <rPr>
        <i/>
        <sz val="10"/>
        <rFont val="Times New Roman"/>
        <family val="1"/>
      </rPr>
      <t>P</t>
    </r>
    <r>
      <rPr>
        <sz val="10"/>
        <rFont val="Times New Roman"/>
        <family val="1"/>
      </rPr>
      <t xml:space="preserve"> &lt; 0.01, *** </t>
    </r>
    <r>
      <rPr>
        <i/>
        <sz val="10"/>
        <rFont val="Times New Roman"/>
        <family val="1"/>
      </rPr>
      <t>P</t>
    </r>
    <r>
      <rPr>
        <sz val="10"/>
        <rFont val="Times New Roman"/>
        <family val="1"/>
      </rPr>
      <t xml:space="preserve"> &lt; 0.001). NA, not estimated or not applicable. The COVID-19 hospitalization indicator had a negative standardized residual variance (-0.0894) in M2d, indicating a Heywood-type solution; the bifactor decomposition is therefore exploratory. Abbreviations: F_Is, infection-specific factor; G, general genetic factor; SE, standard error.</t>
    </r>
    <phoneticPr fontId="5" type="noConversion"/>
  </si>
  <si>
    <r>
      <t xml:space="preserve">Note: Standardized associations of the 13 psychiatric and neurodevelopmental disorder outcomes with the general genetic factor G and the infection-specific factor F_Is in the bifactor outcome model (M3b), estimated by genomic structural equation modelling. P values are two-sided; FDR was computed by the Benjamini-Hochberg procedure across the F_Is cross-loadings. Pathway classifies each outcome by the sign and significance of its F_Is cross-loading (dual pathway, significant positive cross-loading; opposite pathway, significant negative cross-loading; single pathway, non-significant cross-loading). Sensitivity columns report the F_Is cross-loading and its FDR after removing COVID-19 hospitalization indicator from the model (leave-one-out analysis), given as estimate (SE) with significance stars (* </t>
    </r>
    <r>
      <rPr>
        <i/>
        <sz val="10"/>
        <rFont val="Times New Roman"/>
        <family val="1"/>
      </rPr>
      <t>P</t>
    </r>
    <r>
      <rPr>
        <sz val="10"/>
        <rFont val="Times New Roman"/>
        <family val="1"/>
      </rPr>
      <t xml:space="preserve"> &lt; 0.05, ** </t>
    </r>
    <r>
      <rPr>
        <i/>
        <sz val="10"/>
        <rFont val="Times New Roman"/>
        <family val="1"/>
      </rPr>
      <t>P</t>
    </r>
    <r>
      <rPr>
        <sz val="10"/>
        <rFont val="Times New Roman"/>
        <family val="1"/>
      </rPr>
      <t xml:space="preserve"> &lt; 0.01, ***</t>
    </r>
    <r>
      <rPr>
        <i/>
        <sz val="10"/>
        <rFont val="Times New Roman"/>
        <family val="1"/>
      </rPr>
      <t xml:space="preserve"> P</t>
    </r>
    <r>
      <rPr>
        <sz val="10"/>
        <rFont val="Times New Roman"/>
        <family val="1"/>
      </rPr>
      <t xml:space="preserve"> &lt; 0.001). NA, not estimated. Abbreviations: FDR, false discovery rate; F_Is, infection-specific factor; G, general genetic factor; SE, standard error.</t>
    </r>
    <phoneticPr fontId="5" type="noConversion"/>
  </si>
  <si>
    <r>
      <t>Note: Genetic correlations (rg) of the healthcare-contact factor F_H and the infection-specific factor F_Is with 12 independent validity traits not used in model estimation, with 95% confidence intervals in parentheses. Estimates were obtained from the M1 correlated two-factor model; FDR was computed by the Benjamini-Hochberg procedure within each factor. Significance stars follow conventional thresholds (*</t>
    </r>
    <r>
      <rPr>
        <i/>
        <sz val="10"/>
        <rFont val="Times New Roman"/>
        <family val="1"/>
      </rPr>
      <t xml:space="preserve"> P</t>
    </r>
    <r>
      <rPr>
        <sz val="10"/>
        <rFont val="Times New Roman"/>
        <family val="1"/>
      </rPr>
      <t xml:space="preserve"> &lt; 0.05, **</t>
    </r>
    <r>
      <rPr>
        <i/>
        <sz val="10"/>
        <rFont val="Times New Roman"/>
        <family val="1"/>
      </rPr>
      <t xml:space="preserve"> P</t>
    </r>
    <r>
      <rPr>
        <sz val="10"/>
        <rFont val="Times New Roman"/>
        <family val="1"/>
      </rPr>
      <t xml:space="preserve"> &lt; 0.01, *** </t>
    </r>
    <r>
      <rPr>
        <i/>
        <sz val="10"/>
        <rFont val="Times New Roman"/>
        <family val="1"/>
      </rPr>
      <t>P</t>
    </r>
    <r>
      <rPr>
        <sz val="10"/>
        <rFont val="Times New Roman"/>
        <family val="1"/>
      </rPr>
      <t xml:space="preserve"> &lt; 0.001). NA, not applicable. Abbreviations: CI, confidence interval; FDR, false discovery rate; F_H, healthcare-contact factor; F_I, infection-specific factor; rg, genetic correlation.</t>
    </r>
    <phoneticPr fontId="5" type="noConversion"/>
  </si>
  <si>
    <r>
      <t xml:space="preserve">Note: Multivariable Mendelian randomization (MVMR) of substance-use exposures on influenza and related infection outcomes. The MVMR models block reports one row per fitted model: genetic associations with the outcome were jointly regressed on the exposure and the covariates listed (accessions in the Covariate accessions column, semicolon-separated), so the exposure effect is independent of the covariates. Estimates are odds ratios (OR) per standard deviation higher genetic liability to the exposure, with 95% confidence intervals in parentheses; </t>
    </r>
    <r>
      <rPr>
        <i/>
        <sz val="10"/>
        <rFont val="Times New Roman"/>
        <family val="1"/>
      </rPr>
      <t>P</t>
    </r>
    <r>
      <rPr>
        <sz val="10"/>
        <rFont val="Times New Roman"/>
        <family val="1"/>
      </rPr>
      <t xml:space="preserve"> values are two-sided. The Q </t>
    </r>
    <r>
      <rPr>
        <i/>
        <sz val="10"/>
        <rFont val="Times New Roman"/>
        <family val="1"/>
      </rPr>
      <t>P</t>
    </r>
    <r>
      <rPr>
        <sz val="10"/>
        <rFont val="Times New Roman"/>
        <family val="1"/>
      </rPr>
      <t xml:space="preserve"> value tests instrument heterogeneity. Conditional F (main) is the main-exposure conditional instrument strength given the covariates; Conditional F (min) is the minimum exposure-specific conditional F statistic, not the strength of an individual SNP. Values below 10 indicate potential weak-instrument bias. Model variants include replication-panel fits, P-value threshold sensitivity analyses (</t>
    </r>
    <r>
      <rPr>
        <i/>
        <sz val="10"/>
        <rFont val="Times New Roman"/>
        <family val="1"/>
      </rPr>
      <t>P</t>
    </r>
    <r>
      <rPr>
        <sz val="10"/>
        <rFont val="Times New Roman"/>
        <family val="1"/>
      </rPr>
      <t xml:space="preserve"> = 5e-5, 1e-4), and adjustment for smoking status, healthcare cost, asthma and neutrophil count. PAF estimates were removed because the MR liability-scale effect and case-control outcome proportion do not support a valid population intervention conversion. NA, not estimated or not applicable. Abbreviations: CI, confidence interval; MVMR, multivariable Mendelian randomization; OR, odds ratio; SNP, single-nucleotide polymorphism.</t>
    </r>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</si>
</sst>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_);[Red]\(0\)"/>
    <numFmt numFmtId="177" formatCode="0.000"/>
    <numFmt numFmtId="178" formatCode="0.0"/>
    <numFmt numFmtId="179" formatCode="0.000_);[Red]\(0.000\)"/>
    <numFmt numFmtId="180" formatCode="0.0000"/>
    <numFmt numFmtId="181" formatCode="0.000E+00"/>
    <numFmt numFmtId="182" formatCode="0.0000_);[Red]\(0.0000\)"/>
    <numFmt numFmtId="183" formatCode="0.0000E+00"/>
    <numFmt numFmtId="184" formatCode="0.00000"/>
  </numFmts>
  <fonts count="12" x14ac:knownFonts="1">
    <font>
      <sz val="11"/>
      <color theme="1"/>
      <name val="宋体"/>
      <family val="2"/>
      <scheme val="minor"/>
    </font>
    <font>
      <b/>
      <sz val="14"/>
      <name val="Times New Roman"/>
      <family val="1"/>
    </font>
    <font>
      <sz val="12"/>
      <name val="Times New Roman"/>
      <family val="1"/>
    </font>
    <font>
      <b/>
      <sz val="11"/>
      <name val="Times New Roman"/>
      <family val="1"/>
    </font>
    <font>
      <sz val="11"/>
      <name val="Times New Roman"/>
      <family val="1"/>
    </font>
    <font>
      <sz val="9"/>
      <name val="宋体"/>
      <family val="3"/>
      <charset val="134"/>
      <scheme val="minor"/>
    </font>
    <font>
      <b/>
      <sz val="11"/>
      <name val="Times New Roman"/>
      <family val="1"/>
    </font>
    <font>
      <sz val="11"/>
      <name val="Times New Roman"/>
      <family val="1"/>
    </font>
    <font>
      <sz val="10"/>
      <name val="Times New Roman"/>
      <family val="1"/>
    </font>
    <font>
      <sz val="10"/>
      <color theme="1"/>
      <name val="宋体"/>
      <family val="2"/>
      <scheme val="minor"/>
    </font>
    <font>
      <b/>
      <i/>
      <sz val="11"/>
      <name val="Times New Roman"/>
      <family val="1"/>
    </font>
    <font>
      <i/>
      <sz val="10"/>
      <name val="Times New Roman"/>
      <family val="1"/>
    </font>
  </fonts>
  <fills count="2">
    <fill>
      <patternFill patternType="none"/>
    </fill>
    <fill>
      <patternFill patternType="gray125"/>
    </fill>
  </fills>
  <borders count="10">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auto="1"/>
      </right>
      <top/>
      <bottom style="thin">
        <color indexed="64"/>
      </bottom>
      <diagonal/>
    </border>
    <border>
      <left/>
      <right/>
      <top/>
      <bottom style="thin">
        <color theme="1" tint="0.499984740745262"/>
      </bottom>
      <diagonal/>
    </border>
    <border>
      <left/>
      <right style="thin">
        <color auto="1"/>
      </right>
      <top/>
      <bottom style="thin">
        <color theme="1" tint="0.499984740745262"/>
      </bottom>
      <diagonal/>
    </border>
    <border>
      <left style="thin">
        <color auto="1"/>
      </left>
      <right/>
      <top/>
      <bottom style="thin">
        <color theme="1" tint="0.499984740745262"/>
      </bottom>
      <diagonal/>
    </border>
  </borders>
  <cellStyleXfs count="1">
    <xf numFmtId="0" fontId="0" fillId="0" borderId="0"/>
  </cellStyleXfs>
  <cellXfs count="82">
    <xf numFmtId="0" fontId="0" fillId="0" borderId="0" xfId="0"/>
    <xf numFmtId="0" fontId="1" fillId="0" borderId="0" xfId="0" applyFont="1" applyAlignment="1">
      <alignment horizontal="left"/>
    </xf>
    <xf numFmtId="0" fontId="2" fillId="0" borderId="0" xfId="0" applyFont="1" applyAlignment="1">
      <alignment horizontal="left" vertical="center"/>
    </xf>
    <xf numFmtId="0" fontId="3" fillId="0" borderId="1" xfId="0" applyFont="1" applyBorder="1" applyAlignment="1">
      <alignment horizontal="left" vertical="center"/>
    </xf>
    <xf numFmtId="0" fontId="3" fillId="0" borderId="1" xfId="0" applyFont="1" applyBorder="1" applyAlignment="1">
      <alignment horizontal="center" vertical="center"/>
    </xf>
    <xf numFmtId="0" fontId="4" fillId="0" borderId="2" xfId="0" applyFont="1" applyBorder="1" applyAlignment="1">
      <alignment horizontal="left" vertical="center"/>
    </xf>
    <xf numFmtId="0" fontId="4" fillId="0" borderId="0" xfId="0" applyFont="1" applyAlignment="1">
      <alignment horizontal="center" vertical="center"/>
    </xf>
    <xf numFmtId="2" fontId="4" fillId="0" borderId="0" xfId="0" applyNumberFormat="1" applyFont="1" applyAlignment="1">
      <alignment horizontal="center" vertical="center"/>
    </xf>
    <xf numFmtId="1" fontId="4" fillId="0" borderId="0" xfId="0" applyNumberFormat="1" applyFont="1" applyAlignment="1">
      <alignment horizontal="center" vertical="center"/>
    </xf>
    <xf numFmtId="0" fontId="6" fillId="0" borderId="3" xfId="0" applyFont="1" applyBorder="1" applyAlignment="1">
      <alignment horizontal="left" vertical="center"/>
    </xf>
    <xf numFmtId="0" fontId="6" fillId="0" borderId="4" xfId="0" applyFont="1" applyBorder="1" applyAlignment="1">
      <alignment horizontal="center" vertical="center"/>
    </xf>
    <xf numFmtId="0" fontId="0" fillId="0" borderId="4" xfId="0" applyBorder="1"/>
    <xf numFmtId="0" fontId="7" fillId="0" borderId="2" xfId="0" applyFont="1" applyBorder="1" applyAlignment="1">
      <alignment horizontal="left" vertical="center"/>
    </xf>
    <xf numFmtId="0" fontId="7" fillId="0" borderId="0" xfId="0" applyFont="1" applyAlignment="1">
      <alignment horizontal="center" vertical="center"/>
    </xf>
    <xf numFmtId="0" fontId="7" fillId="0" borderId="0" xfId="0" applyFont="1" applyAlignment="1">
      <alignment vertical="center"/>
    </xf>
    <xf numFmtId="0" fontId="7" fillId="0" borderId="0" xfId="0" applyFont="1" applyAlignment="1">
      <alignment horizontal="left" vertical="center"/>
    </xf>
    <xf numFmtId="38" fontId="7" fillId="0" borderId="0" xfId="0" applyNumberFormat="1" applyFont="1" applyAlignment="1">
      <alignment horizontal="center" vertical="center"/>
    </xf>
    <xf numFmtId="38" fontId="7" fillId="0" borderId="0" xfId="0" applyNumberFormat="1" applyFont="1" applyAlignment="1">
      <alignment horizontal="left" vertical="center"/>
    </xf>
    <xf numFmtId="0" fontId="6" fillId="0" borderId="1" xfId="0" applyFont="1" applyBorder="1" applyAlignment="1">
      <alignment horizontal="left" vertical="center"/>
    </xf>
    <xf numFmtId="0" fontId="6" fillId="0" borderId="1" xfId="0" applyFont="1" applyBorder="1" applyAlignment="1">
      <alignment horizontal="center" vertical="center"/>
    </xf>
    <xf numFmtId="0" fontId="3" fillId="0" borderId="4" xfId="0" applyFont="1" applyBorder="1" applyAlignment="1">
      <alignment horizontal="center" vertical="center"/>
    </xf>
    <xf numFmtId="0" fontId="6" fillId="0" borderId="4" xfId="0" applyFont="1" applyBorder="1" applyAlignment="1">
      <alignment horizontal="center" vertical="center" wrapText="1"/>
    </xf>
    <xf numFmtId="0" fontId="3" fillId="0" borderId="3" xfId="0" applyFont="1" applyBorder="1" applyAlignment="1">
      <alignment horizontal="left" vertical="center"/>
    </xf>
    <xf numFmtId="0" fontId="4" fillId="0" borderId="6" xfId="0" applyFont="1" applyBorder="1" applyAlignment="1">
      <alignment horizontal="left" vertical="center"/>
    </xf>
    <xf numFmtId="2" fontId="4" fillId="0" borderId="5" xfId="0" applyNumberFormat="1" applyFont="1" applyBorder="1" applyAlignment="1">
      <alignment horizontal="center" vertical="center"/>
    </xf>
    <xf numFmtId="1" fontId="4" fillId="0" borderId="5" xfId="0" applyNumberFormat="1" applyFont="1" applyBorder="1" applyAlignment="1">
      <alignment horizontal="center" vertical="center"/>
    </xf>
    <xf numFmtId="0" fontId="10" fillId="0" borderId="4" xfId="0" applyFont="1" applyBorder="1" applyAlignment="1">
      <alignment horizontal="center" vertical="center"/>
    </xf>
    <xf numFmtId="0" fontId="4" fillId="0" borderId="5" xfId="0" applyFont="1" applyBorder="1" applyAlignment="1">
      <alignment horizontal="center" vertical="center"/>
    </xf>
    <xf numFmtId="0" fontId="3" fillId="0" borderId="3" xfId="0" applyFont="1" applyBorder="1" applyAlignment="1">
      <alignment horizontal="left" vertical="center" wrapText="1"/>
    </xf>
    <xf numFmtId="0" fontId="3" fillId="0" borderId="4" xfId="0" applyFont="1" applyBorder="1" applyAlignment="1">
      <alignment horizontal="center" vertical="center" wrapText="1"/>
    </xf>
    <xf numFmtId="0" fontId="4" fillId="0" borderId="0" xfId="0" applyFont="1" applyAlignment="1">
      <alignment horizontal="left" vertical="center"/>
    </xf>
    <xf numFmtId="0" fontId="6" fillId="0" borderId="0" xfId="0" applyFont="1" applyAlignment="1">
      <alignment vertical="center"/>
    </xf>
    <xf numFmtId="0" fontId="3" fillId="0" borderId="0" xfId="0" applyFont="1" applyAlignment="1">
      <alignment vertical="center"/>
    </xf>
    <xf numFmtId="0" fontId="9" fillId="0" borderId="0" xfId="0" applyFont="1"/>
    <xf numFmtId="176" fontId="7" fillId="0" borderId="0" xfId="0" applyNumberFormat="1" applyFont="1" applyAlignment="1">
      <alignment horizontal="center" vertical="center"/>
    </xf>
    <xf numFmtId="176" fontId="7" fillId="0" borderId="0" xfId="0" applyNumberFormat="1" applyFont="1" applyAlignment="1">
      <alignment vertical="center"/>
    </xf>
    <xf numFmtId="177" fontId="4" fillId="0" borderId="0" xfId="0" applyNumberFormat="1" applyFont="1" applyAlignment="1">
      <alignment horizontal="center" vertical="center"/>
    </xf>
    <xf numFmtId="178" fontId="4" fillId="0" borderId="0" xfId="0" applyNumberFormat="1" applyFont="1" applyAlignment="1">
      <alignment horizontal="center" vertical="center"/>
    </xf>
    <xf numFmtId="179" fontId="0" fillId="0" borderId="0" xfId="0" applyNumberFormat="1"/>
    <xf numFmtId="179" fontId="3" fillId="0" borderId="4" xfId="0" applyNumberFormat="1" applyFont="1" applyBorder="1" applyAlignment="1">
      <alignment horizontal="center" vertical="center"/>
    </xf>
    <xf numFmtId="179" fontId="6" fillId="0" borderId="4" xfId="0" applyNumberFormat="1" applyFont="1" applyBorder="1" applyAlignment="1">
      <alignment horizontal="center" vertical="center"/>
    </xf>
    <xf numFmtId="179" fontId="4" fillId="0" borderId="0" xfId="0" applyNumberFormat="1" applyFont="1" applyAlignment="1">
      <alignment horizontal="center" vertical="center"/>
    </xf>
    <xf numFmtId="178" fontId="7" fillId="0" borderId="0" xfId="0" applyNumberFormat="1" applyFont="1" applyAlignment="1">
      <alignment horizontal="center" vertical="center"/>
    </xf>
    <xf numFmtId="180" fontId="4" fillId="0" borderId="0" xfId="0" applyNumberFormat="1" applyFont="1" applyAlignment="1">
      <alignment horizontal="center" vertical="center"/>
    </xf>
    <xf numFmtId="178" fontId="4" fillId="0" borderId="5" xfId="0" applyNumberFormat="1" applyFont="1" applyBorder="1" applyAlignment="1">
      <alignment horizontal="center" vertical="center"/>
    </xf>
    <xf numFmtId="180" fontId="4" fillId="0" borderId="5" xfId="0" applyNumberFormat="1" applyFont="1" applyBorder="1" applyAlignment="1">
      <alignment horizontal="center" vertical="center"/>
    </xf>
    <xf numFmtId="181" fontId="4" fillId="0" borderId="0" xfId="0" applyNumberFormat="1" applyFont="1" applyAlignment="1">
      <alignment horizontal="center" vertical="center"/>
    </xf>
    <xf numFmtId="180" fontId="7" fillId="0" borderId="0" xfId="0" applyNumberFormat="1" applyFont="1" applyAlignment="1">
      <alignment horizontal="center" vertical="center"/>
    </xf>
    <xf numFmtId="181" fontId="7" fillId="0" borderId="0" xfId="0" applyNumberFormat="1" applyFont="1" applyAlignment="1">
      <alignment horizontal="center" vertical="center"/>
    </xf>
    <xf numFmtId="181" fontId="4" fillId="0" borderId="5" xfId="0" applyNumberFormat="1" applyFont="1" applyBorder="1" applyAlignment="1">
      <alignment horizontal="center" vertical="center"/>
    </xf>
    <xf numFmtId="182" fontId="4" fillId="0" borderId="0" xfId="0" applyNumberFormat="1" applyFont="1" applyAlignment="1">
      <alignment horizontal="center" vertical="center"/>
    </xf>
    <xf numFmtId="182" fontId="7" fillId="0" borderId="0" xfId="0" applyNumberFormat="1" applyFont="1" applyAlignment="1">
      <alignment horizontal="center" vertical="center"/>
    </xf>
    <xf numFmtId="182" fontId="4" fillId="0" borderId="5" xfId="0" applyNumberFormat="1" applyFont="1" applyBorder="1" applyAlignment="1">
      <alignment horizontal="center" vertical="center"/>
    </xf>
    <xf numFmtId="182" fontId="7" fillId="0" borderId="5" xfId="0" applyNumberFormat="1" applyFont="1" applyBorder="1" applyAlignment="1">
      <alignment horizontal="center" vertical="center"/>
    </xf>
    <xf numFmtId="183" fontId="4" fillId="0" borderId="0" xfId="0" applyNumberFormat="1" applyFont="1" applyAlignment="1">
      <alignment horizontal="center" vertical="center"/>
    </xf>
    <xf numFmtId="183" fontId="4" fillId="0" borderId="5" xfId="0" applyNumberFormat="1" applyFont="1" applyBorder="1" applyAlignment="1">
      <alignment horizontal="center" vertical="center"/>
    </xf>
    <xf numFmtId="184" fontId="4" fillId="0" borderId="0" xfId="0" applyNumberFormat="1" applyFont="1" applyAlignment="1">
      <alignment horizontal="center" vertical="center"/>
    </xf>
    <xf numFmtId="176" fontId="4" fillId="0" borderId="0" xfId="0" applyNumberFormat="1" applyFont="1" applyAlignment="1">
      <alignment horizontal="center" vertical="center"/>
    </xf>
    <xf numFmtId="177" fontId="4" fillId="0" borderId="5" xfId="0" applyNumberFormat="1" applyFont="1" applyBorder="1" applyAlignment="1">
      <alignment horizontal="center" vertical="center"/>
    </xf>
    <xf numFmtId="182" fontId="0" fillId="0" borderId="0" xfId="0" applyNumberFormat="1"/>
    <xf numFmtId="182" fontId="3" fillId="0" borderId="4" xfId="0" applyNumberFormat="1" applyFont="1" applyBorder="1" applyAlignment="1">
      <alignment horizontal="center" vertical="center"/>
    </xf>
    <xf numFmtId="176" fontId="0" fillId="0" borderId="0" xfId="0" applyNumberFormat="1"/>
    <xf numFmtId="176" fontId="3" fillId="0" borderId="4" xfId="0" applyNumberFormat="1" applyFont="1" applyBorder="1" applyAlignment="1">
      <alignment horizontal="center" vertical="center"/>
    </xf>
    <xf numFmtId="0" fontId="4" fillId="0" borderId="8" xfId="0" applyFont="1" applyBorder="1" applyAlignment="1">
      <alignment horizontal="left" vertical="center"/>
    </xf>
    <xf numFmtId="0" fontId="4" fillId="0" borderId="7" xfId="0" applyFont="1" applyBorder="1" applyAlignment="1">
      <alignment horizontal="center" vertical="center"/>
    </xf>
    <xf numFmtId="1" fontId="4" fillId="0" borderId="7" xfId="0" applyNumberFormat="1" applyFont="1" applyBorder="1" applyAlignment="1">
      <alignment horizontal="center" vertical="center"/>
    </xf>
    <xf numFmtId="180" fontId="4" fillId="0" borderId="7" xfId="0" applyNumberFormat="1" applyFont="1" applyBorder="1" applyAlignment="1">
      <alignment horizontal="center" vertical="center"/>
    </xf>
    <xf numFmtId="177" fontId="4" fillId="0" borderId="7" xfId="0" applyNumberFormat="1" applyFont="1" applyBorder="1" applyAlignment="1">
      <alignment horizontal="center" vertical="center"/>
    </xf>
    <xf numFmtId="182" fontId="4" fillId="0" borderId="7" xfId="0" applyNumberFormat="1" applyFont="1" applyBorder="1" applyAlignment="1">
      <alignment horizontal="center" vertical="center"/>
    </xf>
    <xf numFmtId="0" fontId="4" fillId="0" borderId="9" xfId="0" applyFont="1" applyBorder="1" applyAlignment="1">
      <alignment horizontal="center" vertical="center"/>
    </xf>
    <xf numFmtId="176" fontId="4" fillId="0" borderId="7" xfId="0" applyNumberFormat="1" applyFont="1" applyBorder="1" applyAlignment="1">
      <alignment horizontal="center" vertical="center"/>
    </xf>
    <xf numFmtId="0" fontId="4" fillId="0" borderId="0" xfId="0" applyFont="1" applyAlignment="1">
      <alignment vertical="center"/>
    </xf>
    <xf numFmtId="38" fontId="4" fillId="0" borderId="0" xfId="0" applyNumberFormat="1" applyFont="1" applyAlignment="1">
      <alignment horizontal="left" vertical="center"/>
    </xf>
    <xf numFmtId="0" fontId="6" fillId="0" borderId="0" xfId="0" applyFont="1" applyAlignment="1">
      <alignment vertical="center"/>
    </xf>
    <xf numFmtId="0" fontId="0" fillId="0" borderId="0" xfId="0"/>
    <xf numFmtId="0" fontId="8" fillId="0" borderId="0" xfId="0" applyFont="1" applyAlignment="1">
      <alignment horizontal="left" vertical="center" wrapText="1"/>
    </xf>
    <xf numFmtId="0" fontId="3" fillId="0" borderId="0" xfId="0" applyFont="1" applyAlignment="1">
      <alignment vertical="center"/>
    </xf>
    <xf numFmtId="179" fontId="0" fillId="0" borderId="0" xfId="0" applyNumberFormat="1"/>
    <xf numFmtId="182" fontId="0" fillId="0" borderId="0" xfId="0" applyNumberFormat="1"/>
    <xf numFmtId="0" fontId="4" fillId="0" borderId="2" xfId="0" applyFont="1" applyBorder="1" applyAlignment="1">
      <alignment horizontal="left" vertical="center"/>
    </xf>
    <xf numFmtId="0" fontId="0" fillId="0" borderId="2" xfId="0" applyBorder="1"/>
    <xf numFmtId="176"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4"/>
  <sheetViews>
    <sheetView tabSelected="1" workbookViewId="0">
      <selection activeCell="B3" sqref="B3"/>
    </sheetView>
  </sheetViews>
  <sheetFormatPr defaultRowHeight="13.5" x14ac:dyDescent="0.15"/>
  <cols>
    <col min="1" max="1" width="6" customWidth="1"/>
    <col min="2" max="2" width="120" customWidth="1"/>
  </cols>
  <sheetData>
    <row r="1" spans="1:2" ht="18.75" customHeight="1" x14ac:dyDescent="0.3">
      <c r="A1" s="1" t="s">
        <v>0</v>
      </c>
    </row>
    <row r="3" spans="1:2" ht="15.75" customHeight="1" x14ac:dyDescent="0.15">
      <c r="A3" s="2">
        <v>1</v>
      </c>
      <c r="B3" s="32" t="str">
        <f>'Supplementary Table 1'!A1</f>
        <v>Supplementary Table 1. Genome-wide association study summary statistics included in this study and their use across genetic analyses.</v>
      </c>
    </row>
    <row r="4" spans="1:2" ht="15.75" customHeight="1" x14ac:dyDescent="0.15">
      <c r="A4" s="2">
        <v>2</v>
      </c>
      <c r="B4" s="32" t="str">
        <f>'Supplementary Table 2'!A1</f>
        <v>Supplementary Table 2. Observed-scale SNP heritability estimated by LD-score regression for the GWAS datasets in the primary and replication analysis panels.</v>
      </c>
    </row>
    <row r="5" spans="1:2" ht="15.75" customHeight="1" x14ac:dyDescent="0.15">
      <c r="A5" s="2">
        <v>3</v>
      </c>
      <c r="B5" s="32" t="str">
        <f>'Supplementary Table 3'!A1</f>
        <v>Supplementary Table 3. Cross-trait genetic correlations between two influenza GWAS definitions and the psychiatric disorder GWAS datasets in the primary and replication panels.</v>
      </c>
    </row>
    <row r="6" spans="1:2" ht="15.75" customHeight="1" x14ac:dyDescent="0.15">
      <c r="A6" s="2">
        <v>4</v>
      </c>
      <c r="B6" s="32" t="str">
        <f>'Supplementary Table 4'!A1</f>
        <v>Supplementary Table 4. Bivariate MiXeR estimates of polygenic overlap between influenza and the psychiatric disorder GWAS datasets.</v>
      </c>
    </row>
    <row r="7" spans="1:2" ht="15.75" customHeight="1" x14ac:dyDescent="0.15">
      <c r="A7" s="2">
        <v>5</v>
      </c>
      <c r="B7" s="32" t="str">
        <f>'Supplementary Table 5'!A1</f>
        <v>Supplementary Table 5. Model fit statistics for the genomic structural equation models relating influenza to the healthcare-contact and infection-specific factors.</v>
      </c>
    </row>
    <row r="8" spans="1:2" ht="15.75" customHeight="1" x14ac:dyDescent="0.15">
      <c r="A8" s="2">
        <v>6</v>
      </c>
      <c r="B8" s="32" t="str">
        <f>'Supplementary Table 6'!A1</f>
        <v>Supplementary Table 6. Standardized indicator loadings and influenza structural coefficients in the orthogonal bifactor model (M2d).</v>
      </c>
    </row>
    <row r="9" spans="1:2" ht="15.75" customHeight="1" x14ac:dyDescent="0.15">
      <c r="A9" s="2">
        <v>7</v>
      </c>
      <c r="B9" s="32" t="str">
        <f>'Supplementary Table 7'!A1</f>
        <v>Supplementary Table 7. Associations of psychiatric disorder outcomes with the general and infection-specific factors in the bifactor outcome model (M3b) and sensitivity excluding COVID-19 indicators.</v>
      </c>
    </row>
    <row r="10" spans="1:2" ht="15.75" customHeight="1" x14ac:dyDescent="0.15">
      <c r="A10" s="2">
        <v>8</v>
      </c>
      <c r="B10" s="32" t="str">
        <f>'Supplementary Table 8'!A1</f>
        <v>Supplementary Table 8. Validity of the healthcare-contact and infection-specific factors assessed by genetic correlations with independent traits.</v>
      </c>
    </row>
    <row r="11" spans="1:2" ht="15.75" customHeight="1" x14ac:dyDescent="0.15">
      <c r="A11" s="2">
        <v>9</v>
      </c>
      <c r="B11" s="32" t="str">
        <f>'Supplementary Table 9'!A1</f>
        <v>Supplementary Table 9. Attenuation of influenza-disorder genetic correlations after conditioning on healthcare-contact and psychological-distress covariates by multi-trait conditional and joint analysis.</v>
      </c>
    </row>
    <row r="12" spans="1:2" ht="15.75" customHeight="1" x14ac:dyDescent="0.15">
      <c r="A12" s="2">
        <v>10</v>
      </c>
      <c r="B12" s="32" t="str">
        <f>'Supplementary Table 10'!A1</f>
        <v>Supplementary Table 10. Genome-wide significant loci of the influenza GWAS and their residual association signals after GWAS-by-subtraction conditioning.</v>
      </c>
    </row>
    <row r="13" spans="1:2" ht="15.75" customHeight="1" x14ac:dyDescent="0.15">
      <c r="A13" s="2">
        <v>11</v>
      </c>
      <c r="B13" s="32" t="str">
        <f>'Supplementary Table 11'!A1</f>
        <v>Supplementary Table 11. Colocalization of the ST6GAL1 and B3GALT5 influenza GWAS loci with cis-eQTL and cis-pQTL across tissues and cell types.</v>
      </c>
    </row>
    <row r="14" spans="1:2" ht="15.75" customHeight="1" x14ac:dyDescent="0.15">
      <c r="A14" s="2">
        <v>12</v>
      </c>
      <c r="B14" s="32" t="str">
        <f>'Supplementary Table 12'!A1</f>
        <v>Supplementary Table 12. SuSiE fine-mapped credible sets and brain chromatin annotations at the ST6GAL1 and B3GALT5 influenza loci.</v>
      </c>
    </row>
    <row r="15" spans="1:2" ht="15.75" customHeight="1" x14ac:dyDescent="0.15">
      <c r="A15" s="2">
        <v>13</v>
      </c>
      <c r="B15" s="32" t="str">
        <f>'Supplementary Table 13'!A1</f>
        <v>Supplementary Table 13. Predicted enhancer-to-gene links at the ST6GAL1 and B3GALT5 influenza GWAS loci.</v>
      </c>
    </row>
    <row r="16" spans="1:2" ht="15.75" customHeight="1" x14ac:dyDescent="0.15">
      <c r="A16" s="2">
        <v>14</v>
      </c>
      <c r="B16" s="32" t="str">
        <f>'Supplementary Table 14'!A1</f>
        <v>Supplementary Table 14. Single-nucleus ATAC-sequencing chromatin accessibility and accessibility-expression associations at the ST6GAL1 locus.</v>
      </c>
    </row>
    <row r="17" spans="1:2" ht="15.75" customHeight="1" x14ac:dyDescent="0.15">
      <c r="A17" s="2">
        <v>15</v>
      </c>
      <c r="B17" s="32" t="str">
        <f>'Supplementary Table 15'!A1</f>
        <v>Supplementary Table 15. Summary-data-based Mendelian randomization of brain cell-type-specific ST6GAL1 and B3GALT5 expression on influenza and COVID-19.</v>
      </c>
    </row>
    <row r="18" spans="1:2" ht="15.75" customHeight="1" x14ac:dyDescent="0.15">
      <c r="A18" s="2">
        <v>16</v>
      </c>
      <c r="B18" s="32" t="str">
        <f>'Supplementary Table 16'!A1</f>
        <v>Supplementary Table 16. Bidirectional two-sample Mendelian randomization between influenza and the psychiatric disorder GWAS datasets.</v>
      </c>
    </row>
    <row r="19" spans="1:2" ht="15.75" customHeight="1" x14ac:dyDescent="0.15">
      <c r="A19" s="2">
        <v>17</v>
      </c>
      <c r="B19" s="32" t="str">
        <f>'Supplementary Table 17'!A1</f>
        <v>Supplementary Table 17. Bias-corrected Mendelian randomization of the effect of psychiatric disorders on influenza by MRlap.</v>
      </c>
    </row>
    <row r="20" spans="1:2" ht="15.75" customHeight="1" x14ac:dyDescent="0.15">
      <c r="A20" s="2">
        <v>18</v>
      </c>
      <c r="B20" s="32" t="str">
        <f>'Supplementary Table 18'!A1</f>
        <v>Supplementary Table 18. Multivariable Mendelian randomization of substance-use traits on influenza and related outcomes.</v>
      </c>
    </row>
    <row r="21" spans="1:2" ht="15.75" customHeight="1" x14ac:dyDescent="0.15">
      <c r="A21" s="2">
        <v>19</v>
      </c>
      <c r="B21" s="32" t="str">
        <f>'Supplementary Table 19'!A1</f>
        <v>Supplementary Table 19. Incident psychiatric diagnoses after influenza, upper respiratory tract infection and pneumonia in UK Biobank.</v>
      </c>
    </row>
    <row r="22" spans="1:2" ht="15.75" customHeight="1" x14ac:dyDescent="0.15">
      <c r="A22" s="2">
        <v>20</v>
      </c>
      <c r="B22" s="32" t="str">
        <f>'Supplementary Table 20'!A1</f>
        <v>Supplementary Table 20. Smoking status, cigarette dose and self-reported recent flu, pneumonia or ear infection in NHANES 2005–2018.</v>
      </c>
    </row>
    <row r="23" spans="1:2" ht="15.75" customHeight="1" x14ac:dyDescent="0.15">
      <c r="A23" s="2">
        <v>21</v>
      </c>
      <c r="B23" s="32" t="str">
        <f>'Supplementary Table 21'!A1</f>
        <v>Supplementary Table 21. Doctor-diagnosed depression, perceived stress, smoking and influenza vaccination in KNHANES 2016–2019.</v>
      </c>
    </row>
    <row r="24" spans="1:2" ht="15.75" customHeight="1" x14ac:dyDescent="0.15"/>
  </sheetData>
  <phoneticPr fontId="5" type="noConversion"/>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80"/>
  <sheetViews>
    <sheetView topLeftCell="A49" workbookViewId="0">
      <selection activeCell="A73" sqref="A73:D73"/>
    </sheetView>
  </sheetViews>
  <sheetFormatPr defaultRowHeight="13.5" x14ac:dyDescent="0.15"/>
  <cols>
    <col min="1" max="1" width="26" customWidth="1"/>
    <col min="2" max="2" width="17" customWidth="1"/>
    <col min="3" max="3" width="40.75" customWidth="1"/>
    <col min="4" max="4" width="51.5" customWidth="1"/>
    <col min="5" max="5" width="12" customWidth="1"/>
    <col min="6" max="6" width="11" customWidth="1"/>
    <col min="7" max="7" width="24" customWidth="1"/>
    <col min="8" max="8" width="8" customWidth="1"/>
    <col min="9" max="9" width="11" customWidth="1"/>
    <col min="10" max="11" width="10" customWidth="1"/>
    <col min="12" max="12" width="29" customWidth="1"/>
    <col min="13" max="13" width="10" customWidth="1"/>
    <col min="14" max="14" width="26.375" customWidth="1"/>
    <col min="15" max="15" width="46" customWidth="1"/>
  </cols>
  <sheetData>
    <row r="1" spans="1:15" ht="18" customHeight="1" x14ac:dyDescent="0.15">
      <c r="A1" s="73" t="s">
        <v>1</v>
      </c>
      <c r="B1" s="74"/>
      <c r="C1" s="74"/>
      <c r="D1" s="74"/>
      <c r="E1" s="74"/>
      <c r="F1" s="74"/>
      <c r="G1" s="74"/>
      <c r="H1" s="74"/>
      <c r="I1" s="74"/>
      <c r="J1" s="74"/>
      <c r="K1" s="74"/>
      <c r="L1" s="74"/>
      <c r="M1" s="74"/>
      <c r="N1" s="74"/>
      <c r="O1" s="74"/>
    </row>
    <row r="2" spans="1:15" ht="18" customHeight="1" x14ac:dyDescent="0.15"/>
    <row r="3" spans="1:15" s="11" customFormat="1" ht="18" customHeight="1" x14ac:dyDescent="0.15">
      <c r="A3" s="9" t="s">
        <v>2</v>
      </c>
      <c r="B3" s="10" t="s">
        <v>3</v>
      </c>
      <c r="C3" s="10" t="s">
        <v>4</v>
      </c>
      <c r="D3" s="10" t="s">
        <v>5</v>
      </c>
      <c r="E3" s="10" t="s">
        <v>6</v>
      </c>
      <c r="F3" s="10" t="s">
        <v>7</v>
      </c>
      <c r="G3" s="10" t="s">
        <v>8</v>
      </c>
      <c r="H3" s="10" t="s">
        <v>9</v>
      </c>
      <c r="I3" s="10" t="s">
        <v>10</v>
      </c>
      <c r="J3" s="10" t="s">
        <v>11</v>
      </c>
      <c r="K3" s="10" t="s">
        <v>12</v>
      </c>
      <c r="L3" s="10" t="s">
        <v>13</v>
      </c>
      <c r="M3" s="10" t="s">
        <v>14</v>
      </c>
      <c r="N3" s="10" t="s">
        <v>15</v>
      </c>
      <c r="O3" s="10" t="s">
        <v>16</v>
      </c>
    </row>
    <row r="4" spans="1:15" ht="18" customHeight="1" x14ac:dyDescent="0.15">
      <c r="A4" s="12" t="s">
        <v>17</v>
      </c>
      <c r="B4" s="13" t="s">
        <v>18</v>
      </c>
      <c r="C4" s="14" t="s">
        <v>19</v>
      </c>
      <c r="D4" s="13" t="s">
        <v>17</v>
      </c>
      <c r="E4" s="13" t="s">
        <v>20</v>
      </c>
      <c r="F4" s="13" t="s">
        <v>21</v>
      </c>
      <c r="G4" s="15" t="s">
        <v>22</v>
      </c>
      <c r="H4" s="34">
        <v>2024</v>
      </c>
      <c r="I4" s="16">
        <v>427096</v>
      </c>
      <c r="J4" s="16">
        <v>11558</v>
      </c>
      <c r="K4" s="16">
        <v>415538</v>
      </c>
      <c r="L4" s="17" t="s">
        <v>23</v>
      </c>
      <c r="M4" s="34">
        <v>36653562</v>
      </c>
      <c r="N4" s="35" t="s">
        <v>24</v>
      </c>
      <c r="O4" s="15" t="s">
        <v>25</v>
      </c>
    </row>
    <row r="5" spans="1:15" ht="18" customHeight="1" x14ac:dyDescent="0.15">
      <c r="A5" s="12" t="s">
        <v>17</v>
      </c>
      <c r="B5" s="13" t="s">
        <v>26</v>
      </c>
      <c r="C5" s="14" t="s">
        <v>27</v>
      </c>
      <c r="D5" s="13" t="s">
        <v>17</v>
      </c>
      <c r="E5" s="13" t="s">
        <v>28</v>
      </c>
      <c r="F5" s="13" t="s">
        <v>29</v>
      </c>
      <c r="G5" s="15" t="s">
        <v>30</v>
      </c>
      <c r="H5" s="34">
        <v>2024</v>
      </c>
      <c r="I5" s="16">
        <v>294629</v>
      </c>
      <c r="J5" s="16">
        <v>18334</v>
      </c>
      <c r="K5" s="16">
        <v>276295</v>
      </c>
      <c r="L5" s="17" t="s">
        <v>31</v>
      </c>
      <c r="M5" s="34">
        <v>39103650</v>
      </c>
      <c r="N5" s="35" t="s">
        <v>32</v>
      </c>
      <c r="O5" s="15" t="s">
        <v>33</v>
      </c>
    </row>
    <row r="6" spans="1:15" ht="18" customHeight="1" x14ac:dyDescent="0.15">
      <c r="A6" s="12" t="s">
        <v>34</v>
      </c>
      <c r="B6" s="13" t="s">
        <v>35</v>
      </c>
      <c r="C6" s="14" t="s">
        <v>36</v>
      </c>
      <c r="D6" s="13" t="s">
        <v>37</v>
      </c>
      <c r="E6" s="13" t="s">
        <v>20</v>
      </c>
      <c r="F6" s="13" t="s">
        <v>21</v>
      </c>
      <c r="G6" s="15" t="s">
        <v>38</v>
      </c>
      <c r="H6" s="34">
        <v>2018</v>
      </c>
      <c r="I6" s="16">
        <v>392277</v>
      </c>
      <c r="J6" s="16">
        <v>12922</v>
      </c>
      <c r="K6" s="16">
        <v>379355</v>
      </c>
      <c r="L6" s="17" t="s">
        <v>31</v>
      </c>
      <c r="M6" s="34">
        <v>30104761</v>
      </c>
      <c r="N6" s="35" t="s">
        <v>39</v>
      </c>
      <c r="O6" s="15" t="s">
        <v>40</v>
      </c>
    </row>
    <row r="7" spans="1:15" ht="18" customHeight="1" x14ac:dyDescent="0.15">
      <c r="A7" s="12" t="s">
        <v>34</v>
      </c>
      <c r="B7" s="13" t="s">
        <v>41</v>
      </c>
      <c r="C7" s="14" t="s">
        <v>42</v>
      </c>
      <c r="D7" s="13" t="s">
        <v>37</v>
      </c>
      <c r="E7" s="13" t="s">
        <v>28</v>
      </c>
      <c r="F7" s="13" t="s">
        <v>21</v>
      </c>
      <c r="G7" s="15" t="s">
        <v>38</v>
      </c>
      <c r="H7" s="34">
        <v>2025</v>
      </c>
      <c r="I7" s="16">
        <v>408116</v>
      </c>
      <c r="J7" s="16">
        <v>16070</v>
      </c>
      <c r="K7" s="16">
        <v>392046</v>
      </c>
      <c r="L7" s="17" t="s">
        <v>31</v>
      </c>
      <c r="M7" s="34">
        <v>40968291</v>
      </c>
      <c r="N7" s="35" t="s">
        <v>43</v>
      </c>
      <c r="O7" s="15" t="s">
        <v>44</v>
      </c>
    </row>
    <row r="8" spans="1:15" ht="18" customHeight="1" x14ac:dyDescent="0.15">
      <c r="A8" s="12" t="s">
        <v>45</v>
      </c>
      <c r="B8" s="13" t="s">
        <v>46</v>
      </c>
      <c r="C8" s="14" t="s">
        <v>47</v>
      </c>
      <c r="D8" s="13" t="s">
        <v>48</v>
      </c>
      <c r="E8" s="13" t="s">
        <v>20</v>
      </c>
      <c r="F8" s="13" t="s">
        <v>21</v>
      </c>
      <c r="G8" s="15" t="s">
        <v>49</v>
      </c>
      <c r="H8" s="34">
        <v>2024</v>
      </c>
      <c r="I8" s="16">
        <v>455258</v>
      </c>
      <c r="J8" s="16">
        <v>71880</v>
      </c>
      <c r="K8" s="16">
        <v>383378</v>
      </c>
      <c r="L8" s="17" t="s">
        <v>50</v>
      </c>
      <c r="M8" s="34">
        <v>39537608</v>
      </c>
      <c r="N8" s="35" t="s">
        <v>51</v>
      </c>
      <c r="O8" s="15" t="s">
        <v>52</v>
      </c>
    </row>
    <row r="9" spans="1:15" ht="18" customHeight="1" x14ac:dyDescent="0.15">
      <c r="A9" s="12" t="s">
        <v>45</v>
      </c>
      <c r="B9" s="13" t="s">
        <v>53</v>
      </c>
      <c r="C9" s="14" t="s">
        <v>54</v>
      </c>
      <c r="D9" s="13" t="s">
        <v>55</v>
      </c>
      <c r="E9" s="13" t="s">
        <v>28</v>
      </c>
      <c r="F9" s="13" t="s">
        <v>21</v>
      </c>
      <c r="G9" s="15" t="s">
        <v>56</v>
      </c>
      <c r="H9" s="34">
        <v>2022</v>
      </c>
      <c r="I9" s="16">
        <v>487511</v>
      </c>
      <c r="J9" s="16">
        <v>85934</v>
      </c>
      <c r="K9" s="16">
        <v>401577</v>
      </c>
      <c r="L9" s="17" t="s">
        <v>31</v>
      </c>
      <c r="M9" s="34">
        <v>35379992</v>
      </c>
      <c r="N9" s="35" t="s">
        <v>57</v>
      </c>
      <c r="O9" s="15" t="s">
        <v>58</v>
      </c>
    </row>
    <row r="10" spans="1:15" ht="18" customHeight="1" x14ac:dyDescent="0.15">
      <c r="A10" s="12" t="s">
        <v>59</v>
      </c>
      <c r="B10" s="13" t="s">
        <v>60</v>
      </c>
      <c r="C10" s="14" t="s">
        <v>61</v>
      </c>
      <c r="D10" s="13" t="s">
        <v>59</v>
      </c>
      <c r="E10" s="13" t="s">
        <v>20</v>
      </c>
      <c r="F10" s="13" t="s">
        <v>21</v>
      </c>
      <c r="G10" s="15" t="s">
        <v>62</v>
      </c>
      <c r="H10" s="34">
        <v>2025</v>
      </c>
      <c r="I10" s="16">
        <v>1268194</v>
      </c>
      <c r="J10" s="16">
        <v>24223</v>
      </c>
      <c r="K10" s="16">
        <v>1243971</v>
      </c>
      <c r="L10" s="17" t="s">
        <v>63</v>
      </c>
      <c r="M10" s="34">
        <v>40385383</v>
      </c>
      <c r="N10" s="35" t="s">
        <v>64</v>
      </c>
      <c r="O10" s="15" t="s">
        <v>52</v>
      </c>
    </row>
    <row r="11" spans="1:15" ht="18" customHeight="1" x14ac:dyDescent="0.15">
      <c r="A11" s="12" t="s">
        <v>59</v>
      </c>
      <c r="B11" s="13" t="s">
        <v>65</v>
      </c>
      <c r="C11" s="14" t="s">
        <v>66</v>
      </c>
      <c r="D11" s="13" t="s">
        <v>59</v>
      </c>
      <c r="E11" s="13" t="s">
        <v>28</v>
      </c>
      <c r="F11" s="13" t="s">
        <v>21</v>
      </c>
      <c r="G11" s="15" t="s">
        <v>67</v>
      </c>
      <c r="H11" s="34">
        <v>2019</v>
      </c>
      <c r="I11" s="16">
        <v>72517</v>
      </c>
      <c r="J11" s="16">
        <v>16992</v>
      </c>
      <c r="K11" s="16">
        <v>55525</v>
      </c>
      <c r="L11" s="17" t="s">
        <v>68</v>
      </c>
      <c r="M11" s="34">
        <v>31308545</v>
      </c>
      <c r="N11" s="35" t="s">
        <v>69</v>
      </c>
      <c r="O11" s="15" t="s">
        <v>58</v>
      </c>
    </row>
    <row r="12" spans="1:15" ht="18" customHeight="1" x14ac:dyDescent="0.15">
      <c r="A12" s="12" t="s">
        <v>70</v>
      </c>
      <c r="B12" s="13" t="s">
        <v>71</v>
      </c>
      <c r="C12" s="14" t="s">
        <v>72</v>
      </c>
      <c r="D12" s="13" t="s">
        <v>70</v>
      </c>
      <c r="E12" s="13" t="s">
        <v>20</v>
      </c>
      <c r="F12" s="13" t="s">
        <v>21</v>
      </c>
      <c r="G12" s="15" t="s">
        <v>73</v>
      </c>
      <c r="H12" s="34">
        <v>2026</v>
      </c>
      <c r="I12" s="16">
        <v>852222</v>
      </c>
      <c r="J12" s="16">
        <v>122341</v>
      </c>
      <c r="K12" s="16">
        <v>729881</v>
      </c>
      <c r="L12" s="17" t="s">
        <v>31</v>
      </c>
      <c r="M12" s="34">
        <v>41634414</v>
      </c>
      <c r="N12" s="35" t="s">
        <v>74</v>
      </c>
      <c r="O12" s="15" t="s">
        <v>52</v>
      </c>
    </row>
    <row r="13" spans="1:15" ht="18" customHeight="1" x14ac:dyDescent="0.15">
      <c r="A13" s="12" t="s">
        <v>70</v>
      </c>
      <c r="B13" s="6" t="s">
        <v>75</v>
      </c>
      <c r="C13" s="71" t="s">
        <v>76</v>
      </c>
      <c r="D13" s="13" t="s">
        <v>77</v>
      </c>
      <c r="E13" s="13" t="s">
        <v>28</v>
      </c>
      <c r="F13" s="13" t="s">
        <v>21</v>
      </c>
      <c r="G13" s="15" t="s">
        <v>38</v>
      </c>
      <c r="H13" s="34">
        <v>2023</v>
      </c>
      <c r="I13" s="16">
        <v>502477</v>
      </c>
      <c r="J13" s="16">
        <v>16079</v>
      </c>
      <c r="K13" s="16">
        <v>486398</v>
      </c>
      <c r="L13" s="17" t="s">
        <v>78</v>
      </c>
      <c r="M13" s="34">
        <v>37259642</v>
      </c>
      <c r="N13" s="35" t="s">
        <v>79</v>
      </c>
      <c r="O13" s="15" t="s">
        <v>58</v>
      </c>
    </row>
    <row r="14" spans="1:15" ht="18" customHeight="1" x14ac:dyDescent="0.15">
      <c r="A14" s="12" t="s">
        <v>80</v>
      </c>
      <c r="B14" s="13" t="s">
        <v>81</v>
      </c>
      <c r="C14" s="14" t="s">
        <v>82</v>
      </c>
      <c r="D14" s="13" t="s">
        <v>80</v>
      </c>
      <c r="E14" s="13" t="s">
        <v>20</v>
      </c>
      <c r="F14" s="13" t="s">
        <v>21</v>
      </c>
      <c r="G14" s="15" t="s">
        <v>83</v>
      </c>
      <c r="H14" s="34">
        <v>2023</v>
      </c>
      <c r="I14" s="16">
        <v>225534</v>
      </c>
      <c r="J14" s="16">
        <v>38691</v>
      </c>
      <c r="K14" s="16">
        <v>186843</v>
      </c>
      <c r="L14" s="17" t="s">
        <v>31</v>
      </c>
      <c r="M14" s="34">
        <v>36702997</v>
      </c>
      <c r="N14" s="35" t="s">
        <v>84</v>
      </c>
      <c r="O14" s="15" t="s">
        <v>52</v>
      </c>
    </row>
    <row r="15" spans="1:15" ht="18" customHeight="1" x14ac:dyDescent="0.15">
      <c r="A15" s="12" t="s">
        <v>80</v>
      </c>
      <c r="B15" s="13" t="s">
        <v>85</v>
      </c>
      <c r="C15" s="14" t="s">
        <v>86</v>
      </c>
      <c r="D15" s="13" t="s">
        <v>87</v>
      </c>
      <c r="E15" s="13" t="s">
        <v>28</v>
      </c>
      <c r="F15" s="13" t="s">
        <v>21</v>
      </c>
      <c r="G15" s="15" t="s">
        <v>88</v>
      </c>
      <c r="H15" s="34">
        <v>2023</v>
      </c>
      <c r="I15" s="16">
        <v>58286</v>
      </c>
      <c r="J15" s="16">
        <v>21738</v>
      </c>
      <c r="K15" s="16">
        <v>36548</v>
      </c>
      <c r="L15" s="17" t="s">
        <v>50</v>
      </c>
      <c r="M15" s="34">
        <v>37689771</v>
      </c>
      <c r="N15" s="35" t="s">
        <v>89</v>
      </c>
      <c r="O15" s="15" t="s">
        <v>58</v>
      </c>
    </row>
    <row r="16" spans="1:15" ht="18" customHeight="1" x14ac:dyDescent="0.15">
      <c r="A16" s="12" t="s">
        <v>90</v>
      </c>
      <c r="B16" s="13" t="s">
        <v>91</v>
      </c>
      <c r="C16" s="14" t="s">
        <v>92</v>
      </c>
      <c r="D16" s="13" t="s">
        <v>90</v>
      </c>
      <c r="E16" s="13" t="s">
        <v>20</v>
      </c>
      <c r="F16" s="13" t="s">
        <v>21</v>
      </c>
      <c r="G16" s="15" t="s">
        <v>93</v>
      </c>
      <c r="H16" s="34">
        <v>2019</v>
      </c>
      <c r="I16" s="16">
        <v>46350</v>
      </c>
      <c r="J16" s="16">
        <v>18381</v>
      </c>
      <c r="K16" s="16">
        <v>27969</v>
      </c>
      <c r="L16" s="17" t="s">
        <v>31</v>
      </c>
      <c r="M16" s="34">
        <v>30804558</v>
      </c>
      <c r="N16" s="35" t="s">
        <v>94</v>
      </c>
      <c r="O16" s="15" t="s">
        <v>52</v>
      </c>
    </row>
    <row r="17" spans="1:15" ht="18" customHeight="1" x14ac:dyDescent="0.15">
      <c r="A17" s="12" t="s">
        <v>90</v>
      </c>
      <c r="B17" s="13" t="s">
        <v>95</v>
      </c>
      <c r="C17" s="14" t="s">
        <v>96</v>
      </c>
      <c r="D17" s="13" t="s">
        <v>90</v>
      </c>
      <c r="E17" s="13" t="s">
        <v>28</v>
      </c>
      <c r="F17" s="13" t="s">
        <v>21</v>
      </c>
      <c r="G17" s="15" t="s">
        <v>97</v>
      </c>
      <c r="H17" s="34">
        <v>2020</v>
      </c>
      <c r="I17" s="16">
        <v>55420</v>
      </c>
      <c r="J17" s="16">
        <v>22916</v>
      </c>
      <c r="K17" s="16">
        <v>32504</v>
      </c>
      <c r="L17" s="17" t="s">
        <v>98</v>
      </c>
      <c r="M17" s="34">
        <v>32747698</v>
      </c>
      <c r="N17" s="35" t="s">
        <v>99</v>
      </c>
      <c r="O17" s="15" t="s">
        <v>58</v>
      </c>
    </row>
    <row r="18" spans="1:15" ht="18" customHeight="1" x14ac:dyDescent="0.15">
      <c r="A18" s="12" t="s">
        <v>100</v>
      </c>
      <c r="B18" s="13" t="s">
        <v>101</v>
      </c>
      <c r="C18" s="14" t="s">
        <v>102</v>
      </c>
      <c r="D18" s="13" t="s">
        <v>103</v>
      </c>
      <c r="E18" s="13" t="s">
        <v>20</v>
      </c>
      <c r="F18" s="13" t="s">
        <v>21</v>
      </c>
      <c r="G18" s="15" t="s">
        <v>104</v>
      </c>
      <c r="H18" s="34">
        <v>2021</v>
      </c>
      <c r="I18" s="16">
        <v>413466</v>
      </c>
      <c r="J18" s="16">
        <v>41917</v>
      </c>
      <c r="K18" s="16">
        <v>371549</v>
      </c>
      <c r="L18" s="17" t="s">
        <v>31</v>
      </c>
      <c r="M18" s="34">
        <v>34002096</v>
      </c>
      <c r="N18" s="35" t="s">
        <v>105</v>
      </c>
      <c r="O18" s="15" t="s">
        <v>52</v>
      </c>
    </row>
    <row r="19" spans="1:15" ht="18" customHeight="1" x14ac:dyDescent="0.15">
      <c r="A19" s="12" t="s">
        <v>100</v>
      </c>
      <c r="B19" s="13" t="s">
        <v>106</v>
      </c>
      <c r="C19" s="14" t="s">
        <v>107</v>
      </c>
      <c r="D19" s="13" t="s">
        <v>100</v>
      </c>
      <c r="E19" s="13" t="s">
        <v>28</v>
      </c>
      <c r="F19" s="13" t="s">
        <v>21</v>
      </c>
      <c r="G19" s="15" t="s">
        <v>108</v>
      </c>
      <c r="H19" s="34">
        <v>2021</v>
      </c>
      <c r="I19" s="16">
        <v>51710</v>
      </c>
      <c r="J19" s="16">
        <v>20352</v>
      </c>
      <c r="K19" s="16">
        <v>31358</v>
      </c>
      <c r="L19" s="17" t="s">
        <v>31</v>
      </c>
      <c r="M19" s="34">
        <v>34002096</v>
      </c>
      <c r="N19" s="35" t="s">
        <v>105</v>
      </c>
      <c r="O19" s="15" t="s">
        <v>58</v>
      </c>
    </row>
    <row r="20" spans="1:15" ht="18" customHeight="1" x14ac:dyDescent="0.15">
      <c r="A20" s="12" t="s">
        <v>109</v>
      </c>
      <c r="B20" s="13" t="s">
        <v>110</v>
      </c>
      <c r="C20" s="14" t="s">
        <v>111</v>
      </c>
      <c r="D20" s="13" t="s">
        <v>112</v>
      </c>
      <c r="E20" s="13" t="s">
        <v>20</v>
      </c>
      <c r="F20" s="13" t="s">
        <v>21</v>
      </c>
      <c r="G20" s="15" t="s">
        <v>113</v>
      </c>
      <c r="H20" s="34">
        <v>2018</v>
      </c>
      <c r="I20" s="16">
        <v>480359</v>
      </c>
      <c r="J20" s="16">
        <v>135458</v>
      </c>
      <c r="K20" s="16">
        <v>344901</v>
      </c>
      <c r="L20" s="17" t="s">
        <v>31</v>
      </c>
      <c r="M20" s="34">
        <v>29700475</v>
      </c>
      <c r="N20" s="35" t="s">
        <v>114</v>
      </c>
      <c r="O20" s="15" t="s">
        <v>52</v>
      </c>
    </row>
    <row r="21" spans="1:15" ht="18" customHeight="1" x14ac:dyDescent="0.15">
      <c r="A21" s="12" t="s">
        <v>109</v>
      </c>
      <c r="B21" s="13" t="s">
        <v>115</v>
      </c>
      <c r="C21" s="14" t="s">
        <v>116</v>
      </c>
      <c r="D21" s="13" t="s">
        <v>109</v>
      </c>
      <c r="E21" s="13" t="s">
        <v>28</v>
      </c>
      <c r="F21" s="13" t="s">
        <v>21</v>
      </c>
      <c r="G21" s="15" t="s">
        <v>38</v>
      </c>
      <c r="H21" s="34">
        <v>2020</v>
      </c>
      <c r="I21" s="16">
        <v>92957</v>
      </c>
      <c r="J21" s="16">
        <v>29475</v>
      </c>
      <c r="K21" s="16">
        <v>63482</v>
      </c>
      <c r="L21" s="17" t="s">
        <v>117</v>
      </c>
      <c r="M21" s="34">
        <v>31969693</v>
      </c>
      <c r="N21" s="35" t="s">
        <v>118</v>
      </c>
      <c r="O21" s="15" t="s">
        <v>58</v>
      </c>
    </row>
    <row r="22" spans="1:15" ht="18" customHeight="1" x14ac:dyDescent="0.15">
      <c r="A22" s="12" t="s">
        <v>119</v>
      </c>
      <c r="B22" s="13" t="s">
        <v>120</v>
      </c>
      <c r="C22" s="14" t="s">
        <v>121</v>
      </c>
      <c r="D22" s="13" t="s">
        <v>122</v>
      </c>
      <c r="E22" s="13" t="s">
        <v>20</v>
      </c>
      <c r="F22" s="13" t="s">
        <v>21</v>
      </c>
      <c r="G22" s="15" t="s">
        <v>108</v>
      </c>
      <c r="H22" s="34">
        <v>2017</v>
      </c>
      <c r="I22" s="16">
        <v>33925</v>
      </c>
      <c r="J22" s="16">
        <v>26888</v>
      </c>
      <c r="K22" s="16">
        <v>7037</v>
      </c>
      <c r="L22" s="17" t="s">
        <v>117</v>
      </c>
      <c r="M22" s="34">
        <v>28761083</v>
      </c>
      <c r="N22" s="35" t="s">
        <v>123</v>
      </c>
      <c r="O22" s="15" t="s">
        <v>52</v>
      </c>
    </row>
    <row r="23" spans="1:15" ht="18" customHeight="1" x14ac:dyDescent="0.15">
      <c r="A23" s="12" t="s">
        <v>119</v>
      </c>
      <c r="B23" s="13" t="s">
        <v>124</v>
      </c>
      <c r="C23" s="14" t="s">
        <v>125</v>
      </c>
      <c r="D23" s="13" t="s">
        <v>126</v>
      </c>
      <c r="E23" s="13" t="s">
        <v>28</v>
      </c>
      <c r="F23" s="13" t="s">
        <v>21</v>
      </c>
      <c r="G23" s="15" t="s">
        <v>127</v>
      </c>
      <c r="H23" s="34">
        <v>2018</v>
      </c>
      <c r="I23" s="16">
        <v>9725</v>
      </c>
      <c r="J23" s="16">
        <v>2688</v>
      </c>
      <c r="K23" s="16">
        <v>7037</v>
      </c>
      <c r="L23" s="17" t="s">
        <v>117</v>
      </c>
      <c r="M23" s="34">
        <v>28761083</v>
      </c>
      <c r="N23" s="35" t="s">
        <v>123</v>
      </c>
      <c r="O23" s="15" t="s">
        <v>58</v>
      </c>
    </row>
    <row r="24" spans="1:15" ht="18" customHeight="1" x14ac:dyDescent="0.15">
      <c r="A24" s="12" t="s">
        <v>128</v>
      </c>
      <c r="B24" s="13" t="s">
        <v>129</v>
      </c>
      <c r="C24" s="14" t="s">
        <v>130</v>
      </c>
      <c r="D24" s="13" t="s">
        <v>131</v>
      </c>
      <c r="E24" s="13" t="s">
        <v>20</v>
      </c>
      <c r="F24" s="13" t="s">
        <v>21</v>
      </c>
      <c r="G24" s="15" t="s">
        <v>132</v>
      </c>
      <c r="H24" s="34">
        <v>2021</v>
      </c>
      <c r="I24" s="16">
        <v>78808</v>
      </c>
      <c r="J24" s="16">
        <v>22982</v>
      </c>
      <c r="K24" s="16">
        <v>55826</v>
      </c>
      <c r="L24" s="17" t="s">
        <v>31</v>
      </c>
      <c r="M24" s="34">
        <v>34594039</v>
      </c>
      <c r="N24" s="35" t="s">
        <v>133</v>
      </c>
      <c r="O24" s="15" t="s">
        <v>134</v>
      </c>
    </row>
    <row r="25" spans="1:15" ht="18" customHeight="1" x14ac:dyDescent="0.15">
      <c r="A25" s="12" t="s">
        <v>135</v>
      </c>
      <c r="B25" s="13" t="s">
        <v>136</v>
      </c>
      <c r="C25" s="14" t="s">
        <v>137</v>
      </c>
      <c r="D25" s="13" t="s">
        <v>138</v>
      </c>
      <c r="E25" s="13" t="s">
        <v>28</v>
      </c>
      <c r="F25" s="13" t="s">
        <v>21</v>
      </c>
      <c r="G25" s="15" t="s">
        <v>139</v>
      </c>
      <c r="H25" s="34">
        <v>2022</v>
      </c>
      <c r="I25" s="16">
        <v>639063</v>
      </c>
      <c r="J25" s="16">
        <v>20686</v>
      </c>
      <c r="K25" s="16">
        <v>618377</v>
      </c>
      <c r="L25" s="17" t="s">
        <v>117</v>
      </c>
      <c r="M25" s="34">
        <v>35879402</v>
      </c>
      <c r="N25" s="35" t="s">
        <v>140</v>
      </c>
      <c r="O25" s="15" t="s">
        <v>44</v>
      </c>
    </row>
    <row r="26" spans="1:15" ht="18" customHeight="1" x14ac:dyDescent="0.15">
      <c r="A26" s="12" t="s">
        <v>141</v>
      </c>
      <c r="B26" s="13" t="s">
        <v>142</v>
      </c>
      <c r="C26" s="14" t="s">
        <v>143</v>
      </c>
      <c r="D26" s="13" t="s">
        <v>144</v>
      </c>
      <c r="E26" s="13" t="s">
        <v>20</v>
      </c>
      <c r="F26" s="13" t="s">
        <v>21</v>
      </c>
      <c r="G26" s="15" t="s">
        <v>145</v>
      </c>
      <c r="H26" s="34">
        <v>2019</v>
      </c>
      <c r="I26" s="16">
        <v>27693</v>
      </c>
      <c r="J26" s="16">
        <v>15056</v>
      </c>
      <c r="K26" s="16">
        <v>12637</v>
      </c>
      <c r="L26" s="17" t="s">
        <v>146</v>
      </c>
      <c r="M26" s="34">
        <v>31701892</v>
      </c>
      <c r="N26" s="35" t="s">
        <v>147</v>
      </c>
      <c r="O26" s="15" t="s">
        <v>52</v>
      </c>
    </row>
    <row r="27" spans="1:15" ht="18" customHeight="1" x14ac:dyDescent="0.15">
      <c r="A27" s="12" t="s">
        <v>141</v>
      </c>
      <c r="B27" s="13" t="s">
        <v>148</v>
      </c>
      <c r="C27" s="14" t="s">
        <v>149</v>
      </c>
      <c r="D27" s="13" t="s">
        <v>144</v>
      </c>
      <c r="E27" s="13" t="s">
        <v>28</v>
      </c>
      <c r="F27" s="13" t="s">
        <v>21</v>
      </c>
      <c r="G27" s="15" t="s">
        <v>145</v>
      </c>
      <c r="H27" s="34">
        <v>2019</v>
      </c>
      <c r="I27" s="16">
        <v>482730</v>
      </c>
      <c r="J27" s="16">
        <v>33674</v>
      </c>
      <c r="K27" s="16">
        <v>449056</v>
      </c>
      <c r="L27" s="17" t="s">
        <v>146</v>
      </c>
      <c r="M27" s="34">
        <v>31701892</v>
      </c>
      <c r="N27" s="35" t="s">
        <v>147</v>
      </c>
      <c r="O27" s="15" t="s">
        <v>58</v>
      </c>
    </row>
    <row r="28" spans="1:15" ht="18" customHeight="1" x14ac:dyDescent="0.15">
      <c r="A28" s="12" t="s">
        <v>150</v>
      </c>
      <c r="B28" s="13" t="s">
        <v>151</v>
      </c>
      <c r="C28" s="14" t="s">
        <v>152</v>
      </c>
      <c r="D28" s="13" t="s">
        <v>150</v>
      </c>
      <c r="E28" s="13" t="s">
        <v>20</v>
      </c>
      <c r="F28" s="13" t="s">
        <v>21</v>
      </c>
      <c r="G28" s="15" t="s">
        <v>153</v>
      </c>
      <c r="H28" s="34">
        <v>2024</v>
      </c>
      <c r="I28" s="16">
        <v>1222882</v>
      </c>
      <c r="J28" s="16">
        <v>137136</v>
      </c>
      <c r="K28" s="16">
        <v>1085746</v>
      </c>
      <c r="L28" s="17" t="s">
        <v>31</v>
      </c>
      <c r="M28" s="34">
        <v>38637617</v>
      </c>
      <c r="N28" s="35" t="s">
        <v>154</v>
      </c>
      <c r="O28" s="15" t="s">
        <v>52</v>
      </c>
    </row>
    <row r="29" spans="1:15" ht="18" customHeight="1" x14ac:dyDescent="0.15">
      <c r="A29" s="12" t="s">
        <v>150</v>
      </c>
      <c r="B29" s="13" t="s">
        <v>155</v>
      </c>
      <c r="C29" s="14" t="s">
        <v>156</v>
      </c>
      <c r="D29" s="13" t="s">
        <v>150</v>
      </c>
      <c r="E29" s="13" t="s">
        <v>28</v>
      </c>
      <c r="F29" s="13" t="s">
        <v>21</v>
      </c>
      <c r="G29" s="15" t="s">
        <v>153</v>
      </c>
      <c r="H29" s="34">
        <v>2019</v>
      </c>
      <c r="I29" s="16">
        <v>206655</v>
      </c>
      <c r="J29" s="16">
        <v>32428</v>
      </c>
      <c r="K29" s="16">
        <v>174227</v>
      </c>
      <c r="L29" s="17" t="s">
        <v>50</v>
      </c>
      <c r="M29" s="34">
        <v>31594949</v>
      </c>
      <c r="N29" s="35" t="s">
        <v>157</v>
      </c>
      <c r="O29" s="15" t="s">
        <v>58</v>
      </c>
    </row>
    <row r="30" spans="1:15" ht="18" customHeight="1" x14ac:dyDescent="0.15">
      <c r="A30" s="12" t="s">
        <v>158</v>
      </c>
      <c r="B30" s="13" t="s">
        <v>159</v>
      </c>
      <c r="C30" s="14" t="s">
        <v>160</v>
      </c>
      <c r="D30" s="13" t="s">
        <v>158</v>
      </c>
      <c r="E30" s="13" t="s">
        <v>20</v>
      </c>
      <c r="F30" s="13" t="s">
        <v>21</v>
      </c>
      <c r="G30" s="15" t="s">
        <v>161</v>
      </c>
      <c r="H30" s="34">
        <v>2022</v>
      </c>
      <c r="I30" s="16">
        <v>127906</v>
      </c>
      <c r="J30" s="16">
        <v>52017</v>
      </c>
      <c r="K30" s="16">
        <v>75889</v>
      </c>
      <c r="L30" s="17" t="s">
        <v>23</v>
      </c>
      <c r="M30" s="34">
        <v>35396580</v>
      </c>
      <c r="N30" s="35" t="s">
        <v>162</v>
      </c>
      <c r="O30" s="15" t="s">
        <v>52</v>
      </c>
    </row>
    <row r="31" spans="1:15" ht="18" customHeight="1" x14ac:dyDescent="0.15">
      <c r="A31" s="12" t="s">
        <v>158</v>
      </c>
      <c r="B31" s="13" t="s">
        <v>163</v>
      </c>
      <c r="C31" s="14" t="s">
        <v>164</v>
      </c>
      <c r="D31" s="13" t="s">
        <v>158</v>
      </c>
      <c r="E31" s="13" t="s">
        <v>28</v>
      </c>
      <c r="F31" s="13" t="s">
        <v>21</v>
      </c>
      <c r="G31" s="15" t="s">
        <v>88</v>
      </c>
      <c r="H31" s="34">
        <v>2023</v>
      </c>
      <c r="I31" s="16">
        <v>48523</v>
      </c>
      <c r="J31" s="16">
        <v>11602</v>
      </c>
      <c r="K31" s="16">
        <v>36921</v>
      </c>
      <c r="L31" s="17" t="s">
        <v>50</v>
      </c>
      <c r="M31" s="34">
        <v>37689771</v>
      </c>
      <c r="N31" s="35" t="s">
        <v>89</v>
      </c>
      <c r="O31" s="15" t="s">
        <v>58</v>
      </c>
    </row>
    <row r="32" spans="1:15" ht="18" customHeight="1" x14ac:dyDescent="0.15">
      <c r="A32" s="12" t="s">
        <v>165</v>
      </c>
      <c r="B32" s="13" t="s">
        <v>166</v>
      </c>
      <c r="C32" s="14" t="s">
        <v>167</v>
      </c>
      <c r="D32" s="13" t="s">
        <v>168</v>
      </c>
      <c r="E32" s="13" t="s">
        <v>20</v>
      </c>
      <c r="F32" s="13" t="s">
        <v>21</v>
      </c>
      <c r="G32" s="15" t="s">
        <v>38</v>
      </c>
      <c r="H32" s="34">
        <v>2025</v>
      </c>
      <c r="I32" s="16">
        <v>420531</v>
      </c>
      <c r="J32" s="16">
        <v>6557</v>
      </c>
      <c r="K32" s="16">
        <v>413974</v>
      </c>
      <c r="L32" s="17" t="s">
        <v>31</v>
      </c>
      <c r="M32" s="34">
        <v>40968291</v>
      </c>
      <c r="N32" s="35" t="s">
        <v>43</v>
      </c>
      <c r="O32" s="15" t="s">
        <v>52</v>
      </c>
    </row>
    <row r="33" spans="1:15" ht="18" customHeight="1" x14ac:dyDescent="0.15">
      <c r="A33" s="12" t="s">
        <v>165</v>
      </c>
      <c r="B33" s="13" t="s">
        <v>169</v>
      </c>
      <c r="C33" s="14" t="s">
        <v>170</v>
      </c>
      <c r="D33" s="13" t="s">
        <v>168</v>
      </c>
      <c r="E33" s="13" t="s">
        <v>28</v>
      </c>
      <c r="F33" s="13" t="s">
        <v>21</v>
      </c>
      <c r="G33" s="15" t="s">
        <v>171</v>
      </c>
      <c r="H33" s="34">
        <v>2025</v>
      </c>
      <c r="I33" s="16">
        <v>458440</v>
      </c>
      <c r="J33" s="16">
        <v>18968</v>
      </c>
      <c r="K33" s="16">
        <v>439472</v>
      </c>
      <c r="L33" s="17" t="s">
        <v>23</v>
      </c>
      <c r="M33" s="34">
        <v>40770095</v>
      </c>
      <c r="N33" s="35" t="s">
        <v>172</v>
      </c>
      <c r="O33" s="15" t="s">
        <v>58</v>
      </c>
    </row>
    <row r="34" spans="1:15" ht="18" customHeight="1" x14ac:dyDescent="0.15">
      <c r="A34" s="12" t="s">
        <v>173</v>
      </c>
      <c r="B34" s="13" t="s">
        <v>174</v>
      </c>
      <c r="C34" s="14" t="s">
        <v>175</v>
      </c>
      <c r="D34" s="13" t="s">
        <v>176</v>
      </c>
      <c r="E34" s="13" t="s">
        <v>20</v>
      </c>
      <c r="F34" s="13" t="s">
        <v>21</v>
      </c>
      <c r="G34" s="15" t="s">
        <v>177</v>
      </c>
      <c r="H34" s="34">
        <v>2023</v>
      </c>
      <c r="I34" s="16">
        <v>789784</v>
      </c>
      <c r="J34" s="16">
        <v>31094</v>
      </c>
      <c r="K34" s="16">
        <v>758690</v>
      </c>
      <c r="L34" s="17" t="s">
        <v>178</v>
      </c>
      <c r="M34" s="34">
        <v>37777856</v>
      </c>
      <c r="N34" s="35" t="s">
        <v>179</v>
      </c>
      <c r="O34" s="15" t="s">
        <v>52</v>
      </c>
    </row>
    <row r="35" spans="1:15" ht="18" customHeight="1" x14ac:dyDescent="0.15">
      <c r="A35" s="12" t="s">
        <v>173</v>
      </c>
      <c r="B35" s="13" t="s">
        <v>180</v>
      </c>
      <c r="C35" s="14" t="s">
        <v>175</v>
      </c>
      <c r="D35" s="13" t="s">
        <v>176</v>
      </c>
      <c r="E35" s="13" t="s">
        <v>28</v>
      </c>
      <c r="F35" s="13" t="s">
        <v>21</v>
      </c>
      <c r="G35" s="15" t="s">
        <v>177</v>
      </c>
      <c r="H35" s="34">
        <v>2023</v>
      </c>
      <c r="I35" s="16">
        <v>452585</v>
      </c>
      <c r="J35" s="16">
        <v>28661</v>
      </c>
      <c r="K35" s="16">
        <v>423924</v>
      </c>
      <c r="L35" s="17" t="s">
        <v>178</v>
      </c>
      <c r="M35" s="34">
        <v>37777856</v>
      </c>
      <c r="N35" s="35" t="s">
        <v>179</v>
      </c>
      <c r="O35" s="15" t="s">
        <v>58</v>
      </c>
    </row>
    <row r="36" spans="1:15" ht="18" customHeight="1" x14ac:dyDescent="0.15">
      <c r="A36" s="12" t="s">
        <v>181</v>
      </c>
      <c r="B36" s="13" t="s">
        <v>182</v>
      </c>
      <c r="C36" s="14" t="s">
        <v>183</v>
      </c>
      <c r="D36" s="13" t="s">
        <v>184</v>
      </c>
      <c r="E36" s="13" t="s">
        <v>20</v>
      </c>
      <c r="F36" s="13" t="s">
        <v>21</v>
      </c>
      <c r="G36" s="15" t="s">
        <v>38</v>
      </c>
      <c r="H36" s="34">
        <v>2025</v>
      </c>
      <c r="I36" s="16">
        <v>420531</v>
      </c>
      <c r="J36" s="16">
        <v>14937</v>
      </c>
      <c r="K36" s="16">
        <v>405594</v>
      </c>
      <c r="L36" s="17" t="s">
        <v>31</v>
      </c>
      <c r="M36" s="34">
        <v>40968291</v>
      </c>
      <c r="N36" s="35" t="s">
        <v>43</v>
      </c>
      <c r="O36" s="15" t="s">
        <v>134</v>
      </c>
    </row>
    <row r="37" spans="1:15" ht="18" customHeight="1" x14ac:dyDescent="0.15">
      <c r="A37" s="12" t="s">
        <v>181</v>
      </c>
      <c r="B37" s="13" t="s">
        <v>185</v>
      </c>
      <c r="C37" s="14" t="s">
        <v>186</v>
      </c>
      <c r="D37" s="13" t="s">
        <v>187</v>
      </c>
      <c r="E37" s="13" t="s">
        <v>28</v>
      </c>
      <c r="F37" s="13" t="s">
        <v>21</v>
      </c>
      <c r="G37" s="15" t="s">
        <v>38</v>
      </c>
      <c r="H37" s="34">
        <v>2025</v>
      </c>
      <c r="I37" s="16">
        <v>407034</v>
      </c>
      <c r="J37" s="16">
        <v>14988</v>
      </c>
      <c r="K37" s="16">
        <v>392046</v>
      </c>
      <c r="L37" s="17" t="s">
        <v>31</v>
      </c>
      <c r="M37" s="34">
        <v>40968291</v>
      </c>
      <c r="N37" s="35" t="s">
        <v>43</v>
      </c>
      <c r="O37" s="15" t="s">
        <v>188</v>
      </c>
    </row>
    <row r="38" spans="1:15" ht="18" customHeight="1" x14ac:dyDescent="0.15">
      <c r="A38" s="12" t="s">
        <v>189</v>
      </c>
      <c r="B38" s="13" t="s">
        <v>190</v>
      </c>
      <c r="C38" s="14" t="s">
        <v>191</v>
      </c>
      <c r="D38" s="13" t="s">
        <v>189</v>
      </c>
      <c r="E38" s="13" t="s">
        <v>20</v>
      </c>
      <c r="F38" s="13" t="s">
        <v>21</v>
      </c>
      <c r="G38" s="15" t="s">
        <v>108</v>
      </c>
      <c r="H38" s="34">
        <v>2019</v>
      </c>
      <c r="I38" s="16">
        <v>14307</v>
      </c>
      <c r="J38" s="16">
        <v>4819</v>
      </c>
      <c r="K38" s="16">
        <v>9488</v>
      </c>
      <c r="L38" s="17" t="s">
        <v>192</v>
      </c>
      <c r="M38" s="34">
        <v>30818990</v>
      </c>
      <c r="N38" s="35" t="s">
        <v>193</v>
      </c>
      <c r="O38" s="15" t="s">
        <v>52</v>
      </c>
    </row>
    <row r="39" spans="1:15" ht="18" customHeight="1" x14ac:dyDescent="0.15">
      <c r="A39" s="12" t="s">
        <v>194</v>
      </c>
      <c r="B39" s="13" t="s">
        <v>195</v>
      </c>
      <c r="C39" s="14" t="s">
        <v>196</v>
      </c>
      <c r="D39" s="13" t="s">
        <v>194</v>
      </c>
      <c r="E39" s="13" t="s">
        <v>197</v>
      </c>
      <c r="F39" s="13" t="s">
        <v>21</v>
      </c>
      <c r="G39" s="15" t="s">
        <v>38</v>
      </c>
      <c r="H39" s="34">
        <v>2021</v>
      </c>
      <c r="I39" s="16">
        <v>470931</v>
      </c>
      <c r="J39" s="16">
        <v>30025</v>
      </c>
      <c r="K39" s="16">
        <v>440906</v>
      </c>
      <c r="L39" s="17" t="s">
        <v>31</v>
      </c>
      <c r="M39" s="34">
        <v>34594039</v>
      </c>
      <c r="N39" s="35" t="s">
        <v>133</v>
      </c>
      <c r="O39" s="15" t="s">
        <v>198</v>
      </c>
    </row>
    <row r="40" spans="1:15" ht="18" customHeight="1" x14ac:dyDescent="0.15">
      <c r="A40" s="12" t="s">
        <v>199</v>
      </c>
      <c r="B40" s="13" t="s">
        <v>200</v>
      </c>
      <c r="C40" s="14" t="s">
        <v>201</v>
      </c>
      <c r="D40" s="13" t="s">
        <v>199</v>
      </c>
      <c r="E40" s="13" t="s">
        <v>197</v>
      </c>
      <c r="F40" s="13" t="s">
        <v>21</v>
      </c>
      <c r="G40" s="15" t="s">
        <v>22</v>
      </c>
      <c r="H40" s="34">
        <v>2023</v>
      </c>
      <c r="I40" s="16">
        <v>373160</v>
      </c>
      <c r="J40" s="16" t="s">
        <v>202</v>
      </c>
      <c r="K40" s="16" t="s">
        <v>202</v>
      </c>
      <c r="L40" s="17" t="s">
        <v>50</v>
      </c>
      <c r="M40" s="34">
        <v>37704630</v>
      </c>
      <c r="N40" s="35" t="s">
        <v>203</v>
      </c>
      <c r="O40" s="15" t="s">
        <v>204</v>
      </c>
    </row>
    <row r="41" spans="1:15" ht="18" customHeight="1" x14ac:dyDescent="0.15">
      <c r="A41" s="12" t="s">
        <v>205</v>
      </c>
      <c r="B41" s="13" t="s">
        <v>206</v>
      </c>
      <c r="C41" s="14" t="s">
        <v>207</v>
      </c>
      <c r="D41" s="13" t="s">
        <v>205</v>
      </c>
      <c r="E41" s="13" t="s">
        <v>197</v>
      </c>
      <c r="F41" s="13" t="s">
        <v>21</v>
      </c>
      <c r="G41" s="15" t="s">
        <v>38</v>
      </c>
      <c r="H41" s="34">
        <v>2019</v>
      </c>
      <c r="I41" s="16">
        <v>394283</v>
      </c>
      <c r="J41" s="16">
        <v>46802</v>
      </c>
      <c r="K41" s="16">
        <v>347481</v>
      </c>
      <c r="L41" s="17" t="s">
        <v>208</v>
      </c>
      <c r="M41" s="34">
        <v>31619474</v>
      </c>
      <c r="N41" s="35" t="s">
        <v>209</v>
      </c>
      <c r="O41" s="15" t="s">
        <v>210</v>
      </c>
    </row>
    <row r="42" spans="1:15" ht="18" customHeight="1" x14ac:dyDescent="0.15">
      <c r="A42" s="12" t="s">
        <v>205</v>
      </c>
      <c r="B42" s="13" t="s">
        <v>211</v>
      </c>
      <c r="C42" s="14" t="s">
        <v>212</v>
      </c>
      <c r="D42" s="13" t="s">
        <v>205</v>
      </c>
      <c r="E42" s="13" t="s">
        <v>197</v>
      </c>
      <c r="F42" s="13" t="s">
        <v>21</v>
      </c>
      <c r="G42" s="15" t="s">
        <v>213</v>
      </c>
      <c r="H42" s="34">
        <v>2025</v>
      </c>
      <c r="I42" s="16">
        <v>757083</v>
      </c>
      <c r="J42" s="16">
        <v>71481</v>
      </c>
      <c r="K42" s="16">
        <v>685602</v>
      </c>
      <c r="L42" s="17" t="s">
        <v>50</v>
      </c>
      <c r="M42" s="34">
        <v>41213931</v>
      </c>
      <c r="N42" s="35" t="s">
        <v>214</v>
      </c>
      <c r="O42" s="15" t="s">
        <v>198</v>
      </c>
    </row>
    <row r="43" spans="1:15" ht="18" customHeight="1" x14ac:dyDescent="0.15">
      <c r="A43" s="12" t="s">
        <v>215</v>
      </c>
      <c r="B43" s="13" t="s">
        <v>216</v>
      </c>
      <c r="C43" s="14" t="s">
        <v>217</v>
      </c>
      <c r="D43" s="13" t="s">
        <v>215</v>
      </c>
      <c r="E43" s="13" t="s">
        <v>197</v>
      </c>
      <c r="F43" s="13" t="s">
        <v>21</v>
      </c>
      <c r="G43" s="15" t="s">
        <v>218</v>
      </c>
      <c r="H43" s="34">
        <v>2018</v>
      </c>
      <c r="I43" s="16">
        <v>806834</v>
      </c>
      <c r="J43" s="16" t="s">
        <v>202</v>
      </c>
      <c r="K43" s="16" t="s">
        <v>202</v>
      </c>
      <c r="L43" s="17" t="s">
        <v>219</v>
      </c>
      <c r="M43" s="34">
        <v>30239722</v>
      </c>
      <c r="N43" s="35" t="s">
        <v>220</v>
      </c>
      <c r="O43" s="15" t="s">
        <v>221</v>
      </c>
    </row>
    <row r="44" spans="1:15" ht="18" customHeight="1" x14ac:dyDescent="0.15">
      <c r="A44" s="12" t="s">
        <v>222</v>
      </c>
      <c r="B44" s="13" t="s">
        <v>223</v>
      </c>
      <c r="C44" s="14" t="s">
        <v>224</v>
      </c>
      <c r="D44" s="13" t="s">
        <v>222</v>
      </c>
      <c r="E44" s="13" t="s">
        <v>197</v>
      </c>
      <c r="F44" s="13" t="s">
        <v>21</v>
      </c>
      <c r="G44" s="15" t="s">
        <v>225</v>
      </c>
      <c r="H44" s="34">
        <v>2022</v>
      </c>
      <c r="I44" s="16">
        <v>995917</v>
      </c>
      <c r="J44" s="16">
        <v>58559</v>
      </c>
      <c r="K44" s="16">
        <v>937358</v>
      </c>
      <c r="L44" s="72" t="s">
        <v>226</v>
      </c>
      <c r="M44" s="34">
        <v>36777996</v>
      </c>
      <c r="N44" s="35" t="s">
        <v>227</v>
      </c>
      <c r="O44" s="15" t="s">
        <v>198</v>
      </c>
    </row>
    <row r="45" spans="1:15" ht="18" customHeight="1" x14ac:dyDescent="0.15">
      <c r="A45" s="12" t="s">
        <v>228</v>
      </c>
      <c r="B45" s="13" t="s">
        <v>229</v>
      </c>
      <c r="C45" s="14" t="s">
        <v>230</v>
      </c>
      <c r="D45" s="13" t="s">
        <v>231</v>
      </c>
      <c r="E45" s="13" t="s">
        <v>197</v>
      </c>
      <c r="F45" s="13" t="s">
        <v>21</v>
      </c>
      <c r="G45" s="15" t="s">
        <v>232</v>
      </c>
      <c r="H45" s="34">
        <v>2019</v>
      </c>
      <c r="I45" s="16">
        <v>337334</v>
      </c>
      <c r="J45" s="16" t="s">
        <v>202</v>
      </c>
      <c r="K45" s="16" t="s">
        <v>202</v>
      </c>
      <c r="L45" s="17" t="s">
        <v>31</v>
      </c>
      <c r="M45" s="34">
        <v>30643251</v>
      </c>
      <c r="N45" s="35" t="s">
        <v>233</v>
      </c>
      <c r="O45" s="15" t="s">
        <v>234</v>
      </c>
    </row>
    <row r="46" spans="1:15" ht="18" customHeight="1" x14ac:dyDescent="0.15">
      <c r="A46" s="12" t="s">
        <v>235</v>
      </c>
      <c r="B46" s="13" t="s">
        <v>236</v>
      </c>
      <c r="C46" s="14" t="s">
        <v>237</v>
      </c>
      <c r="D46" s="13" t="s">
        <v>235</v>
      </c>
      <c r="E46" s="13" t="s">
        <v>197</v>
      </c>
      <c r="F46" s="13" t="s">
        <v>21</v>
      </c>
      <c r="G46" s="15" t="s">
        <v>238</v>
      </c>
      <c r="H46" s="34">
        <v>2022</v>
      </c>
      <c r="I46" s="16">
        <v>1165690</v>
      </c>
      <c r="J46" s="16">
        <v>181522</v>
      </c>
      <c r="K46" s="16">
        <v>984168</v>
      </c>
      <c r="L46" s="17" t="s">
        <v>31</v>
      </c>
      <c r="M46" s="34">
        <v>36474045</v>
      </c>
      <c r="N46" s="35" t="s">
        <v>239</v>
      </c>
      <c r="O46" s="15" t="s">
        <v>198</v>
      </c>
    </row>
    <row r="47" spans="1:15" ht="18" customHeight="1" x14ac:dyDescent="0.15">
      <c r="A47" s="12" t="s">
        <v>240</v>
      </c>
      <c r="B47" s="13" t="s">
        <v>241</v>
      </c>
      <c r="C47" s="14" t="s">
        <v>242</v>
      </c>
      <c r="D47" s="13" t="s">
        <v>243</v>
      </c>
      <c r="E47" s="13" t="s">
        <v>197</v>
      </c>
      <c r="F47" s="13" t="s">
        <v>21</v>
      </c>
      <c r="G47" s="15" t="s">
        <v>244</v>
      </c>
      <c r="H47" s="34">
        <v>2020</v>
      </c>
      <c r="I47" s="16">
        <v>1683768</v>
      </c>
      <c r="J47" s="16">
        <v>38984</v>
      </c>
      <c r="K47" s="16">
        <v>1644784</v>
      </c>
      <c r="L47" s="17" t="s">
        <v>245</v>
      </c>
      <c r="M47" s="34">
        <v>32404885</v>
      </c>
      <c r="N47" s="35" t="s">
        <v>246</v>
      </c>
      <c r="O47" s="15" t="s">
        <v>198</v>
      </c>
    </row>
    <row r="48" spans="1:15" ht="18" customHeight="1" x14ac:dyDescent="0.15">
      <c r="A48" s="12" t="s">
        <v>240</v>
      </c>
      <c r="B48" s="13" t="s">
        <v>247</v>
      </c>
      <c r="C48" s="14" t="s">
        <v>248</v>
      </c>
      <c r="D48" s="13" t="s">
        <v>249</v>
      </c>
      <c r="E48" s="13" t="s">
        <v>197</v>
      </c>
      <c r="F48" s="13" t="s">
        <v>21</v>
      </c>
      <c r="G48" s="15" t="s">
        <v>244</v>
      </c>
      <c r="H48" s="34">
        <v>2020</v>
      </c>
      <c r="I48" s="16">
        <v>1887658</v>
      </c>
      <c r="J48" s="16">
        <v>9986</v>
      </c>
      <c r="K48" s="16">
        <v>1877672</v>
      </c>
      <c r="L48" s="17" t="s">
        <v>245</v>
      </c>
      <c r="M48" s="34">
        <v>32404885</v>
      </c>
      <c r="N48" s="35" t="s">
        <v>246</v>
      </c>
      <c r="O48" s="15" t="s">
        <v>250</v>
      </c>
    </row>
    <row r="49" spans="1:15" ht="18" customHeight="1" x14ac:dyDescent="0.15">
      <c r="A49" s="12" t="s">
        <v>240</v>
      </c>
      <c r="B49" s="13" t="s">
        <v>251</v>
      </c>
      <c r="C49" s="14" t="s">
        <v>252</v>
      </c>
      <c r="D49" s="13" t="s">
        <v>253</v>
      </c>
      <c r="E49" s="13" t="s">
        <v>197</v>
      </c>
      <c r="F49" s="13" t="s">
        <v>21</v>
      </c>
      <c r="G49" s="15" t="s">
        <v>254</v>
      </c>
      <c r="H49" s="34">
        <v>2020</v>
      </c>
      <c r="I49" s="16">
        <v>10056</v>
      </c>
      <c r="J49" s="16">
        <v>1676</v>
      </c>
      <c r="K49" s="16">
        <v>8380</v>
      </c>
      <c r="L49" s="17" t="s">
        <v>23</v>
      </c>
      <c r="M49" s="34">
        <v>33307546</v>
      </c>
      <c r="N49" s="35" t="s">
        <v>255</v>
      </c>
      <c r="O49" s="15" t="s">
        <v>256</v>
      </c>
    </row>
    <row r="50" spans="1:15" ht="18" customHeight="1" x14ac:dyDescent="0.15">
      <c r="A50" s="12" t="s">
        <v>240</v>
      </c>
      <c r="B50" s="13" t="s">
        <v>257</v>
      </c>
      <c r="C50" s="14" t="s">
        <v>258</v>
      </c>
      <c r="D50" s="13" t="s">
        <v>240</v>
      </c>
      <c r="E50" s="13" t="s">
        <v>197</v>
      </c>
      <c r="F50" s="13" t="s">
        <v>21</v>
      </c>
      <c r="G50" s="15" t="s">
        <v>244</v>
      </c>
      <c r="H50" s="34">
        <v>2020</v>
      </c>
      <c r="I50" s="16">
        <v>2062805</v>
      </c>
      <c r="J50" s="16">
        <v>32519</v>
      </c>
      <c r="K50" s="16">
        <v>2030286</v>
      </c>
      <c r="L50" s="17" t="s">
        <v>259</v>
      </c>
      <c r="M50" s="34" t="s">
        <v>260</v>
      </c>
      <c r="N50" s="35" t="s">
        <v>246</v>
      </c>
      <c r="O50" s="15" t="s">
        <v>261</v>
      </c>
    </row>
    <row r="51" spans="1:15" ht="18" customHeight="1" x14ac:dyDescent="0.15">
      <c r="A51" s="12" t="s">
        <v>262</v>
      </c>
      <c r="B51" s="13" t="s">
        <v>263</v>
      </c>
      <c r="C51" s="14" t="s">
        <v>264</v>
      </c>
      <c r="D51" s="13" t="s">
        <v>262</v>
      </c>
      <c r="E51" s="13" t="s">
        <v>197</v>
      </c>
      <c r="F51" s="13" t="s">
        <v>21</v>
      </c>
      <c r="G51" s="15" t="s">
        <v>265</v>
      </c>
      <c r="H51" s="34">
        <v>2022</v>
      </c>
      <c r="I51" s="16">
        <v>575531</v>
      </c>
      <c r="J51" s="16" t="s">
        <v>202</v>
      </c>
      <c r="K51" s="16" t="s">
        <v>202</v>
      </c>
      <c r="L51" s="17" t="s">
        <v>50</v>
      </c>
      <c r="M51" s="34">
        <v>35459240</v>
      </c>
      <c r="N51" s="35" t="s">
        <v>266</v>
      </c>
      <c r="O51" s="15" t="s">
        <v>198</v>
      </c>
    </row>
    <row r="52" spans="1:15" ht="18" customHeight="1" x14ac:dyDescent="0.15">
      <c r="A52" s="12" t="s">
        <v>267</v>
      </c>
      <c r="B52" s="13" t="s">
        <v>268</v>
      </c>
      <c r="C52" s="14" t="s">
        <v>269</v>
      </c>
      <c r="D52" s="13" t="s">
        <v>270</v>
      </c>
      <c r="E52" s="13" t="s">
        <v>197</v>
      </c>
      <c r="F52" s="13" t="s">
        <v>21</v>
      </c>
      <c r="G52" s="15" t="s">
        <v>271</v>
      </c>
      <c r="H52" s="34">
        <v>2025</v>
      </c>
      <c r="I52" s="16">
        <v>848919</v>
      </c>
      <c r="J52" s="16" t="s">
        <v>202</v>
      </c>
      <c r="K52" s="16" t="s">
        <v>202</v>
      </c>
      <c r="L52" s="17" t="s">
        <v>117</v>
      </c>
      <c r="M52" s="34">
        <v>40360725</v>
      </c>
      <c r="N52" s="35" t="s">
        <v>272</v>
      </c>
      <c r="O52" s="15" t="s">
        <v>221</v>
      </c>
    </row>
    <row r="53" spans="1:15" ht="18" customHeight="1" x14ac:dyDescent="0.15">
      <c r="A53" s="12" t="s">
        <v>273</v>
      </c>
      <c r="B53" s="13" t="s">
        <v>274</v>
      </c>
      <c r="C53" s="14" t="s">
        <v>275</v>
      </c>
      <c r="D53" s="13" t="s">
        <v>276</v>
      </c>
      <c r="E53" s="13" t="s">
        <v>197</v>
      </c>
      <c r="F53" s="13" t="s">
        <v>21</v>
      </c>
      <c r="G53" s="15" t="s">
        <v>38</v>
      </c>
      <c r="H53" s="34">
        <v>2021</v>
      </c>
      <c r="I53" s="16">
        <v>454181</v>
      </c>
      <c r="J53" s="16">
        <v>52417</v>
      </c>
      <c r="K53" s="16">
        <v>401764</v>
      </c>
      <c r="L53" s="17" t="s">
        <v>31</v>
      </c>
      <c r="M53" s="34">
        <v>34737426</v>
      </c>
      <c r="N53" s="35" t="s">
        <v>277</v>
      </c>
      <c r="O53" s="15" t="s">
        <v>278</v>
      </c>
    </row>
    <row r="54" spans="1:15" ht="18" customHeight="1" x14ac:dyDescent="0.15">
      <c r="A54" s="12" t="s">
        <v>279</v>
      </c>
      <c r="B54" s="13" t="s">
        <v>280</v>
      </c>
      <c r="C54" s="14" t="s">
        <v>281</v>
      </c>
      <c r="D54" s="13" t="s">
        <v>282</v>
      </c>
      <c r="E54" s="13" t="s">
        <v>197</v>
      </c>
      <c r="F54" s="13" t="s">
        <v>21</v>
      </c>
      <c r="G54" s="15" t="s">
        <v>38</v>
      </c>
      <c r="H54" s="34">
        <v>2023</v>
      </c>
      <c r="I54" s="16">
        <v>700649</v>
      </c>
      <c r="J54" s="16">
        <v>123508</v>
      </c>
      <c r="K54" s="16">
        <v>577141</v>
      </c>
      <c r="L54" s="17" t="s">
        <v>283</v>
      </c>
      <c r="M54" s="34">
        <v>36773317</v>
      </c>
      <c r="N54" s="35" t="s">
        <v>284</v>
      </c>
      <c r="O54" s="15" t="s">
        <v>256</v>
      </c>
    </row>
    <row r="55" spans="1:15" ht="18" customHeight="1" x14ac:dyDescent="0.15">
      <c r="A55" s="12" t="s">
        <v>285</v>
      </c>
      <c r="B55" s="13" t="s">
        <v>286</v>
      </c>
      <c r="C55" s="14" t="s">
        <v>287</v>
      </c>
      <c r="D55" s="13" t="s">
        <v>285</v>
      </c>
      <c r="E55" s="13" t="s">
        <v>197</v>
      </c>
      <c r="F55" s="13" t="s">
        <v>21</v>
      </c>
      <c r="G55" s="15" t="s">
        <v>38</v>
      </c>
      <c r="H55" s="34">
        <v>2021</v>
      </c>
      <c r="I55" s="16">
        <v>484598</v>
      </c>
      <c r="J55" s="16">
        <v>129909</v>
      </c>
      <c r="K55" s="16">
        <v>354689</v>
      </c>
      <c r="L55" s="17" t="s">
        <v>288</v>
      </c>
      <c r="M55" s="34">
        <v>33959723</v>
      </c>
      <c r="N55" s="35" t="s">
        <v>289</v>
      </c>
      <c r="O55" s="15" t="s">
        <v>198</v>
      </c>
    </row>
    <row r="56" spans="1:15" ht="18" customHeight="1" x14ac:dyDescent="0.15">
      <c r="A56" s="12" t="s">
        <v>290</v>
      </c>
      <c r="B56" s="13" t="s">
        <v>291</v>
      </c>
      <c r="C56" s="14" t="s">
        <v>292</v>
      </c>
      <c r="D56" s="13" t="s">
        <v>290</v>
      </c>
      <c r="E56" s="13" t="s">
        <v>197</v>
      </c>
      <c r="F56" s="13" t="s">
        <v>21</v>
      </c>
      <c r="G56" s="15" t="s">
        <v>22</v>
      </c>
      <c r="H56" s="34">
        <v>2024</v>
      </c>
      <c r="I56" s="16">
        <v>500348</v>
      </c>
      <c r="J56" s="16">
        <v>84810</v>
      </c>
      <c r="K56" s="16">
        <v>415538</v>
      </c>
      <c r="L56" s="17" t="s">
        <v>23</v>
      </c>
      <c r="M56" s="34">
        <v>36653562</v>
      </c>
      <c r="N56" s="35" t="s">
        <v>24</v>
      </c>
      <c r="O56" s="15" t="s">
        <v>293</v>
      </c>
    </row>
    <row r="57" spans="1:15" ht="18" customHeight="1" x14ac:dyDescent="0.15">
      <c r="A57" s="12" t="s">
        <v>290</v>
      </c>
      <c r="B57" s="13" t="s">
        <v>294</v>
      </c>
      <c r="C57" s="14" t="s">
        <v>295</v>
      </c>
      <c r="D57" s="13" t="s">
        <v>296</v>
      </c>
      <c r="E57" s="13" t="s">
        <v>197</v>
      </c>
      <c r="F57" s="13" t="s">
        <v>21</v>
      </c>
      <c r="G57" s="15" t="s">
        <v>171</v>
      </c>
      <c r="H57" s="34">
        <v>2025</v>
      </c>
      <c r="I57" s="16">
        <v>458440</v>
      </c>
      <c r="J57" s="16">
        <v>49930</v>
      </c>
      <c r="K57" s="16">
        <v>408510</v>
      </c>
      <c r="L57" s="17" t="s">
        <v>23</v>
      </c>
      <c r="M57" s="34">
        <v>40770095</v>
      </c>
      <c r="N57" s="35" t="s">
        <v>172</v>
      </c>
      <c r="O57" s="15" t="s">
        <v>256</v>
      </c>
    </row>
    <row r="58" spans="1:15" ht="18" customHeight="1" x14ac:dyDescent="0.15">
      <c r="A58" s="12" t="s">
        <v>297</v>
      </c>
      <c r="B58" s="13" t="s">
        <v>298</v>
      </c>
      <c r="C58" s="14" t="s">
        <v>299</v>
      </c>
      <c r="D58" s="13" t="s">
        <v>297</v>
      </c>
      <c r="E58" s="13" t="s">
        <v>197</v>
      </c>
      <c r="F58" s="13" t="s">
        <v>21</v>
      </c>
      <c r="G58" s="15" t="s">
        <v>300</v>
      </c>
      <c r="H58" s="34">
        <v>2022</v>
      </c>
      <c r="I58" s="16">
        <v>1296908</v>
      </c>
      <c r="J58" s="16">
        <v>62100</v>
      </c>
      <c r="K58" s="16">
        <v>1234808</v>
      </c>
      <c r="L58" s="17" t="s">
        <v>23</v>
      </c>
      <c r="M58" s="34">
        <v>36180795</v>
      </c>
      <c r="N58" s="35" t="s">
        <v>301</v>
      </c>
      <c r="O58" s="15" t="s">
        <v>198</v>
      </c>
    </row>
    <row r="59" spans="1:15" ht="18" customHeight="1" x14ac:dyDescent="0.15">
      <c r="A59" s="12" t="s">
        <v>302</v>
      </c>
      <c r="B59" s="13" t="s">
        <v>303</v>
      </c>
      <c r="C59" s="14" t="s">
        <v>304</v>
      </c>
      <c r="D59" s="13" t="s">
        <v>302</v>
      </c>
      <c r="E59" s="13" t="s">
        <v>197</v>
      </c>
      <c r="F59" s="13" t="s">
        <v>21</v>
      </c>
      <c r="G59" s="15" t="s">
        <v>38</v>
      </c>
      <c r="H59" s="34">
        <v>2021</v>
      </c>
      <c r="I59" s="16">
        <v>484598</v>
      </c>
      <c r="J59" s="16">
        <v>11081</v>
      </c>
      <c r="K59" s="16">
        <v>473517</v>
      </c>
      <c r="L59" s="17" t="s">
        <v>288</v>
      </c>
      <c r="M59" s="34">
        <v>33959723</v>
      </c>
      <c r="N59" s="35" t="s">
        <v>289</v>
      </c>
      <c r="O59" s="15" t="s">
        <v>198</v>
      </c>
    </row>
    <row r="60" spans="1:15" ht="18" customHeight="1" x14ac:dyDescent="0.15">
      <c r="A60" s="12" t="s">
        <v>305</v>
      </c>
      <c r="B60" s="13" t="s">
        <v>306</v>
      </c>
      <c r="C60" s="14" t="s">
        <v>307</v>
      </c>
      <c r="D60" s="13" t="s">
        <v>308</v>
      </c>
      <c r="E60" s="13" t="s">
        <v>197</v>
      </c>
      <c r="F60" s="13" t="s">
        <v>21</v>
      </c>
      <c r="G60" s="15" t="s">
        <v>309</v>
      </c>
      <c r="H60" s="34">
        <v>2020</v>
      </c>
      <c r="I60" s="16">
        <v>563946</v>
      </c>
      <c r="J60" s="16" t="s">
        <v>202</v>
      </c>
      <c r="K60" s="16" t="s">
        <v>202</v>
      </c>
      <c r="L60" s="17" t="s">
        <v>310</v>
      </c>
      <c r="M60" s="34">
        <v>32888493</v>
      </c>
      <c r="N60" s="35" t="s">
        <v>311</v>
      </c>
      <c r="O60" s="15" t="s">
        <v>210</v>
      </c>
    </row>
    <row r="61" spans="1:15" ht="18" customHeight="1" x14ac:dyDescent="0.15">
      <c r="A61" s="12" t="s">
        <v>312</v>
      </c>
      <c r="B61" s="13" t="s">
        <v>313</v>
      </c>
      <c r="C61" s="14" t="s">
        <v>314</v>
      </c>
      <c r="D61" s="13" t="s">
        <v>315</v>
      </c>
      <c r="E61" s="13" t="s">
        <v>197</v>
      </c>
      <c r="F61" s="13" t="s">
        <v>21</v>
      </c>
      <c r="G61" s="15" t="s">
        <v>38</v>
      </c>
      <c r="H61" s="34">
        <v>2025</v>
      </c>
      <c r="I61" s="16">
        <v>420473</v>
      </c>
      <c r="J61" s="16" t="s">
        <v>202</v>
      </c>
      <c r="K61" s="16" t="s">
        <v>202</v>
      </c>
      <c r="L61" s="17" t="s">
        <v>31</v>
      </c>
      <c r="M61" s="34">
        <v>40968291</v>
      </c>
      <c r="N61" s="35" t="s">
        <v>43</v>
      </c>
      <c r="O61" s="15" t="s">
        <v>278</v>
      </c>
    </row>
    <row r="62" spans="1:15" ht="18" customHeight="1" x14ac:dyDescent="0.15">
      <c r="A62" s="12" t="s">
        <v>316</v>
      </c>
      <c r="B62" s="13" t="s">
        <v>317</v>
      </c>
      <c r="C62" s="14" t="s">
        <v>318</v>
      </c>
      <c r="D62" s="13" t="s">
        <v>316</v>
      </c>
      <c r="E62" s="13" t="s">
        <v>197</v>
      </c>
      <c r="F62" s="13" t="s">
        <v>21</v>
      </c>
      <c r="G62" s="15" t="s">
        <v>38</v>
      </c>
      <c r="H62" s="34">
        <v>2021</v>
      </c>
      <c r="I62" s="16">
        <v>486484</v>
      </c>
      <c r="J62" s="16">
        <v>22567</v>
      </c>
      <c r="K62" s="16">
        <v>463917</v>
      </c>
      <c r="L62" s="17" t="s">
        <v>23</v>
      </c>
      <c r="M62" s="34">
        <v>30305743</v>
      </c>
      <c r="N62" s="35" t="s">
        <v>319</v>
      </c>
      <c r="O62" s="15" t="s">
        <v>210</v>
      </c>
    </row>
    <row r="63" spans="1:15" ht="18" customHeight="1" x14ac:dyDescent="0.15">
      <c r="A63" s="12" t="s">
        <v>316</v>
      </c>
      <c r="B63" s="13" t="s">
        <v>320</v>
      </c>
      <c r="C63" s="14" t="s">
        <v>321</v>
      </c>
      <c r="D63" s="13" t="s">
        <v>316</v>
      </c>
      <c r="E63" s="13" t="s">
        <v>197</v>
      </c>
      <c r="F63" s="13" t="s">
        <v>21</v>
      </c>
      <c r="G63" s="15" t="s">
        <v>38</v>
      </c>
      <c r="H63" s="34">
        <v>2025</v>
      </c>
      <c r="I63" s="16">
        <v>832234</v>
      </c>
      <c r="J63" s="16">
        <v>77431</v>
      </c>
      <c r="K63" s="16">
        <v>754803</v>
      </c>
      <c r="L63" s="17" t="s">
        <v>31</v>
      </c>
      <c r="M63" s="34">
        <v>40759756</v>
      </c>
      <c r="N63" s="35" t="s">
        <v>322</v>
      </c>
      <c r="O63" s="15" t="s">
        <v>250</v>
      </c>
    </row>
    <row r="64" spans="1:15" ht="18" customHeight="1" x14ac:dyDescent="0.15">
      <c r="A64" s="12" t="s">
        <v>316</v>
      </c>
      <c r="B64" s="13" t="s">
        <v>323</v>
      </c>
      <c r="C64" s="14" t="s">
        <v>324</v>
      </c>
      <c r="D64" s="13" t="s">
        <v>325</v>
      </c>
      <c r="E64" s="13" t="s">
        <v>197</v>
      </c>
      <c r="F64" s="13" t="s">
        <v>21</v>
      </c>
      <c r="G64" s="15" t="s">
        <v>38</v>
      </c>
      <c r="H64" s="34">
        <v>2023</v>
      </c>
      <c r="I64" s="16">
        <v>700649</v>
      </c>
      <c r="J64" s="16">
        <v>55241</v>
      </c>
      <c r="K64" s="16">
        <v>645408</v>
      </c>
      <c r="L64" s="17" t="s">
        <v>283</v>
      </c>
      <c r="M64" s="34">
        <v>36773317</v>
      </c>
      <c r="N64" s="35" t="s">
        <v>284</v>
      </c>
      <c r="O64" s="15" t="s">
        <v>256</v>
      </c>
    </row>
    <row r="65" spans="1:15" ht="18" customHeight="1" x14ac:dyDescent="0.15">
      <c r="A65" s="12" t="s">
        <v>316</v>
      </c>
      <c r="B65" s="13" t="s">
        <v>326</v>
      </c>
      <c r="C65" s="14" t="s">
        <v>327</v>
      </c>
      <c r="D65" s="13" t="s">
        <v>316</v>
      </c>
      <c r="E65" s="13" t="s">
        <v>197</v>
      </c>
      <c r="F65" s="13" t="s">
        <v>21</v>
      </c>
      <c r="G65" s="15" t="s">
        <v>22</v>
      </c>
      <c r="H65" s="34">
        <v>2024</v>
      </c>
      <c r="I65" s="16">
        <v>500348</v>
      </c>
      <c r="J65" s="16">
        <v>78791</v>
      </c>
      <c r="K65" s="16">
        <v>421557</v>
      </c>
      <c r="L65" s="17" t="s">
        <v>23</v>
      </c>
      <c r="M65" s="34">
        <v>36653562</v>
      </c>
      <c r="N65" s="35" t="s">
        <v>24</v>
      </c>
      <c r="O65" s="15" t="s">
        <v>234</v>
      </c>
    </row>
    <row r="66" spans="1:15" ht="18" customHeight="1" x14ac:dyDescent="0.15">
      <c r="A66" s="12" t="s">
        <v>328</v>
      </c>
      <c r="B66" s="13" t="s">
        <v>329</v>
      </c>
      <c r="C66" s="14" t="s">
        <v>330</v>
      </c>
      <c r="D66" s="13" t="s">
        <v>331</v>
      </c>
      <c r="E66" s="13" t="s">
        <v>197</v>
      </c>
      <c r="F66" s="13" t="s">
        <v>21</v>
      </c>
      <c r="G66" s="15" t="s">
        <v>232</v>
      </c>
      <c r="H66" s="34">
        <v>2019</v>
      </c>
      <c r="I66" s="16">
        <v>311629</v>
      </c>
      <c r="J66" s="16" t="s">
        <v>202</v>
      </c>
      <c r="K66" s="16" t="s">
        <v>202</v>
      </c>
      <c r="L66" s="17" t="s">
        <v>31</v>
      </c>
      <c r="M66" s="34">
        <v>30643251</v>
      </c>
      <c r="N66" s="35" t="s">
        <v>233</v>
      </c>
      <c r="O66" s="15" t="s">
        <v>234</v>
      </c>
    </row>
    <row r="67" spans="1:15" ht="18" customHeight="1" x14ac:dyDescent="0.15">
      <c r="A67" s="12" t="s">
        <v>332</v>
      </c>
      <c r="B67" s="13" t="s">
        <v>333</v>
      </c>
      <c r="C67" s="14" t="s">
        <v>334</v>
      </c>
      <c r="D67" s="13" t="s">
        <v>335</v>
      </c>
      <c r="E67" s="13" t="s">
        <v>197</v>
      </c>
      <c r="F67" s="13" t="s">
        <v>21</v>
      </c>
      <c r="G67" s="15" t="s">
        <v>336</v>
      </c>
      <c r="H67" s="34">
        <v>2019</v>
      </c>
      <c r="I67" s="16">
        <v>518633</v>
      </c>
      <c r="J67" s="16" t="s">
        <v>202</v>
      </c>
      <c r="K67" s="16" t="s">
        <v>202</v>
      </c>
      <c r="L67" s="17" t="s">
        <v>31</v>
      </c>
      <c r="M67" s="34">
        <v>30643258</v>
      </c>
      <c r="N67" s="35" t="s">
        <v>337</v>
      </c>
      <c r="O67" s="15" t="s">
        <v>338</v>
      </c>
    </row>
    <row r="68" spans="1:15" ht="18" customHeight="1" x14ac:dyDescent="0.15">
      <c r="A68" s="12" t="s">
        <v>181</v>
      </c>
      <c r="B68" s="13" t="s">
        <v>339</v>
      </c>
      <c r="C68" s="14" t="s">
        <v>340</v>
      </c>
      <c r="D68" s="13" t="s">
        <v>187</v>
      </c>
      <c r="E68" s="13" t="s">
        <v>197</v>
      </c>
      <c r="F68" s="13" t="s">
        <v>21</v>
      </c>
      <c r="G68" s="15" t="s">
        <v>38</v>
      </c>
      <c r="H68" s="34">
        <v>2025</v>
      </c>
      <c r="I68" s="16">
        <v>407034</v>
      </c>
      <c r="J68" s="16">
        <v>14988</v>
      </c>
      <c r="K68" s="16">
        <v>392046</v>
      </c>
      <c r="L68" s="17" t="s">
        <v>31</v>
      </c>
      <c r="M68" s="34">
        <v>40968291</v>
      </c>
      <c r="N68" s="35" t="s">
        <v>43</v>
      </c>
      <c r="O68" s="15" t="s">
        <v>210</v>
      </c>
    </row>
    <row r="69" spans="1:15" ht="18" customHeight="1" x14ac:dyDescent="0.15">
      <c r="A69" s="12" t="s">
        <v>341</v>
      </c>
      <c r="B69" s="13" t="s">
        <v>342</v>
      </c>
      <c r="C69" s="14" t="s">
        <v>343</v>
      </c>
      <c r="D69" s="13" t="s">
        <v>341</v>
      </c>
      <c r="E69" s="13" t="s">
        <v>197</v>
      </c>
      <c r="F69" s="13" t="s">
        <v>21</v>
      </c>
      <c r="G69" s="15" t="s">
        <v>38</v>
      </c>
      <c r="H69" s="34">
        <v>2018</v>
      </c>
      <c r="I69" s="16">
        <v>468298</v>
      </c>
      <c r="J69" s="16" t="s">
        <v>202</v>
      </c>
      <c r="K69" s="16" t="s">
        <v>202</v>
      </c>
      <c r="L69" s="17" t="s">
        <v>31</v>
      </c>
      <c r="M69" s="34">
        <v>29892013</v>
      </c>
      <c r="N69" s="35" t="s">
        <v>344</v>
      </c>
      <c r="O69" s="15" t="s">
        <v>198</v>
      </c>
    </row>
    <row r="70" spans="1:15" ht="18" customHeight="1" x14ac:dyDescent="0.15">
      <c r="A70" s="12" t="s">
        <v>345</v>
      </c>
      <c r="B70" s="13" t="s">
        <v>346</v>
      </c>
      <c r="C70" s="14" t="s">
        <v>347</v>
      </c>
      <c r="D70" s="13" t="s">
        <v>345</v>
      </c>
      <c r="E70" s="13" t="s">
        <v>197</v>
      </c>
      <c r="F70" s="13" t="s">
        <v>21</v>
      </c>
      <c r="G70" s="15" t="s">
        <v>38</v>
      </c>
      <c r="H70" s="34">
        <v>2023</v>
      </c>
      <c r="I70" s="16">
        <v>486484</v>
      </c>
      <c r="J70" s="16">
        <v>2795</v>
      </c>
      <c r="K70" s="16">
        <v>483689</v>
      </c>
      <c r="L70" s="17" t="s">
        <v>348</v>
      </c>
      <c r="M70" s="34">
        <v>36716318</v>
      </c>
      <c r="N70" s="35" t="s">
        <v>349</v>
      </c>
      <c r="O70" s="15" t="s">
        <v>198</v>
      </c>
    </row>
    <row r="71" spans="1:15" ht="18" customHeight="1" x14ac:dyDescent="0.15">
      <c r="A71" s="12" t="s">
        <v>345</v>
      </c>
      <c r="B71" s="13" t="s">
        <v>350</v>
      </c>
      <c r="C71" s="14" t="s">
        <v>351</v>
      </c>
      <c r="D71" s="13" t="s">
        <v>352</v>
      </c>
      <c r="E71" s="13" t="s">
        <v>197</v>
      </c>
      <c r="F71" s="13" t="s">
        <v>21</v>
      </c>
      <c r="G71" s="15" t="s">
        <v>171</v>
      </c>
      <c r="H71" s="34">
        <v>2025</v>
      </c>
      <c r="I71" s="16">
        <v>458440</v>
      </c>
      <c r="J71" s="16">
        <v>80634</v>
      </c>
      <c r="K71" s="16">
        <v>377806</v>
      </c>
      <c r="L71" s="17" t="s">
        <v>23</v>
      </c>
      <c r="M71" s="34">
        <v>40770095</v>
      </c>
      <c r="N71" s="35" t="s">
        <v>172</v>
      </c>
      <c r="O71" s="15" t="s">
        <v>198</v>
      </c>
    </row>
    <row r="72" spans="1:15" ht="18" customHeight="1" x14ac:dyDescent="0.15"/>
    <row r="73" spans="1:15" ht="126" customHeight="1" x14ac:dyDescent="0.15">
      <c r="A73" s="75" t="s">
        <v>353</v>
      </c>
      <c r="B73" s="74"/>
      <c r="C73" s="74"/>
      <c r="D73" s="74"/>
    </row>
    <row r="74" spans="1:15" ht="18" customHeight="1" x14ac:dyDescent="0.15"/>
    <row r="75" spans="1:15" ht="18" customHeight="1" x14ac:dyDescent="0.15"/>
    <row r="76" spans="1:15" ht="18" customHeight="1" x14ac:dyDescent="0.15"/>
    <row r="77" spans="1:15" ht="18" customHeight="1" x14ac:dyDescent="0.15"/>
    <row r="78" spans="1:15" ht="18" customHeight="1" x14ac:dyDescent="0.15"/>
    <row r="79" spans="1:15" ht="18" customHeight="1" x14ac:dyDescent="0.15"/>
    <row r="80" spans="1:15" ht="124.5" customHeight="1" x14ac:dyDescent="0.15">
      <c r="A80" s="74"/>
      <c r="B80" s="74"/>
      <c r="C80" s="74"/>
      <c r="D80" s="74"/>
      <c r="E80" s="74"/>
    </row>
  </sheetData>
  <mergeCells count="3">
    <mergeCell ref="A1:O1"/>
    <mergeCell ref="A80:E80"/>
    <mergeCell ref="A73:D73"/>
  </mergeCells>
  <phoneticPr fontId="5"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0"/>
  <sheetViews>
    <sheetView topLeftCell="A10" workbookViewId="0">
      <selection activeCell="E24" sqref="E24"/>
    </sheetView>
  </sheetViews>
  <sheetFormatPr defaultRowHeight="13.5" x14ac:dyDescent="0.15"/>
  <cols>
    <col min="1" max="1" width="30" customWidth="1"/>
    <col min="2" max="2" width="17" customWidth="1"/>
    <col min="3" max="3" width="12" customWidth="1"/>
    <col min="4" max="5" width="10" customWidth="1"/>
    <col min="6" max="6" width="8" customWidth="1"/>
    <col min="7" max="7" width="11" customWidth="1"/>
    <col min="8" max="8" width="12" customWidth="1"/>
    <col min="9" max="9" width="11" customWidth="1"/>
    <col min="10" max="10" width="15" customWidth="1"/>
  </cols>
  <sheetData>
    <row r="1" spans="1:10" ht="18" customHeight="1" x14ac:dyDescent="0.15">
      <c r="A1" s="76" t="s">
        <v>354</v>
      </c>
      <c r="B1" s="74"/>
      <c r="C1" s="74"/>
      <c r="D1" s="74"/>
      <c r="E1" s="74"/>
      <c r="F1" s="74"/>
      <c r="G1" s="74"/>
      <c r="H1" s="74"/>
      <c r="I1" s="74"/>
      <c r="J1" s="74"/>
    </row>
    <row r="2" spans="1:10" ht="18" customHeight="1" x14ac:dyDescent="0.15"/>
    <row r="3" spans="1:10" ht="18" customHeight="1" x14ac:dyDescent="0.15">
      <c r="A3" s="18" t="s">
        <v>2</v>
      </c>
      <c r="B3" s="19" t="s">
        <v>3</v>
      </c>
      <c r="C3" s="4" t="s">
        <v>6</v>
      </c>
      <c r="D3" s="19" t="s">
        <v>355</v>
      </c>
      <c r="E3" s="19" t="s">
        <v>356</v>
      </c>
      <c r="F3" s="19" t="s">
        <v>357</v>
      </c>
      <c r="G3" s="19" t="s">
        <v>358</v>
      </c>
      <c r="H3" s="19" t="s">
        <v>359</v>
      </c>
      <c r="I3" s="19" t="s">
        <v>360</v>
      </c>
      <c r="J3" s="19" t="s">
        <v>361</v>
      </c>
    </row>
    <row r="4" spans="1:10" ht="18" customHeight="1" x14ac:dyDescent="0.15">
      <c r="A4" s="5" t="s">
        <v>17</v>
      </c>
      <c r="B4" s="6" t="s">
        <v>18</v>
      </c>
      <c r="C4" s="6" t="s">
        <v>20</v>
      </c>
      <c r="D4" s="36">
        <v>6.2399999999999997E-2</v>
      </c>
      <c r="E4" s="36">
        <v>1.2999999999999999E-2</v>
      </c>
      <c r="F4" s="37">
        <v>4.8</v>
      </c>
      <c r="G4" s="36">
        <v>1.0091000000000001</v>
      </c>
      <c r="H4" s="36">
        <v>7.9000000000000008E-3</v>
      </c>
      <c r="I4" s="36">
        <v>1.0618000000000001</v>
      </c>
      <c r="J4" s="6" t="s">
        <v>362</v>
      </c>
    </row>
    <row r="5" spans="1:10" ht="18" customHeight="1" x14ac:dyDescent="0.15">
      <c r="A5" s="5" t="s">
        <v>34</v>
      </c>
      <c r="B5" s="6" t="s">
        <v>35</v>
      </c>
      <c r="C5" s="6" t="s">
        <v>20</v>
      </c>
      <c r="D5" s="36">
        <v>8.1900000000000001E-2</v>
      </c>
      <c r="E5" s="36">
        <v>1.03E-2</v>
      </c>
      <c r="F5" s="37">
        <v>7.9514563106796112</v>
      </c>
      <c r="G5" s="36">
        <v>1.0146999999999999</v>
      </c>
      <c r="H5" s="36">
        <v>6.4999999999999997E-3</v>
      </c>
      <c r="I5" s="36">
        <v>1.0802</v>
      </c>
      <c r="J5" s="6" t="s">
        <v>362</v>
      </c>
    </row>
    <row r="6" spans="1:10" ht="18" customHeight="1" x14ac:dyDescent="0.15">
      <c r="A6" s="5" t="s">
        <v>55</v>
      </c>
      <c r="B6" s="6" t="s">
        <v>46</v>
      </c>
      <c r="C6" s="6" t="s">
        <v>20</v>
      </c>
      <c r="D6" s="36">
        <v>5.2499999999999998E-2</v>
      </c>
      <c r="E6" s="36">
        <v>3.5999999999999999E-3</v>
      </c>
      <c r="F6" s="37">
        <v>14.58333333333333</v>
      </c>
      <c r="G6" s="36">
        <v>0.78849999999999998</v>
      </c>
      <c r="H6" s="36">
        <v>1.2200000000000001E-2</v>
      </c>
      <c r="I6" s="36">
        <v>0.94889999999999997</v>
      </c>
      <c r="J6" s="6" t="s">
        <v>362</v>
      </c>
    </row>
    <row r="7" spans="1:10" ht="18" customHeight="1" x14ac:dyDescent="0.15">
      <c r="A7" s="5" t="s">
        <v>59</v>
      </c>
      <c r="B7" s="6" t="s">
        <v>60</v>
      </c>
      <c r="C7" s="6" t="s">
        <v>20</v>
      </c>
      <c r="D7" s="36">
        <v>0.15909999999999999</v>
      </c>
      <c r="E7" s="36">
        <v>9.1999999999999998E-3</v>
      </c>
      <c r="F7" s="37">
        <v>17.29347826086957</v>
      </c>
      <c r="G7" s="36">
        <v>1.0216000000000001</v>
      </c>
      <c r="H7" s="36">
        <v>8.3000000000000001E-3</v>
      </c>
      <c r="I7" s="36">
        <v>1.2597</v>
      </c>
      <c r="J7" s="6" t="s">
        <v>362</v>
      </c>
    </row>
    <row r="8" spans="1:10" ht="18" customHeight="1" x14ac:dyDescent="0.15">
      <c r="A8" s="5" t="s">
        <v>70</v>
      </c>
      <c r="B8" s="6" t="s">
        <v>71</v>
      </c>
      <c r="C8" s="6" t="s">
        <v>20</v>
      </c>
      <c r="D8" s="36">
        <v>7.0000000000000007E-2</v>
      </c>
      <c r="E8" s="36">
        <v>2.5999999999999999E-3</v>
      </c>
      <c r="F8" s="37">
        <v>26.92307692307693</v>
      </c>
      <c r="G8" s="36">
        <v>1.0407999999999999</v>
      </c>
      <c r="H8" s="36">
        <v>8.9999999999999993E-3</v>
      </c>
      <c r="I8" s="36">
        <v>1.4853000000000001</v>
      </c>
      <c r="J8" s="6" t="s">
        <v>362</v>
      </c>
    </row>
    <row r="9" spans="1:10" ht="18" customHeight="1" x14ac:dyDescent="0.15">
      <c r="A9" s="5" t="s">
        <v>363</v>
      </c>
      <c r="B9" s="6" t="s">
        <v>81</v>
      </c>
      <c r="C9" s="6" t="s">
        <v>20</v>
      </c>
      <c r="D9" s="36">
        <v>0.16400000000000001</v>
      </c>
      <c r="E9" s="36">
        <v>7.6E-3</v>
      </c>
      <c r="F9" s="37">
        <v>21.578947368421051</v>
      </c>
      <c r="G9" s="36">
        <v>1.0314000000000001</v>
      </c>
      <c r="H9" s="36">
        <v>9.1999999999999998E-3</v>
      </c>
      <c r="I9" s="36">
        <v>1.3546</v>
      </c>
      <c r="J9" s="6" t="s">
        <v>362</v>
      </c>
    </row>
    <row r="10" spans="1:10" ht="18" customHeight="1" x14ac:dyDescent="0.15">
      <c r="A10" s="5" t="s">
        <v>90</v>
      </c>
      <c r="B10" s="6" t="s">
        <v>91</v>
      </c>
      <c r="C10" s="6" t="s">
        <v>20</v>
      </c>
      <c r="D10" s="36">
        <v>0.21179999999999999</v>
      </c>
      <c r="E10" s="36">
        <v>1.5800000000000002E-2</v>
      </c>
      <c r="F10" s="37">
        <v>13.405063291139239</v>
      </c>
      <c r="G10" s="36">
        <v>0.99919999999999998</v>
      </c>
      <c r="H10" s="36">
        <v>7.9000000000000008E-3</v>
      </c>
      <c r="I10" s="36">
        <v>1.1618999999999999</v>
      </c>
      <c r="J10" s="6" t="s">
        <v>362</v>
      </c>
    </row>
    <row r="11" spans="1:10" ht="18" customHeight="1" x14ac:dyDescent="0.15">
      <c r="A11" s="5" t="s">
        <v>100</v>
      </c>
      <c r="B11" s="6" t="s">
        <v>101</v>
      </c>
      <c r="C11" s="6" t="s">
        <v>20</v>
      </c>
      <c r="D11" s="36">
        <v>0.1948</v>
      </c>
      <c r="E11" s="36">
        <v>7.1000000000000004E-3</v>
      </c>
      <c r="F11" s="37">
        <v>27.43661971830986</v>
      </c>
      <c r="G11" s="36">
        <v>1.0190999999999999</v>
      </c>
      <c r="H11" s="36">
        <v>8.8000000000000005E-3</v>
      </c>
      <c r="I11" s="36">
        <v>1.4459</v>
      </c>
      <c r="J11" s="6" t="s">
        <v>362</v>
      </c>
    </row>
    <row r="12" spans="1:10" ht="18" customHeight="1" x14ac:dyDescent="0.15">
      <c r="A12" s="5" t="s">
        <v>109</v>
      </c>
      <c r="B12" s="6" t="s">
        <v>110</v>
      </c>
      <c r="C12" s="6" t="s">
        <v>20</v>
      </c>
      <c r="D12" s="36">
        <v>3.3799999999999997E-2</v>
      </c>
      <c r="E12" s="36">
        <v>2.2000000000000001E-3</v>
      </c>
      <c r="F12" s="37">
        <v>15.36363636363636</v>
      </c>
      <c r="G12" s="36">
        <v>0.99009999999999998</v>
      </c>
      <c r="H12" s="36">
        <v>9.5999999999999992E-3</v>
      </c>
      <c r="I12" s="36">
        <v>1.2266999999999999</v>
      </c>
      <c r="J12" s="6" t="s">
        <v>362</v>
      </c>
    </row>
    <row r="13" spans="1:10" ht="18" customHeight="1" x14ac:dyDescent="0.15">
      <c r="A13" s="5" t="s">
        <v>119</v>
      </c>
      <c r="B13" s="6" t="s">
        <v>120</v>
      </c>
      <c r="C13" s="6" t="s">
        <v>20</v>
      </c>
      <c r="D13" s="36">
        <v>0.14599999999999999</v>
      </c>
      <c r="E13" s="36">
        <v>0.02</v>
      </c>
      <c r="F13" s="37">
        <v>7.3</v>
      </c>
      <c r="G13" s="36">
        <v>0.99060000000000004</v>
      </c>
      <c r="H13" s="36">
        <v>6.4999999999999997E-3</v>
      </c>
      <c r="I13" s="36">
        <v>1.0496000000000001</v>
      </c>
      <c r="J13" s="6" t="s">
        <v>362</v>
      </c>
    </row>
    <row r="14" spans="1:10" ht="18" customHeight="1" x14ac:dyDescent="0.15">
      <c r="A14" s="5" t="s">
        <v>135</v>
      </c>
      <c r="B14" s="6" t="s">
        <v>129</v>
      </c>
      <c r="C14" s="6" t="s">
        <v>20</v>
      </c>
      <c r="D14" s="36">
        <v>0.1666</v>
      </c>
      <c r="E14" s="36">
        <v>9.2999999999999992E-3</v>
      </c>
      <c r="F14" s="37">
        <v>17.91397849462366</v>
      </c>
      <c r="G14" s="36">
        <v>1.0081</v>
      </c>
      <c r="H14" s="36">
        <v>7.4999999999999997E-3</v>
      </c>
      <c r="I14" s="36">
        <v>1.2004999999999999</v>
      </c>
      <c r="J14" s="6" t="s">
        <v>362</v>
      </c>
    </row>
    <row r="15" spans="1:10" ht="18" customHeight="1" x14ac:dyDescent="0.15">
      <c r="A15" s="5" t="s">
        <v>144</v>
      </c>
      <c r="B15" s="6" t="s">
        <v>142</v>
      </c>
      <c r="C15" s="6" t="s">
        <v>20</v>
      </c>
      <c r="D15" s="36">
        <v>0.21859999999999999</v>
      </c>
      <c r="E15" s="36">
        <v>2.0799999999999999E-2</v>
      </c>
      <c r="F15" s="37">
        <v>10.50961538461539</v>
      </c>
      <c r="G15" s="36">
        <v>0.97330000000000005</v>
      </c>
      <c r="H15" s="36">
        <v>6.4999999999999997E-3</v>
      </c>
      <c r="I15" s="36">
        <v>1.0649</v>
      </c>
      <c r="J15" s="6" t="s">
        <v>362</v>
      </c>
    </row>
    <row r="16" spans="1:10" ht="18" customHeight="1" x14ac:dyDescent="0.15">
      <c r="A16" s="5" t="s">
        <v>364</v>
      </c>
      <c r="B16" s="6" t="s">
        <v>151</v>
      </c>
      <c r="C16" s="6" t="s">
        <v>20</v>
      </c>
      <c r="D16" s="36">
        <v>6.9500000000000006E-2</v>
      </c>
      <c r="E16" s="36">
        <v>2.5999999999999999E-3</v>
      </c>
      <c r="F16" s="37">
        <v>26.73076923076923</v>
      </c>
      <c r="G16" s="36">
        <v>1.0488</v>
      </c>
      <c r="H16" s="36">
        <v>9.5999999999999992E-3</v>
      </c>
      <c r="I16" s="36">
        <v>1.5510999999999999</v>
      </c>
      <c r="J16" s="6" t="s">
        <v>362</v>
      </c>
    </row>
    <row r="17" spans="1:10" ht="18" customHeight="1" x14ac:dyDescent="0.15">
      <c r="A17" s="5" t="s">
        <v>158</v>
      </c>
      <c r="B17" s="6" t="s">
        <v>159</v>
      </c>
      <c r="C17" s="6" t="s">
        <v>20</v>
      </c>
      <c r="D17" s="36">
        <v>0.37690000000000001</v>
      </c>
      <c r="E17" s="36">
        <v>1.24E-2</v>
      </c>
      <c r="F17" s="37">
        <v>30.39516129032258</v>
      </c>
      <c r="G17" s="36">
        <v>1.0788</v>
      </c>
      <c r="H17" s="36">
        <v>1.15E-2</v>
      </c>
      <c r="I17" s="36">
        <v>1.7413000000000001</v>
      </c>
      <c r="J17" s="6" t="s">
        <v>362</v>
      </c>
    </row>
    <row r="18" spans="1:10" ht="18" customHeight="1" x14ac:dyDescent="0.15">
      <c r="A18" s="12" t="s">
        <v>165</v>
      </c>
      <c r="B18" s="13" t="s">
        <v>166</v>
      </c>
      <c r="C18" s="6" t="s">
        <v>20</v>
      </c>
      <c r="D18" s="36">
        <v>0.16470000000000001</v>
      </c>
      <c r="E18" s="36">
        <v>2.07E-2</v>
      </c>
      <c r="F18" s="37">
        <v>7.9565217391304346</v>
      </c>
      <c r="G18" s="36">
        <v>1.0013000000000001</v>
      </c>
      <c r="H18" s="36">
        <v>6.1999999999999998E-3</v>
      </c>
      <c r="I18" s="36">
        <v>1.0771999999999999</v>
      </c>
      <c r="J18" s="6" t="s">
        <v>362</v>
      </c>
    </row>
    <row r="19" spans="1:10" ht="18" customHeight="1" x14ac:dyDescent="0.15">
      <c r="A19" s="5" t="s">
        <v>173</v>
      </c>
      <c r="B19" s="13" t="s">
        <v>174</v>
      </c>
      <c r="C19" s="6" t="s">
        <v>20</v>
      </c>
      <c r="D19" s="36">
        <v>8.8400000000000006E-2</v>
      </c>
      <c r="E19" s="36">
        <v>5.7999999999999996E-3</v>
      </c>
      <c r="F19" s="37">
        <v>15.241379310344829</v>
      </c>
      <c r="G19" s="36">
        <v>1.0401</v>
      </c>
      <c r="H19" s="36">
        <v>7.3000000000000001E-3</v>
      </c>
      <c r="I19" s="36">
        <v>1.2168000000000001</v>
      </c>
      <c r="J19" s="6" t="s">
        <v>362</v>
      </c>
    </row>
    <row r="20" spans="1:10" ht="18" customHeight="1" x14ac:dyDescent="0.15">
      <c r="A20" s="5" t="s">
        <v>181</v>
      </c>
      <c r="B20" s="6" t="s">
        <v>182</v>
      </c>
      <c r="C20" s="6" t="s">
        <v>20</v>
      </c>
      <c r="D20" s="36">
        <v>0.1424</v>
      </c>
      <c r="E20" s="36">
        <v>1.15E-2</v>
      </c>
      <c r="F20" s="37">
        <v>12.38260869565217</v>
      </c>
      <c r="G20" s="36">
        <v>1.0048999999999999</v>
      </c>
      <c r="H20" s="36">
        <v>7.0000000000000001E-3</v>
      </c>
      <c r="I20" s="36">
        <v>1.1428</v>
      </c>
      <c r="J20" s="6" t="s">
        <v>362</v>
      </c>
    </row>
    <row r="21" spans="1:10" ht="18" customHeight="1" x14ac:dyDescent="0.15">
      <c r="A21" s="5" t="s">
        <v>189</v>
      </c>
      <c r="B21" s="6" t="s">
        <v>190</v>
      </c>
      <c r="C21" s="6" t="s">
        <v>20</v>
      </c>
      <c r="D21" s="36">
        <v>0.39710000000000001</v>
      </c>
      <c r="E21" s="36">
        <v>4.4999999999999998E-2</v>
      </c>
      <c r="F21" s="37">
        <v>8.8244444444444454</v>
      </c>
      <c r="G21" s="36">
        <v>1.0162</v>
      </c>
      <c r="H21" s="36">
        <v>6.8999999999999999E-3</v>
      </c>
      <c r="I21" s="36">
        <v>1.1113</v>
      </c>
      <c r="J21" s="6" t="s">
        <v>362</v>
      </c>
    </row>
    <row r="22" spans="1:10" ht="18" customHeight="1" x14ac:dyDescent="0.15">
      <c r="A22" s="5" t="s">
        <v>17</v>
      </c>
      <c r="B22" s="6" t="s">
        <v>26</v>
      </c>
      <c r="C22" s="6" t="s">
        <v>28</v>
      </c>
      <c r="D22" s="36">
        <v>5.5E-2</v>
      </c>
      <c r="E22" s="36">
        <v>8.0000000000000002E-3</v>
      </c>
      <c r="F22" s="37">
        <v>6.875</v>
      </c>
      <c r="G22" s="36">
        <v>1.0156000000000001</v>
      </c>
      <c r="H22" s="36">
        <v>7.0000000000000001E-3</v>
      </c>
      <c r="I22" s="36">
        <v>1.0894999999999999</v>
      </c>
      <c r="J22" s="6" t="s">
        <v>362</v>
      </c>
    </row>
    <row r="23" spans="1:10" ht="18" customHeight="1" x14ac:dyDescent="0.15">
      <c r="A23" s="5" t="s">
        <v>34</v>
      </c>
      <c r="B23" s="6" t="s">
        <v>41</v>
      </c>
      <c r="C23" s="6" t="s">
        <v>28</v>
      </c>
      <c r="D23" s="36">
        <v>8.9300000000000004E-2</v>
      </c>
      <c r="E23" s="36">
        <v>8.6E-3</v>
      </c>
      <c r="F23" s="37">
        <v>10.38372093023256</v>
      </c>
      <c r="G23" s="36">
        <v>0.99629999999999996</v>
      </c>
      <c r="H23" s="36">
        <v>6.4999999999999997E-3</v>
      </c>
      <c r="I23" s="36">
        <v>1.0926</v>
      </c>
      <c r="J23" s="6" t="s">
        <v>362</v>
      </c>
    </row>
    <row r="24" spans="1:10" ht="18" customHeight="1" x14ac:dyDescent="0.15">
      <c r="A24" s="5" t="s">
        <v>55</v>
      </c>
      <c r="B24" s="6" t="s">
        <v>53</v>
      </c>
      <c r="C24" s="6" t="s">
        <v>28</v>
      </c>
      <c r="D24" s="36">
        <v>3.7100000000000001E-2</v>
      </c>
      <c r="E24" s="36">
        <v>3.5000000000000001E-3</v>
      </c>
      <c r="F24" s="37">
        <v>10.6</v>
      </c>
      <c r="G24" s="36">
        <v>1.0721000000000001</v>
      </c>
      <c r="H24" s="36">
        <v>1.0200000000000001E-2</v>
      </c>
      <c r="I24" s="36">
        <v>1.2102999999999999</v>
      </c>
      <c r="J24" s="6" t="s">
        <v>362</v>
      </c>
    </row>
    <row r="25" spans="1:10" ht="18" customHeight="1" x14ac:dyDescent="0.15">
      <c r="A25" s="5" t="s">
        <v>59</v>
      </c>
      <c r="B25" s="6" t="s">
        <v>65</v>
      </c>
      <c r="C25" s="6" t="s">
        <v>28</v>
      </c>
      <c r="D25" s="36">
        <v>0.2467</v>
      </c>
      <c r="E25" s="36">
        <v>1.6400000000000001E-2</v>
      </c>
      <c r="F25" s="37">
        <v>15.04268292682927</v>
      </c>
      <c r="G25" s="36">
        <v>1.0212000000000001</v>
      </c>
      <c r="H25" s="36">
        <v>9.2999999999999992E-3</v>
      </c>
      <c r="I25" s="36">
        <v>1.2398</v>
      </c>
      <c r="J25" s="6" t="s">
        <v>362</v>
      </c>
    </row>
    <row r="26" spans="1:10" ht="18" customHeight="1" x14ac:dyDescent="0.15">
      <c r="A26" s="5" t="s">
        <v>70</v>
      </c>
      <c r="B26" s="6" t="s">
        <v>75</v>
      </c>
      <c r="C26" s="6" t="s">
        <v>28</v>
      </c>
      <c r="D26" s="36">
        <v>6.9199999999999998E-2</v>
      </c>
      <c r="E26" s="36">
        <v>8.5000000000000006E-3</v>
      </c>
      <c r="F26" s="37">
        <v>8.1411764705882348</v>
      </c>
      <c r="G26" s="36">
        <v>1.0124</v>
      </c>
      <c r="H26" s="36">
        <v>6.8999999999999999E-3</v>
      </c>
      <c r="I26" s="36">
        <v>1.0956999999999999</v>
      </c>
      <c r="J26" s="6" t="s">
        <v>362</v>
      </c>
    </row>
    <row r="27" spans="1:10" ht="18" customHeight="1" x14ac:dyDescent="0.15">
      <c r="A27" s="5" t="s">
        <v>363</v>
      </c>
      <c r="B27" s="6" t="s">
        <v>85</v>
      </c>
      <c r="C27" s="6" t="s">
        <v>28</v>
      </c>
      <c r="D27" s="36">
        <v>0.2737</v>
      </c>
      <c r="E27" s="36">
        <v>1.4999999999999999E-2</v>
      </c>
      <c r="F27" s="37">
        <v>18.24666666666667</v>
      </c>
      <c r="G27" s="36">
        <v>1.0510999999999999</v>
      </c>
      <c r="H27" s="36">
        <v>7.9000000000000008E-3</v>
      </c>
      <c r="I27" s="36">
        <v>1.2830999999999999</v>
      </c>
      <c r="J27" s="6" t="s">
        <v>362</v>
      </c>
    </row>
    <row r="28" spans="1:10" ht="18" customHeight="1" x14ac:dyDescent="0.15">
      <c r="A28" s="5" t="s">
        <v>90</v>
      </c>
      <c r="B28" s="6" t="s">
        <v>95</v>
      </c>
      <c r="C28" s="6" t="s">
        <v>28</v>
      </c>
      <c r="D28" s="36">
        <v>0.20519999999999999</v>
      </c>
      <c r="E28" s="36">
        <v>1.41E-2</v>
      </c>
      <c r="F28" s="37">
        <v>14.5531914893617</v>
      </c>
      <c r="G28" s="36">
        <v>0.99439999999999995</v>
      </c>
      <c r="H28" s="36">
        <v>8.0000000000000002E-3</v>
      </c>
      <c r="I28" s="36">
        <v>1.1747000000000001</v>
      </c>
      <c r="J28" s="6" t="s">
        <v>362</v>
      </c>
    </row>
    <row r="29" spans="1:10" ht="18" customHeight="1" x14ac:dyDescent="0.15">
      <c r="A29" s="5" t="s">
        <v>100</v>
      </c>
      <c r="B29" s="6" t="s">
        <v>106</v>
      </c>
      <c r="C29" s="6" t="s">
        <v>28</v>
      </c>
      <c r="D29" s="36">
        <v>0.59319999999999995</v>
      </c>
      <c r="E29" s="36">
        <v>2.24E-2</v>
      </c>
      <c r="F29" s="37">
        <v>26.482142857142851</v>
      </c>
      <c r="G29" s="36">
        <v>1.0210999999999999</v>
      </c>
      <c r="H29" s="36">
        <v>8.8999999999999999E-3</v>
      </c>
      <c r="I29" s="36">
        <v>1.4494</v>
      </c>
      <c r="J29" s="6" t="s">
        <v>362</v>
      </c>
    </row>
    <row r="30" spans="1:10" ht="18" customHeight="1" x14ac:dyDescent="0.15">
      <c r="A30" s="5" t="s">
        <v>109</v>
      </c>
      <c r="B30" s="6" t="s">
        <v>115</v>
      </c>
      <c r="C30" s="6" t="s">
        <v>28</v>
      </c>
      <c r="D30" s="36">
        <v>0.1008</v>
      </c>
      <c r="E30" s="36">
        <v>7.6E-3</v>
      </c>
      <c r="F30" s="37">
        <v>13.263157894736841</v>
      </c>
      <c r="G30" s="36">
        <v>1.0027999999999999</v>
      </c>
      <c r="H30" s="36">
        <v>7.3000000000000001E-3</v>
      </c>
      <c r="I30" s="36">
        <v>1.1458999999999999</v>
      </c>
      <c r="J30" s="6" t="s">
        <v>362</v>
      </c>
    </row>
    <row r="31" spans="1:10" ht="18" customHeight="1" x14ac:dyDescent="0.15">
      <c r="A31" s="5" t="s">
        <v>119</v>
      </c>
      <c r="B31" s="6" t="s">
        <v>124</v>
      </c>
      <c r="C31" s="6" t="s">
        <v>28</v>
      </c>
      <c r="D31" s="36">
        <v>0.41909999999999997</v>
      </c>
      <c r="E31" s="36">
        <v>5.7200000000000001E-2</v>
      </c>
      <c r="F31" s="37">
        <v>7.3269230769230766</v>
      </c>
      <c r="G31" s="36">
        <v>0.99050000000000005</v>
      </c>
      <c r="H31" s="36">
        <v>6.4999999999999997E-3</v>
      </c>
      <c r="I31" s="36">
        <v>1.0496000000000001</v>
      </c>
      <c r="J31" s="6" t="s">
        <v>362</v>
      </c>
    </row>
    <row r="32" spans="1:10" ht="18" customHeight="1" x14ac:dyDescent="0.15">
      <c r="A32" s="5" t="s">
        <v>135</v>
      </c>
      <c r="B32" s="6" t="s">
        <v>136</v>
      </c>
      <c r="C32" s="6" t="s">
        <v>28</v>
      </c>
      <c r="D32" s="36">
        <v>0.1076</v>
      </c>
      <c r="E32" s="36">
        <v>9.2999999999999992E-3</v>
      </c>
      <c r="F32" s="37">
        <v>11.56989247311828</v>
      </c>
      <c r="G32" s="36">
        <v>1.0104</v>
      </c>
      <c r="H32" s="36">
        <v>1.03E-2</v>
      </c>
      <c r="I32" s="36">
        <v>1.1842999999999999</v>
      </c>
      <c r="J32" s="6" t="s">
        <v>362</v>
      </c>
    </row>
    <row r="33" spans="1:10" ht="18" customHeight="1" x14ac:dyDescent="0.15">
      <c r="A33" s="5" t="s">
        <v>144</v>
      </c>
      <c r="B33" s="6" t="s">
        <v>148</v>
      </c>
      <c r="C33" s="6" t="s">
        <v>28</v>
      </c>
      <c r="D33" s="36">
        <v>5.8400000000000001E-2</v>
      </c>
      <c r="E33" s="36">
        <v>5.1999999999999998E-3</v>
      </c>
      <c r="F33" s="37">
        <v>11.23076923076923</v>
      </c>
      <c r="G33" s="36">
        <v>0.98460000000000003</v>
      </c>
      <c r="H33" s="36">
        <v>6.6E-3</v>
      </c>
      <c r="I33" s="36">
        <v>1.0864</v>
      </c>
      <c r="J33" s="6" t="s">
        <v>362</v>
      </c>
    </row>
    <row r="34" spans="1:10" ht="18" customHeight="1" x14ac:dyDescent="0.15">
      <c r="A34" s="5" t="s">
        <v>364</v>
      </c>
      <c r="B34" s="6" t="s">
        <v>155</v>
      </c>
      <c r="C34" s="6" t="s">
        <v>28</v>
      </c>
      <c r="D34" s="36">
        <v>2.64E-2</v>
      </c>
      <c r="E34" s="36">
        <v>4.7999999999999996E-3</v>
      </c>
      <c r="F34" s="37">
        <v>5.5000000000000009</v>
      </c>
      <c r="G34" s="36">
        <v>1.0219</v>
      </c>
      <c r="H34" s="36">
        <v>6.4000000000000003E-3</v>
      </c>
      <c r="I34" s="36">
        <v>1.0679000000000001</v>
      </c>
      <c r="J34" s="6" t="s">
        <v>362</v>
      </c>
    </row>
    <row r="35" spans="1:10" ht="18" customHeight="1" x14ac:dyDescent="0.15">
      <c r="A35" s="5" t="s">
        <v>158</v>
      </c>
      <c r="B35" s="6" t="s">
        <v>163</v>
      </c>
      <c r="C35" s="6" t="s">
        <v>28</v>
      </c>
      <c r="D35" s="36">
        <v>0.1956</v>
      </c>
      <c r="E35" s="36">
        <v>1.8200000000000001E-2</v>
      </c>
      <c r="F35" s="37">
        <v>10.74725274725275</v>
      </c>
      <c r="G35" s="36">
        <v>1.0241</v>
      </c>
      <c r="H35" s="36">
        <v>7.6E-3</v>
      </c>
      <c r="I35" s="36">
        <v>1.1458999999999999</v>
      </c>
      <c r="J35" s="6" t="s">
        <v>362</v>
      </c>
    </row>
    <row r="36" spans="1:10" ht="18" customHeight="1" x14ac:dyDescent="0.15">
      <c r="A36" s="5" t="s">
        <v>165</v>
      </c>
      <c r="B36" s="6" t="s">
        <v>169</v>
      </c>
      <c r="C36" s="6" t="s">
        <v>28</v>
      </c>
      <c r="D36" s="36">
        <v>8.5800000000000001E-2</v>
      </c>
      <c r="E36" s="36">
        <v>7.1999999999999998E-3</v>
      </c>
      <c r="F36" s="37">
        <v>11.91666666666667</v>
      </c>
      <c r="G36" s="36">
        <v>1.0116000000000001</v>
      </c>
      <c r="H36" s="36">
        <v>6.8999999999999999E-3</v>
      </c>
      <c r="I36" s="36">
        <v>1.1364000000000001</v>
      </c>
      <c r="J36" s="6" t="s">
        <v>362</v>
      </c>
    </row>
    <row r="37" spans="1:10" ht="18" customHeight="1" x14ac:dyDescent="0.15">
      <c r="A37" s="5" t="s">
        <v>173</v>
      </c>
      <c r="B37" s="6" t="s">
        <v>180</v>
      </c>
      <c r="C37" s="6" t="s">
        <v>28</v>
      </c>
      <c r="D37" s="36">
        <v>8.7300000000000003E-2</v>
      </c>
      <c r="E37" s="36">
        <v>6.0000000000000001E-3</v>
      </c>
      <c r="F37" s="37">
        <v>14.55</v>
      </c>
      <c r="G37" s="36">
        <v>1.0402</v>
      </c>
      <c r="H37" s="36">
        <v>7.3000000000000001E-3</v>
      </c>
      <c r="I37" s="36">
        <v>1.2004999999999999</v>
      </c>
      <c r="J37" s="6" t="s">
        <v>362</v>
      </c>
    </row>
    <row r="38" spans="1:10" ht="18" customHeight="1" x14ac:dyDescent="0.15">
      <c r="A38" s="5" t="s">
        <v>181</v>
      </c>
      <c r="B38" s="6" t="s">
        <v>185</v>
      </c>
      <c r="C38" s="6" t="s">
        <v>28</v>
      </c>
      <c r="D38" s="36">
        <v>0.14960000000000001</v>
      </c>
      <c r="E38" s="36">
        <v>1.1599999999999999E-2</v>
      </c>
      <c r="F38" s="37">
        <v>12.896551724137931</v>
      </c>
      <c r="G38" s="36">
        <v>1.0087999999999999</v>
      </c>
      <c r="H38" s="36">
        <v>7.0000000000000001E-3</v>
      </c>
      <c r="I38" s="36">
        <v>1.1555</v>
      </c>
      <c r="J38" s="6" t="s">
        <v>362</v>
      </c>
    </row>
    <row r="39" spans="1:10" ht="18" customHeight="1" x14ac:dyDescent="0.15"/>
    <row r="40" spans="1:10" ht="96" customHeight="1" x14ac:dyDescent="0.15">
      <c r="A40" s="75" t="s">
        <v>365</v>
      </c>
      <c r="B40" s="74"/>
      <c r="C40" s="74"/>
      <c r="D40" s="74"/>
      <c r="E40" s="74"/>
      <c r="F40" s="74"/>
      <c r="G40" s="74"/>
      <c r="H40" s="74"/>
    </row>
  </sheetData>
  <autoFilter ref="A3:J38" xr:uid="{00000000-0009-0000-0000-000002000000}">
    <sortState xmlns:xlrd2="http://schemas.microsoft.com/office/spreadsheetml/2017/richdata2" ref="A4:J38">
      <sortCondition ref="A3:A38"/>
    </sortState>
  </autoFilter>
  <mergeCells count="2">
    <mergeCell ref="A1:J1"/>
    <mergeCell ref="A40:H40"/>
  </mergeCells>
  <phoneticPr fontId="5"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71"/>
  <sheetViews>
    <sheetView topLeftCell="A52" workbookViewId="0">
      <selection activeCell="D28" sqref="D28"/>
    </sheetView>
  </sheetViews>
  <sheetFormatPr defaultRowHeight="13.5" x14ac:dyDescent="0.15"/>
  <cols>
    <col min="1" max="1" width="17.875" customWidth="1"/>
    <col min="2" max="2" width="34.5" customWidth="1"/>
    <col min="3" max="3" width="21.375" customWidth="1"/>
    <col min="4" max="4" width="12" customWidth="1"/>
    <col min="5" max="6" width="9" style="38" customWidth="1"/>
    <col min="7" max="7" width="8" style="38" customWidth="1"/>
    <col min="8" max="8" width="10" style="38" customWidth="1"/>
    <col min="9" max="9" width="9" style="38" customWidth="1"/>
    <col min="10" max="10" width="16.625" style="38" customWidth="1"/>
  </cols>
  <sheetData>
    <row r="1" spans="1:10" ht="18" customHeight="1" x14ac:dyDescent="0.15">
      <c r="A1" s="73" t="s">
        <v>366</v>
      </c>
      <c r="B1" s="74"/>
      <c r="C1" s="74"/>
      <c r="D1" s="74"/>
      <c r="E1" s="77"/>
      <c r="F1" s="77"/>
      <c r="G1" s="77"/>
      <c r="H1" s="77"/>
      <c r="I1" s="77"/>
      <c r="J1" s="77"/>
    </row>
    <row r="2" spans="1:10" ht="18" customHeight="1" x14ac:dyDescent="0.15"/>
    <row r="3" spans="1:10" ht="18" customHeight="1" x14ac:dyDescent="0.15">
      <c r="A3" s="9" t="s">
        <v>367</v>
      </c>
      <c r="B3" s="20" t="s">
        <v>2</v>
      </c>
      <c r="C3" s="20" t="s">
        <v>3</v>
      </c>
      <c r="D3" s="20" t="s">
        <v>6</v>
      </c>
      <c r="E3" s="39" t="s">
        <v>368</v>
      </c>
      <c r="F3" s="39" t="s">
        <v>356</v>
      </c>
      <c r="G3" s="39" t="s">
        <v>369</v>
      </c>
      <c r="H3" s="39" t="s">
        <v>370</v>
      </c>
      <c r="I3" s="39" t="s">
        <v>371</v>
      </c>
      <c r="J3" s="40" t="s">
        <v>372</v>
      </c>
    </row>
    <row r="4" spans="1:10" ht="18" customHeight="1" x14ac:dyDescent="0.15">
      <c r="A4" s="5" t="s">
        <v>18</v>
      </c>
      <c r="B4" s="6" t="s">
        <v>34</v>
      </c>
      <c r="C4" s="6" t="s">
        <v>35</v>
      </c>
      <c r="D4" s="6" t="s">
        <v>20</v>
      </c>
      <c r="E4" s="41">
        <v>0.30259999999999998</v>
      </c>
      <c r="F4" s="41">
        <v>0.1022</v>
      </c>
      <c r="G4" s="41">
        <v>2.960861056751467</v>
      </c>
      <c r="H4" s="41">
        <v>3.0678030334926119E-3</v>
      </c>
      <c r="I4" s="41">
        <v>5.0618750052628097E-3</v>
      </c>
      <c r="J4" s="41">
        <v>5.9999999999999995E-4</v>
      </c>
    </row>
    <row r="5" spans="1:10" ht="18" customHeight="1" x14ac:dyDescent="0.15">
      <c r="A5" s="5" t="s">
        <v>18</v>
      </c>
      <c r="B5" s="6" t="s">
        <v>55</v>
      </c>
      <c r="C5" s="6" t="s">
        <v>46</v>
      </c>
      <c r="D5" s="6" t="s">
        <v>20</v>
      </c>
      <c r="E5" s="41">
        <v>7.9899999999999999E-2</v>
      </c>
      <c r="F5" s="41">
        <v>8.09E-2</v>
      </c>
      <c r="G5" s="41">
        <v>0.98763906056860318</v>
      </c>
      <c r="H5" s="41">
        <v>0.32332944924924623</v>
      </c>
      <c r="I5" s="41">
        <v>0.39518043797130092</v>
      </c>
      <c r="J5" s="41">
        <v>1.5E-3</v>
      </c>
    </row>
    <row r="6" spans="1:10" ht="18" customHeight="1" x14ac:dyDescent="0.15">
      <c r="A6" s="5" t="s">
        <v>18</v>
      </c>
      <c r="B6" s="6" t="s">
        <v>59</v>
      </c>
      <c r="C6" s="6" t="s">
        <v>60</v>
      </c>
      <c r="D6" s="6" t="s">
        <v>20</v>
      </c>
      <c r="E6" s="41">
        <v>0.1046</v>
      </c>
      <c r="F6" s="41">
        <v>6.3600000000000004E-2</v>
      </c>
      <c r="G6" s="41">
        <v>1.644654088050314</v>
      </c>
      <c r="H6" s="41">
        <v>0.1000411658996358</v>
      </c>
      <c r="I6" s="41">
        <v>0.14353732498643401</v>
      </c>
      <c r="J6" s="41">
        <v>-2.9999999999999997E-4</v>
      </c>
    </row>
    <row r="7" spans="1:10" ht="18" customHeight="1" x14ac:dyDescent="0.15">
      <c r="A7" s="5" t="s">
        <v>18</v>
      </c>
      <c r="B7" s="6" t="s">
        <v>70</v>
      </c>
      <c r="C7" s="6" t="s">
        <v>71</v>
      </c>
      <c r="D7" s="6" t="s">
        <v>20</v>
      </c>
      <c r="E7" s="41">
        <v>0.36709999999999998</v>
      </c>
      <c r="F7" s="41">
        <v>6.0499999999999998E-2</v>
      </c>
      <c r="G7" s="41">
        <v>6.067768595041322</v>
      </c>
      <c r="H7" s="41">
        <v>1.296995955569743E-9</v>
      </c>
      <c r="I7" s="41">
        <v>2.1400433266900769E-8</v>
      </c>
      <c r="J7" s="41">
        <v>3.0999999999999999E-3</v>
      </c>
    </row>
    <row r="8" spans="1:10" ht="18" customHeight="1" x14ac:dyDescent="0.15">
      <c r="A8" s="5" t="s">
        <v>18</v>
      </c>
      <c r="B8" s="6" t="s">
        <v>363</v>
      </c>
      <c r="C8" s="6" t="s">
        <v>81</v>
      </c>
      <c r="D8" s="6" t="s">
        <v>20</v>
      </c>
      <c r="E8" s="41">
        <v>0.31419999999999998</v>
      </c>
      <c r="F8" s="41">
        <v>6.2E-2</v>
      </c>
      <c r="G8" s="41">
        <v>5.0677419354838706</v>
      </c>
      <c r="H8" s="41">
        <v>4.0256266995490028E-7</v>
      </c>
      <c r="I8" s="41">
        <v>4.4281893695039034E-6</v>
      </c>
      <c r="J8" s="41">
        <v>-2.5999999999999999E-3</v>
      </c>
    </row>
    <row r="9" spans="1:10" ht="18" customHeight="1" x14ac:dyDescent="0.15">
      <c r="A9" s="5" t="s">
        <v>18</v>
      </c>
      <c r="B9" s="6" t="s">
        <v>90</v>
      </c>
      <c r="C9" s="6" t="s">
        <v>91</v>
      </c>
      <c r="D9" s="6" t="s">
        <v>20</v>
      </c>
      <c r="E9" s="41">
        <v>-3.2899999999999999E-2</v>
      </c>
      <c r="F9" s="41">
        <v>0.10680000000000001</v>
      </c>
      <c r="G9" s="41">
        <v>-0.30805243445692881</v>
      </c>
      <c r="H9" s="41">
        <v>0.75804243408634264</v>
      </c>
      <c r="I9" s="41">
        <v>0.80694839757578407</v>
      </c>
      <c r="J9" s="41">
        <v>1.5E-3</v>
      </c>
    </row>
    <row r="10" spans="1:10" ht="18" customHeight="1" x14ac:dyDescent="0.15">
      <c r="A10" s="5" t="s">
        <v>18</v>
      </c>
      <c r="B10" s="6" t="s">
        <v>100</v>
      </c>
      <c r="C10" s="6" t="s">
        <v>101</v>
      </c>
      <c r="D10" s="6" t="s">
        <v>20</v>
      </c>
      <c r="E10" s="41">
        <v>0.1817</v>
      </c>
      <c r="F10" s="41">
        <v>4.99E-2</v>
      </c>
      <c r="G10" s="41">
        <v>3.6412825651302612</v>
      </c>
      <c r="H10" s="41">
        <v>2.7128318868916009E-4</v>
      </c>
      <c r="I10" s="41">
        <v>5.2660854274954618E-4</v>
      </c>
      <c r="J10" s="41">
        <v>1.5E-3</v>
      </c>
    </row>
    <row r="11" spans="1:10" ht="18" customHeight="1" x14ac:dyDescent="0.15">
      <c r="A11" s="5" t="s">
        <v>18</v>
      </c>
      <c r="B11" s="6" t="s">
        <v>109</v>
      </c>
      <c r="C11" s="6" t="s">
        <v>110</v>
      </c>
      <c r="D11" s="6" t="s">
        <v>20</v>
      </c>
      <c r="E11" s="41">
        <v>0.33479999999999999</v>
      </c>
      <c r="F11" s="41">
        <v>7.7200000000000005E-2</v>
      </c>
      <c r="G11" s="41">
        <v>4.3367875647668388</v>
      </c>
      <c r="H11" s="41">
        <v>1.445802359703056E-5</v>
      </c>
      <c r="I11" s="41">
        <v>6.8159254100286923E-5</v>
      </c>
      <c r="J11" s="41">
        <v>-6.9999999999999999E-4</v>
      </c>
    </row>
    <row r="12" spans="1:10" ht="18" customHeight="1" x14ac:dyDescent="0.15">
      <c r="A12" s="5" t="s">
        <v>18</v>
      </c>
      <c r="B12" s="6" t="s">
        <v>119</v>
      </c>
      <c r="C12" s="6" t="s">
        <v>120</v>
      </c>
      <c r="D12" s="6" t="s">
        <v>20</v>
      </c>
      <c r="E12" s="41">
        <v>7.7799999999999994E-2</v>
      </c>
      <c r="F12" s="41">
        <v>0.1074</v>
      </c>
      <c r="G12" s="41">
        <v>0.72439478584729977</v>
      </c>
      <c r="H12" s="41">
        <v>0.46882340004698048</v>
      </c>
      <c r="I12" s="41">
        <v>0.53348869660518472</v>
      </c>
      <c r="J12" s="41">
        <v>-4.4000000000000003E-3</v>
      </c>
    </row>
    <row r="13" spans="1:10" ht="18" customHeight="1" x14ac:dyDescent="0.15">
      <c r="A13" s="5" t="s">
        <v>18</v>
      </c>
      <c r="B13" s="6" t="s">
        <v>135</v>
      </c>
      <c r="C13" s="6" t="s">
        <v>129</v>
      </c>
      <c r="D13" s="6" t="s">
        <v>20</v>
      </c>
      <c r="E13" s="41">
        <v>0.4199</v>
      </c>
      <c r="F13" s="41">
        <v>8.4599999999999995E-2</v>
      </c>
      <c r="G13" s="41">
        <v>4.9633569739952721</v>
      </c>
      <c r="H13" s="41">
        <v>6.928506804694464E-7</v>
      </c>
      <c r="I13" s="41">
        <v>5.7160181138729326E-6</v>
      </c>
      <c r="J13" s="41">
        <v>-6.1000000000000004E-3</v>
      </c>
    </row>
    <row r="14" spans="1:10" ht="18" customHeight="1" x14ac:dyDescent="0.15">
      <c r="A14" s="5" t="s">
        <v>18</v>
      </c>
      <c r="B14" s="6" t="s">
        <v>144</v>
      </c>
      <c r="C14" s="6" t="s">
        <v>142</v>
      </c>
      <c r="D14" s="6" t="s">
        <v>20</v>
      </c>
      <c r="E14" s="41">
        <v>-4.0800000000000003E-2</v>
      </c>
      <c r="F14" s="41">
        <v>9.1700000000000004E-2</v>
      </c>
      <c r="G14" s="41">
        <v>-0.44492911668484192</v>
      </c>
      <c r="H14" s="41">
        <v>0.65637098011385209</v>
      </c>
      <c r="I14" s="41">
        <v>0.72200807812523737</v>
      </c>
      <c r="J14" s="41">
        <v>-5.0000000000000001E-4</v>
      </c>
    </row>
    <row r="15" spans="1:10" ht="18" customHeight="1" x14ac:dyDescent="0.15">
      <c r="A15" s="5" t="s">
        <v>18</v>
      </c>
      <c r="B15" s="6" t="s">
        <v>364</v>
      </c>
      <c r="C15" s="6" t="s">
        <v>151</v>
      </c>
      <c r="D15" s="6" t="s">
        <v>20</v>
      </c>
      <c r="E15" s="41">
        <v>0.43209999999999998</v>
      </c>
      <c r="F15" s="41">
        <v>5.79E-2</v>
      </c>
      <c r="G15" s="41">
        <v>7.4628670120898093</v>
      </c>
      <c r="H15" s="41">
        <v>8.4659785959590483E-14</v>
      </c>
      <c r="I15" s="41">
        <v>2.7937729366664861E-12</v>
      </c>
      <c r="J15" s="41">
        <v>5.5999999999999999E-3</v>
      </c>
    </row>
    <row r="16" spans="1:10" ht="18" customHeight="1" x14ac:dyDescent="0.15">
      <c r="A16" s="5" t="s">
        <v>18</v>
      </c>
      <c r="B16" s="6" t="s">
        <v>158</v>
      </c>
      <c r="C16" s="6" t="s">
        <v>159</v>
      </c>
      <c r="D16" s="6" t="s">
        <v>20</v>
      </c>
      <c r="E16" s="41">
        <v>0.1401</v>
      </c>
      <c r="F16" s="41">
        <v>4.5600000000000002E-2</v>
      </c>
      <c r="G16" s="41">
        <v>3.072368421052631</v>
      </c>
      <c r="H16" s="41">
        <v>2.1236743605528722E-3</v>
      </c>
      <c r="I16" s="41">
        <v>3.688487047276041E-3</v>
      </c>
      <c r="J16" s="41">
        <v>-1.6000000000000001E-3</v>
      </c>
    </row>
    <row r="17" spans="1:10" ht="18" customHeight="1" x14ac:dyDescent="0.15">
      <c r="A17" s="5" t="s">
        <v>18</v>
      </c>
      <c r="B17" s="6" t="s">
        <v>165</v>
      </c>
      <c r="C17" s="6" t="s">
        <v>166</v>
      </c>
      <c r="D17" s="6" t="s">
        <v>20</v>
      </c>
      <c r="E17" s="41">
        <v>0.29899999999999999</v>
      </c>
      <c r="F17" s="41">
        <v>0.1183</v>
      </c>
      <c r="G17" s="41">
        <v>2.5274725274725269</v>
      </c>
      <c r="H17" s="41">
        <v>1.1488681196230021E-2</v>
      </c>
      <c r="I17" s="41">
        <v>1.8053641879790031E-2</v>
      </c>
      <c r="J17" s="41">
        <v>2.0000000000000001E-4</v>
      </c>
    </row>
    <row r="18" spans="1:10" ht="18" customHeight="1" x14ac:dyDescent="0.15">
      <c r="A18" s="5" t="s">
        <v>18</v>
      </c>
      <c r="B18" s="6" t="s">
        <v>173</v>
      </c>
      <c r="C18" s="6" t="s">
        <v>174</v>
      </c>
      <c r="D18" s="6" t="s">
        <v>20</v>
      </c>
      <c r="E18" s="41">
        <v>0.38019999999999998</v>
      </c>
      <c r="F18" s="41">
        <v>7.7600000000000002E-2</v>
      </c>
      <c r="G18" s="41">
        <v>4.8994845360824737</v>
      </c>
      <c r="H18" s="41">
        <v>9.6088412365837043E-7</v>
      </c>
      <c r="I18" s="41">
        <v>6.3418352161452448E-6</v>
      </c>
      <c r="J18" s="41">
        <v>-1.6000000000000001E-3</v>
      </c>
    </row>
    <row r="19" spans="1:10" ht="18" customHeight="1" x14ac:dyDescent="0.15">
      <c r="A19" s="5" t="s">
        <v>18</v>
      </c>
      <c r="B19" s="6" t="s">
        <v>181</v>
      </c>
      <c r="C19" s="6" t="s">
        <v>182</v>
      </c>
      <c r="D19" s="6" t="s">
        <v>20</v>
      </c>
      <c r="E19" s="41">
        <v>0.36199999999999999</v>
      </c>
      <c r="F19" s="41">
        <v>8.6699999999999999E-2</v>
      </c>
      <c r="G19" s="41">
        <v>4.1753171856978089</v>
      </c>
      <c r="H19" s="41">
        <v>2.9757114364770461E-5</v>
      </c>
      <c r="I19" s="41">
        <v>8.9271343094311377E-5</v>
      </c>
      <c r="J19" s="41">
        <v>3.7000000000000002E-3</v>
      </c>
    </row>
    <row r="20" spans="1:10" ht="18" customHeight="1" x14ac:dyDescent="0.15">
      <c r="A20" s="5" t="s">
        <v>18</v>
      </c>
      <c r="B20" s="6" t="s">
        <v>189</v>
      </c>
      <c r="C20" s="6" t="s">
        <v>190</v>
      </c>
      <c r="D20" s="6" t="s">
        <v>20</v>
      </c>
      <c r="E20" s="41">
        <v>0.16170000000000001</v>
      </c>
      <c r="F20" s="41">
        <v>0.108</v>
      </c>
      <c r="G20" s="41">
        <v>1.497222222222222</v>
      </c>
      <c r="H20" s="41">
        <v>0.13433544493805269</v>
      </c>
      <c r="I20" s="41">
        <v>0.18471123678982251</v>
      </c>
      <c r="J20" s="41">
        <v>6.9999999999999999E-4</v>
      </c>
    </row>
    <row r="21" spans="1:10" ht="18" customHeight="1" x14ac:dyDescent="0.15">
      <c r="A21" s="5" t="s">
        <v>18</v>
      </c>
      <c r="B21" s="6" t="s">
        <v>34</v>
      </c>
      <c r="C21" s="6" t="s">
        <v>41</v>
      </c>
      <c r="D21" s="6" t="s">
        <v>28</v>
      </c>
      <c r="E21" s="41">
        <v>0.19719999999999999</v>
      </c>
      <c r="F21" s="41">
        <v>9.5500000000000002E-2</v>
      </c>
      <c r="G21" s="41">
        <v>2.0649214659685859</v>
      </c>
      <c r="H21" s="41">
        <v>3.8930431657304247E-2</v>
      </c>
      <c r="I21" s="41">
        <v>5.8395647485956367E-2</v>
      </c>
      <c r="J21" s="41">
        <v>2.3E-3</v>
      </c>
    </row>
    <row r="22" spans="1:10" ht="18" customHeight="1" x14ac:dyDescent="0.15">
      <c r="A22" s="5" t="s">
        <v>18</v>
      </c>
      <c r="B22" s="6" t="s">
        <v>55</v>
      </c>
      <c r="C22" s="6" t="s">
        <v>53</v>
      </c>
      <c r="D22" s="6" t="s">
        <v>28</v>
      </c>
      <c r="E22" s="41">
        <v>-0.1183</v>
      </c>
      <c r="F22" s="41">
        <v>8.8599999999999998E-2</v>
      </c>
      <c r="G22" s="41">
        <v>-1.3352144469525959</v>
      </c>
      <c r="H22" s="41">
        <v>0.1818061698169515</v>
      </c>
      <c r="I22" s="41">
        <v>0.23847149929339739</v>
      </c>
      <c r="J22" s="41">
        <v>5.8999999999999999E-3</v>
      </c>
    </row>
    <row r="23" spans="1:10" ht="18" customHeight="1" x14ac:dyDescent="0.15">
      <c r="A23" s="5" t="s">
        <v>18</v>
      </c>
      <c r="B23" s="6" t="s">
        <v>59</v>
      </c>
      <c r="C23" s="6" t="s">
        <v>65</v>
      </c>
      <c r="D23" s="6" t="s">
        <v>28</v>
      </c>
      <c r="E23" s="41">
        <v>0.10390000000000001</v>
      </c>
      <c r="F23" s="41">
        <v>7.8899999999999998E-2</v>
      </c>
      <c r="G23" s="41">
        <v>1.3168567807351079</v>
      </c>
      <c r="H23" s="41">
        <v>0.18788663580691919</v>
      </c>
      <c r="I23" s="41">
        <v>0.23847149929339739</v>
      </c>
      <c r="J23" s="41">
        <v>-6.1999999999999998E-3</v>
      </c>
    </row>
    <row r="24" spans="1:10" ht="18" customHeight="1" x14ac:dyDescent="0.15">
      <c r="A24" s="5" t="s">
        <v>18</v>
      </c>
      <c r="B24" s="6" t="s">
        <v>70</v>
      </c>
      <c r="C24" s="6" t="s">
        <v>75</v>
      </c>
      <c r="D24" s="6" t="s">
        <v>28</v>
      </c>
      <c r="E24" s="41">
        <v>0.3911</v>
      </c>
      <c r="F24" s="41">
        <v>9.8599999999999993E-2</v>
      </c>
      <c r="G24" s="41">
        <v>3.9665314401622722</v>
      </c>
      <c r="H24" s="41">
        <v>7.2926159647432006E-5</v>
      </c>
      <c r="I24" s="41">
        <v>2.00546939030438E-4</v>
      </c>
      <c r="J24" s="41">
        <v>1.1000000000000001E-3</v>
      </c>
    </row>
    <row r="25" spans="1:10" ht="18" customHeight="1" x14ac:dyDescent="0.15">
      <c r="A25" s="5" t="s">
        <v>18</v>
      </c>
      <c r="B25" s="6" t="s">
        <v>363</v>
      </c>
      <c r="C25" s="6" t="s">
        <v>85</v>
      </c>
      <c r="D25" s="6" t="s">
        <v>28</v>
      </c>
      <c r="E25" s="41">
        <v>0.2641</v>
      </c>
      <c r="F25" s="41">
        <v>6.7400000000000002E-2</v>
      </c>
      <c r="G25" s="41">
        <v>3.91839762611276</v>
      </c>
      <c r="H25" s="41">
        <v>8.9139573534043149E-5</v>
      </c>
      <c r="I25" s="41">
        <v>2.262773789710326E-4</v>
      </c>
      <c r="J25" s="41">
        <v>3.5000000000000001E-3</v>
      </c>
    </row>
    <row r="26" spans="1:10" ht="18" customHeight="1" x14ac:dyDescent="0.15">
      <c r="A26" s="5" t="s">
        <v>18</v>
      </c>
      <c r="B26" s="6" t="s">
        <v>90</v>
      </c>
      <c r="C26" s="6" t="s">
        <v>95</v>
      </c>
      <c r="D26" s="6" t="s">
        <v>28</v>
      </c>
      <c r="E26" s="41">
        <v>1.18E-2</v>
      </c>
      <c r="F26" s="41">
        <v>9.5799999999999996E-2</v>
      </c>
      <c r="G26" s="41">
        <v>0.12317327766179539</v>
      </c>
      <c r="H26" s="41">
        <v>0.9019698857475682</v>
      </c>
      <c r="I26" s="41">
        <v>0.93015644467717973</v>
      </c>
      <c r="J26" s="41">
        <v>-1.8E-3</v>
      </c>
    </row>
    <row r="27" spans="1:10" ht="18" customHeight="1" x14ac:dyDescent="0.15">
      <c r="A27" s="5" t="s">
        <v>18</v>
      </c>
      <c r="B27" s="6" t="s">
        <v>100</v>
      </c>
      <c r="C27" s="6" t="s">
        <v>106</v>
      </c>
      <c r="D27" s="6" t="s">
        <v>28</v>
      </c>
      <c r="E27" s="41">
        <v>0.186</v>
      </c>
      <c r="F27" s="41">
        <v>5.0900000000000001E-2</v>
      </c>
      <c r="G27" s="41">
        <v>3.6542239685658151</v>
      </c>
      <c r="H27" s="41">
        <v>2.5796101831803889E-4</v>
      </c>
      <c r="I27" s="41">
        <v>5.2660854274954618E-4</v>
      </c>
      <c r="J27" s="41">
        <v>5.0000000000000001E-4</v>
      </c>
    </row>
    <row r="28" spans="1:10" ht="18" customHeight="1" x14ac:dyDescent="0.15">
      <c r="A28" s="5" t="s">
        <v>18</v>
      </c>
      <c r="B28" s="6" t="s">
        <v>109</v>
      </c>
      <c r="C28" s="6" t="s">
        <v>115</v>
      </c>
      <c r="D28" s="6" t="s">
        <v>28</v>
      </c>
      <c r="E28" s="41">
        <v>0.36840000000000001</v>
      </c>
      <c r="F28" s="41">
        <v>8.6900000000000005E-2</v>
      </c>
      <c r="G28" s="41">
        <v>4.2393555811277333</v>
      </c>
      <c r="H28" s="41">
        <v>2.241623493212317E-5</v>
      </c>
      <c r="I28" s="41">
        <v>8.2192861417784937E-5</v>
      </c>
      <c r="J28" s="41">
        <v>5.1000000000000004E-3</v>
      </c>
    </row>
    <row r="29" spans="1:10" ht="18" customHeight="1" x14ac:dyDescent="0.15">
      <c r="A29" s="5" t="s">
        <v>18</v>
      </c>
      <c r="B29" s="6" t="s">
        <v>119</v>
      </c>
      <c r="C29" s="6" t="s">
        <v>124</v>
      </c>
      <c r="D29" s="6" t="s">
        <v>28</v>
      </c>
      <c r="E29" s="41">
        <v>7.8E-2</v>
      </c>
      <c r="F29" s="41">
        <v>0.1074</v>
      </c>
      <c r="G29" s="41">
        <v>0.72625698324022347</v>
      </c>
      <c r="H29" s="41">
        <v>0.46768124491547208</v>
      </c>
      <c r="I29" s="41">
        <v>0.53348869660518472</v>
      </c>
      <c r="J29" s="41">
        <v>-4.4000000000000003E-3</v>
      </c>
    </row>
    <row r="30" spans="1:10" ht="18" customHeight="1" x14ac:dyDescent="0.15">
      <c r="A30" s="5" t="s">
        <v>18</v>
      </c>
      <c r="B30" s="6" t="s">
        <v>135</v>
      </c>
      <c r="C30" s="6" t="s">
        <v>136</v>
      </c>
      <c r="D30" s="6" t="s">
        <v>28</v>
      </c>
      <c r="E30" s="41">
        <v>0.38329999999999997</v>
      </c>
      <c r="F30" s="41">
        <v>0.1086</v>
      </c>
      <c r="G30" s="41">
        <v>3.5294659300184161</v>
      </c>
      <c r="H30" s="41">
        <v>4.1639931562122579E-4</v>
      </c>
      <c r="I30" s="41">
        <v>7.6339874530558058E-4</v>
      </c>
      <c r="J30" s="41">
        <v>-6.3E-3</v>
      </c>
    </row>
    <row r="31" spans="1:10" ht="18" customHeight="1" x14ac:dyDescent="0.15">
      <c r="A31" s="5" t="s">
        <v>18</v>
      </c>
      <c r="B31" s="6" t="s">
        <v>144</v>
      </c>
      <c r="C31" s="6" t="s">
        <v>148</v>
      </c>
      <c r="D31" s="6" t="s">
        <v>28</v>
      </c>
      <c r="E31" s="41">
        <v>4.4000000000000003E-3</v>
      </c>
      <c r="F31" s="41">
        <v>8.6999999999999994E-2</v>
      </c>
      <c r="G31" s="41">
        <v>5.0574712643678167E-2</v>
      </c>
      <c r="H31" s="41">
        <v>0.95966441341814335</v>
      </c>
      <c r="I31" s="41">
        <v>0.95966441341814335</v>
      </c>
      <c r="J31" s="41">
        <v>-1.5E-3</v>
      </c>
    </row>
    <row r="32" spans="1:10" ht="18" customHeight="1" x14ac:dyDescent="0.15">
      <c r="A32" s="5" t="s">
        <v>18</v>
      </c>
      <c r="B32" s="6" t="s">
        <v>364</v>
      </c>
      <c r="C32" s="6" t="s">
        <v>155</v>
      </c>
      <c r="D32" s="6" t="s">
        <v>28</v>
      </c>
      <c r="E32" s="41">
        <v>0.49070000000000003</v>
      </c>
      <c r="F32" s="41">
        <v>0.126</v>
      </c>
      <c r="G32" s="41">
        <v>3.8944444444444448</v>
      </c>
      <c r="H32" s="41">
        <v>9.8424045381930342E-5</v>
      </c>
      <c r="I32" s="41">
        <v>2.319995355431215E-4</v>
      </c>
      <c r="J32" s="41">
        <v>-3.8499000000000002E-6</v>
      </c>
    </row>
    <row r="33" spans="1:10" ht="18" customHeight="1" x14ac:dyDescent="0.15">
      <c r="A33" s="5" t="s">
        <v>18</v>
      </c>
      <c r="B33" s="6" t="s">
        <v>158</v>
      </c>
      <c r="C33" s="6" t="s">
        <v>163</v>
      </c>
      <c r="D33" s="6" t="s">
        <v>28</v>
      </c>
      <c r="E33" s="41">
        <v>0.40760000000000002</v>
      </c>
      <c r="F33" s="41">
        <v>9.4700000000000006E-2</v>
      </c>
      <c r="G33" s="41">
        <v>4.3041182682154169</v>
      </c>
      <c r="H33" s="41">
        <v>1.6765209076676951E-5</v>
      </c>
      <c r="I33" s="41">
        <v>6.9156487441292435E-5</v>
      </c>
      <c r="J33" s="41">
        <v>-9.4999999999999998E-3</v>
      </c>
    </row>
    <row r="34" spans="1:10" ht="18" customHeight="1" x14ac:dyDescent="0.15">
      <c r="A34" s="5" t="s">
        <v>18</v>
      </c>
      <c r="B34" s="6" t="s">
        <v>165</v>
      </c>
      <c r="C34" s="6" t="s">
        <v>169</v>
      </c>
      <c r="D34" s="6" t="s">
        <v>28</v>
      </c>
      <c r="E34" s="41">
        <v>0.35170000000000001</v>
      </c>
      <c r="F34" s="41">
        <v>9.2100000000000001E-2</v>
      </c>
      <c r="G34" s="41">
        <v>3.8186753528773072</v>
      </c>
      <c r="H34" s="41">
        <v>1.3417019593898969E-4</v>
      </c>
      <c r="I34" s="41">
        <v>2.9517443106577741E-4</v>
      </c>
      <c r="J34" s="41">
        <v>-2.0999999999999999E-3</v>
      </c>
    </row>
    <row r="35" spans="1:10" ht="18" customHeight="1" x14ac:dyDescent="0.15">
      <c r="A35" s="5" t="s">
        <v>18</v>
      </c>
      <c r="B35" s="6" t="s">
        <v>173</v>
      </c>
      <c r="C35" s="6" t="s">
        <v>180</v>
      </c>
      <c r="D35" s="6" t="s">
        <v>28</v>
      </c>
      <c r="E35" s="41">
        <v>0.3891</v>
      </c>
      <c r="F35" s="41">
        <v>8.2799999999999999E-2</v>
      </c>
      <c r="G35" s="41">
        <v>4.6992753623188408</v>
      </c>
      <c r="H35" s="41">
        <v>2.6108622761112978E-6</v>
      </c>
      <c r="I35" s="41">
        <v>1.435974251861214E-5</v>
      </c>
      <c r="J35" s="41">
        <v>-1.5E-3</v>
      </c>
    </row>
    <row r="36" spans="1:10" ht="18" customHeight="1" x14ac:dyDescent="0.15">
      <c r="A36" s="5" t="s">
        <v>18</v>
      </c>
      <c r="B36" s="6" t="s">
        <v>181</v>
      </c>
      <c r="C36" s="6" t="s">
        <v>185</v>
      </c>
      <c r="D36" s="6" t="s">
        <v>28</v>
      </c>
      <c r="E36" s="41">
        <v>0.35809999999999997</v>
      </c>
      <c r="F36" s="41">
        <v>8.5000000000000006E-2</v>
      </c>
      <c r="G36" s="41">
        <v>4.2129411764705873</v>
      </c>
      <c r="H36" s="41">
        <v>2.520667259410133E-5</v>
      </c>
      <c r="I36" s="41">
        <v>8.3182019560534403E-5</v>
      </c>
      <c r="J36" s="41">
        <v>3.8E-3</v>
      </c>
    </row>
    <row r="37" spans="1:10" ht="18" customHeight="1" x14ac:dyDescent="0.15">
      <c r="A37" s="5" t="s">
        <v>26</v>
      </c>
      <c r="B37" s="6" t="s">
        <v>34</v>
      </c>
      <c r="C37" s="6" t="s">
        <v>35</v>
      </c>
      <c r="D37" s="6" t="s">
        <v>20</v>
      </c>
      <c r="E37" s="41">
        <v>0.26650000000000001</v>
      </c>
      <c r="F37" s="41">
        <v>9.3299999999999994E-2</v>
      </c>
      <c r="G37" s="41">
        <v>2.8563772775991429</v>
      </c>
      <c r="H37" s="41">
        <v>4.2850562219598071E-3</v>
      </c>
      <c r="I37" s="41">
        <v>7.855936406926313E-3</v>
      </c>
      <c r="J37" s="41">
        <v>1.4800000000000001E-2</v>
      </c>
    </row>
    <row r="38" spans="1:10" ht="18" customHeight="1" x14ac:dyDescent="0.15">
      <c r="A38" s="5" t="s">
        <v>26</v>
      </c>
      <c r="B38" s="6" t="s">
        <v>55</v>
      </c>
      <c r="C38" s="6" t="s">
        <v>46</v>
      </c>
      <c r="D38" s="6" t="s">
        <v>20</v>
      </c>
      <c r="E38" s="41">
        <v>0.1633</v>
      </c>
      <c r="F38" s="41">
        <v>6.8500000000000005E-2</v>
      </c>
      <c r="G38" s="41">
        <v>2.3839416058394161</v>
      </c>
      <c r="H38" s="41">
        <v>1.712832001677304E-2</v>
      </c>
      <c r="I38" s="41">
        <v>2.5692480025159559E-2</v>
      </c>
      <c r="J38" s="41">
        <v>-4.1999999999999997E-3</v>
      </c>
    </row>
    <row r="39" spans="1:10" ht="18" customHeight="1" x14ac:dyDescent="0.15">
      <c r="A39" s="5" t="s">
        <v>26</v>
      </c>
      <c r="B39" s="6" t="s">
        <v>59</v>
      </c>
      <c r="C39" s="6" t="s">
        <v>60</v>
      </c>
      <c r="D39" s="6" t="s">
        <v>20</v>
      </c>
      <c r="E39" s="41">
        <v>3.5799999999999998E-2</v>
      </c>
      <c r="F39" s="41">
        <v>5.5300000000000002E-2</v>
      </c>
      <c r="G39" s="41">
        <v>0.64737793851717895</v>
      </c>
      <c r="H39" s="41">
        <v>0.51738737058347573</v>
      </c>
      <c r="I39" s="41">
        <v>0.60977797247338217</v>
      </c>
      <c r="J39" s="41">
        <v>-4.5673000000000001E-5</v>
      </c>
    </row>
    <row r="40" spans="1:10" ht="18" customHeight="1" x14ac:dyDescent="0.15">
      <c r="A40" s="5" t="s">
        <v>26</v>
      </c>
      <c r="B40" s="6" t="s">
        <v>70</v>
      </c>
      <c r="C40" s="6" t="s">
        <v>71</v>
      </c>
      <c r="D40" s="6" t="s">
        <v>20</v>
      </c>
      <c r="E40" s="41">
        <v>0.50139999999999996</v>
      </c>
      <c r="F40" s="41">
        <v>5.7599999999999998E-2</v>
      </c>
      <c r="G40" s="41">
        <v>8.7048611111111107</v>
      </c>
      <c r="H40" s="41">
        <v>3.179638899951181E-18</v>
      </c>
      <c r="I40" s="41">
        <v>3.4976027899462988E-17</v>
      </c>
      <c r="J40" s="41">
        <v>1.2500000000000001E-2</v>
      </c>
    </row>
    <row r="41" spans="1:10" ht="18" customHeight="1" x14ac:dyDescent="0.15">
      <c r="A41" s="5" t="s">
        <v>26</v>
      </c>
      <c r="B41" s="6" t="s">
        <v>363</v>
      </c>
      <c r="C41" s="6" t="s">
        <v>81</v>
      </c>
      <c r="D41" s="6" t="s">
        <v>20</v>
      </c>
      <c r="E41" s="41">
        <v>0.44519999999999998</v>
      </c>
      <c r="F41" s="41">
        <v>5.8900000000000001E-2</v>
      </c>
      <c r="G41" s="41">
        <v>7.5585738539898131</v>
      </c>
      <c r="H41" s="41">
        <v>4.0751260966789117E-14</v>
      </c>
      <c r="I41" s="41">
        <v>2.7851345016259659E-13</v>
      </c>
      <c r="J41" s="41">
        <v>1.8E-3</v>
      </c>
    </row>
    <row r="42" spans="1:10" ht="18" customHeight="1" x14ac:dyDescent="0.15">
      <c r="A42" s="5" t="s">
        <v>26</v>
      </c>
      <c r="B42" s="6" t="s">
        <v>90</v>
      </c>
      <c r="C42" s="6" t="s">
        <v>91</v>
      </c>
      <c r="D42" s="6" t="s">
        <v>20</v>
      </c>
      <c r="E42" s="41">
        <v>-3.2000000000000001E-2</v>
      </c>
      <c r="F42" s="41">
        <v>8.72E-2</v>
      </c>
      <c r="G42" s="41">
        <v>-0.3669724770642202</v>
      </c>
      <c r="H42" s="41">
        <v>0.71363954803823615</v>
      </c>
      <c r="I42" s="41">
        <v>0.73594078391443107</v>
      </c>
      <c r="J42" s="41">
        <v>6.7999999999999996E-3</v>
      </c>
    </row>
    <row r="43" spans="1:10" ht="18" customHeight="1" x14ac:dyDescent="0.15">
      <c r="A43" s="5" t="s">
        <v>26</v>
      </c>
      <c r="B43" s="6" t="s">
        <v>100</v>
      </c>
      <c r="C43" s="6" t="s">
        <v>101</v>
      </c>
      <c r="D43" s="6" t="s">
        <v>20</v>
      </c>
      <c r="E43" s="41">
        <v>0.1396</v>
      </c>
      <c r="F43" s="41">
        <v>4.9799999999999997E-2</v>
      </c>
      <c r="G43" s="41">
        <v>2.8032128514056232</v>
      </c>
      <c r="H43" s="41">
        <v>5.0596265021877916E-3</v>
      </c>
      <c r="I43" s="41">
        <v>8.7877723459051128E-3</v>
      </c>
      <c r="J43" s="41">
        <v>-2.0000000000000001E-4</v>
      </c>
    </row>
    <row r="44" spans="1:10" ht="18" customHeight="1" x14ac:dyDescent="0.15">
      <c r="A44" s="5" t="s">
        <v>26</v>
      </c>
      <c r="B44" s="6" t="s">
        <v>109</v>
      </c>
      <c r="C44" s="6" t="s">
        <v>110</v>
      </c>
      <c r="D44" s="6" t="s">
        <v>20</v>
      </c>
      <c r="E44" s="41">
        <v>0.36159999999999998</v>
      </c>
      <c r="F44" s="41">
        <v>7.2800000000000004E-2</v>
      </c>
      <c r="G44" s="41">
        <v>4.9670329670329663</v>
      </c>
      <c r="H44" s="41">
        <v>6.7985034339656316E-7</v>
      </c>
      <c r="I44" s="41">
        <v>1.869588444340549E-6</v>
      </c>
      <c r="J44" s="41">
        <v>7.1000000000000004E-3</v>
      </c>
    </row>
    <row r="45" spans="1:10" ht="18" customHeight="1" x14ac:dyDescent="0.15">
      <c r="A45" s="5" t="s">
        <v>26</v>
      </c>
      <c r="B45" s="6" t="s">
        <v>119</v>
      </c>
      <c r="C45" s="6" t="s">
        <v>120</v>
      </c>
      <c r="D45" s="6" t="s">
        <v>20</v>
      </c>
      <c r="E45" s="41">
        <v>-5.96E-2</v>
      </c>
      <c r="F45" s="41">
        <v>0.1041</v>
      </c>
      <c r="G45" s="41">
        <v>-0.57252641690682038</v>
      </c>
      <c r="H45" s="41">
        <v>0.56696539432203263</v>
      </c>
      <c r="I45" s="41">
        <v>0.62366193375423595</v>
      </c>
      <c r="J45" s="41">
        <v>-3.8999999999999998E-3</v>
      </c>
    </row>
    <row r="46" spans="1:10" ht="18" customHeight="1" x14ac:dyDescent="0.15">
      <c r="A46" s="5" t="s">
        <v>26</v>
      </c>
      <c r="B46" s="6" t="s">
        <v>135</v>
      </c>
      <c r="C46" s="6" t="s">
        <v>129</v>
      </c>
      <c r="D46" s="6" t="s">
        <v>20</v>
      </c>
      <c r="E46" s="41">
        <v>0.63580000000000003</v>
      </c>
      <c r="F46" s="41">
        <v>7.0599999999999996E-2</v>
      </c>
      <c r="G46" s="41">
        <v>9.0056657223796037</v>
      </c>
      <c r="H46" s="41">
        <v>2.1436127476246641E-19</v>
      </c>
      <c r="I46" s="41">
        <v>3.5369610335806958E-18</v>
      </c>
      <c r="J46" s="41">
        <v>2.9999999999999997E-4</v>
      </c>
    </row>
    <row r="47" spans="1:10" ht="18" customHeight="1" x14ac:dyDescent="0.15">
      <c r="A47" s="5" t="s">
        <v>26</v>
      </c>
      <c r="B47" s="6" t="s">
        <v>144</v>
      </c>
      <c r="C47" s="6" t="s">
        <v>142</v>
      </c>
      <c r="D47" s="6" t="s">
        <v>20</v>
      </c>
      <c r="E47" s="41">
        <v>8.72E-2</v>
      </c>
      <c r="F47" s="41">
        <v>7.9500000000000001E-2</v>
      </c>
      <c r="G47" s="41">
        <v>1.0968553459119501</v>
      </c>
      <c r="H47" s="41">
        <v>0.27270463157976871</v>
      </c>
      <c r="I47" s="41">
        <v>0.33330566081971719</v>
      </c>
      <c r="J47" s="41">
        <v>5.0000000000000001E-4</v>
      </c>
    </row>
    <row r="48" spans="1:10" ht="18" customHeight="1" x14ac:dyDescent="0.15">
      <c r="A48" s="5" t="s">
        <v>26</v>
      </c>
      <c r="B48" s="6" t="s">
        <v>364</v>
      </c>
      <c r="C48" s="6" t="s">
        <v>151</v>
      </c>
      <c r="D48" s="6" t="s">
        <v>20</v>
      </c>
      <c r="E48" s="41">
        <v>0.60309999999999997</v>
      </c>
      <c r="F48" s="41">
        <v>0.06</v>
      </c>
      <c r="G48" s="41">
        <v>10.051666666666669</v>
      </c>
      <c r="H48" s="41">
        <v>9.0326635312238696E-24</v>
      </c>
      <c r="I48" s="41">
        <v>2.9807789653038768E-22</v>
      </c>
      <c r="J48" s="41">
        <v>1.1900000000000001E-2</v>
      </c>
    </row>
    <row r="49" spans="1:10" ht="18" customHeight="1" x14ac:dyDescent="0.15">
      <c r="A49" s="5" t="s">
        <v>26</v>
      </c>
      <c r="B49" s="6" t="s">
        <v>158</v>
      </c>
      <c r="C49" s="6" t="s">
        <v>159</v>
      </c>
      <c r="D49" s="6" t="s">
        <v>20</v>
      </c>
      <c r="E49" s="41">
        <v>6.3399999999999998E-2</v>
      </c>
      <c r="F49" s="41">
        <v>4.5100000000000001E-2</v>
      </c>
      <c r="G49" s="41">
        <v>1.405764966740576</v>
      </c>
      <c r="H49" s="41">
        <v>0.1597939281845174</v>
      </c>
      <c r="I49" s="41">
        <v>0.2189317385957591</v>
      </c>
      <c r="J49" s="41">
        <v>5.4000000000000003E-3</v>
      </c>
    </row>
    <row r="50" spans="1:10" ht="18" customHeight="1" x14ac:dyDescent="0.15">
      <c r="A50" s="5" t="s">
        <v>26</v>
      </c>
      <c r="B50" s="6" t="s">
        <v>165</v>
      </c>
      <c r="C50" s="6" t="s">
        <v>166</v>
      </c>
      <c r="D50" s="6" t="s">
        <v>20</v>
      </c>
      <c r="E50" s="41">
        <v>0.35160000000000002</v>
      </c>
      <c r="F50" s="41">
        <v>0.10199999999999999</v>
      </c>
      <c r="G50" s="41">
        <v>3.447058823529412</v>
      </c>
      <c r="H50" s="41">
        <v>5.6672517363619561E-4</v>
      </c>
      <c r="I50" s="41">
        <v>1.100113572352615E-3</v>
      </c>
      <c r="J50" s="41">
        <v>3.5000000000000001E-3</v>
      </c>
    </row>
    <row r="51" spans="1:10" ht="18" customHeight="1" x14ac:dyDescent="0.15">
      <c r="A51" s="5" t="s">
        <v>26</v>
      </c>
      <c r="B51" s="6" t="s">
        <v>173</v>
      </c>
      <c r="C51" s="6" t="s">
        <v>174</v>
      </c>
      <c r="D51" s="6" t="s">
        <v>20</v>
      </c>
      <c r="E51" s="41">
        <v>0.4234</v>
      </c>
      <c r="F51" s="41">
        <v>6.8000000000000005E-2</v>
      </c>
      <c r="G51" s="41">
        <v>6.2264705882352933</v>
      </c>
      <c r="H51" s="41">
        <v>4.7705973026237501E-10</v>
      </c>
      <c r="I51" s="41">
        <v>2.623828516443063E-9</v>
      </c>
      <c r="J51" s="41">
        <v>2.8999999999999998E-3</v>
      </c>
    </row>
    <row r="52" spans="1:10" ht="18" customHeight="1" x14ac:dyDescent="0.15">
      <c r="A52" s="5" t="s">
        <v>26</v>
      </c>
      <c r="B52" s="6" t="s">
        <v>181</v>
      </c>
      <c r="C52" s="6" t="s">
        <v>182</v>
      </c>
      <c r="D52" s="6" t="s">
        <v>20</v>
      </c>
      <c r="E52" s="41">
        <v>0.47939999999999999</v>
      </c>
      <c r="F52" s="41">
        <v>7.9799999999999996E-2</v>
      </c>
      <c r="G52" s="41">
        <v>6.007518796992481</v>
      </c>
      <c r="H52" s="41">
        <v>1.8838397204014398E-9</v>
      </c>
      <c r="I52" s="41">
        <v>7.7708388466559417E-9</v>
      </c>
      <c r="J52" s="41">
        <v>1.5E-3</v>
      </c>
    </row>
    <row r="53" spans="1:10" ht="18" customHeight="1" x14ac:dyDescent="0.15">
      <c r="A53" s="5" t="s">
        <v>26</v>
      </c>
      <c r="B53" s="6" t="s">
        <v>189</v>
      </c>
      <c r="C53" s="6" t="s">
        <v>190</v>
      </c>
      <c r="D53" s="6" t="s">
        <v>20</v>
      </c>
      <c r="E53" s="41">
        <v>0.1928</v>
      </c>
      <c r="F53" s="41">
        <v>8.5699999999999998E-2</v>
      </c>
      <c r="G53" s="41">
        <v>2.249708284714119</v>
      </c>
      <c r="H53" s="41">
        <v>2.446746927156777E-2</v>
      </c>
      <c r="I53" s="41">
        <v>3.5105499389640707E-2</v>
      </c>
      <c r="J53" s="41">
        <v>1.0200000000000001E-2</v>
      </c>
    </row>
    <row r="54" spans="1:10" ht="18" customHeight="1" x14ac:dyDescent="0.15">
      <c r="A54" s="5" t="s">
        <v>26</v>
      </c>
      <c r="B54" s="6" t="s">
        <v>34</v>
      </c>
      <c r="C54" s="6" t="s">
        <v>41</v>
      </c>
      <c r="D54" s="6" t="s">
        <v>28</v>
      </c>
      <c r="E54" s="41">
        <v>0.21640000000000001</v>
      </c>
      <c r="F54" s="41">
        <v>8.7400000000000005E-2</v>
      </c>
      <c r="G54" s="41">
        <v>2.4759725400457659</v>
      </c>
      <c r="H54" s="41">
        <v>1.3287379740741141E-2</v>
      </c>
      <c r="I54" s="41">
        <v>2.088016816402178E-2</v>
      </c>
      <c r="J54" s="41">
        <v>1.35E-2</v>
      </c>
    </row>
    <row r="55" spans="1:10" ht="18" customHeight="1" x14ac:dyDescent="0.15">
      <c r="A55" s="5" t="s">
        <v>26</v>
      </c>
      <c r="B55" s="6" t="s">
        <v>55</v>
      </c>
      <c r="C55" s="6" t="s">
        <v>53</v>
      </c>
      <c r="D55" s="6" t="s">
        <v>28</v>
      </c>
      <c r="E55" s="41">
        <v>-0.1042</v>
      </c>
      <c r="F55" s="41">
        <v>7.5200000000000003E-2</v>
      </c>
      <c r="G55" s="41">
        <v>-1.3856382978723401</v>
      </c>
      <c r="H55" s="41">
        <v>0.1658573777240599</v>
      </c>
      <c r="I55" s="41">
        <v>0.2189317385957591</v>
      </c>
      <c r="J55" s="41">
        <v>3.8999999999999998E-3</v>
      </c>
    </row>
    <row r="56" spans="1:10" ht="18" customHeight="1" x14ac:dyDescent="0.15">
      <c r="A56" s="5" t="s">
        <v>26</v>
      </c>
      <c r="B56" s="6" t="s">
        <v>59</v>
      </c>
      <c r="C56" s="6" t="s">
        <v>65</v>
      </c>
      <c r="D56" s="6" t="s">
        <v>28</v>
      </c>
      <c r="E56" s="41">
        <v>-2.3400000000000001E-2</v>
      </c>
      <c r="F56" s="41">
        <v>6.3E-2</v>
      </c>
      <c r="G56" s="41">
        <v>-0.37142857142857139</v>
      </c>
      <c r="H56" s="41">
        <v>0.71031834825368456</v>
      </c>
      <c r="I56" s="41">
        <v>0.73594078391443107</v>
      </c>
      <c r="J56" s="41">
        <v>5.9999999999999995E-4</v>
      </c>
    </row>
    <row r="57" spans="1:10" ht="18" customHeight="1" x14ac:dyDescent="0.15">
      <c r="A57" s="5" t="s">
        <v>26</v>
      </c>
      <c r="B57" s="6" t="s">
        <v>70</v>
      </c>
      <c r="C57" s="6" t="s">
        <v>75</v>
      </c>
      <c r="D57" s="6" t="s">
        <v>28</v>
      </c>
      <c r="E57" s="41">
        <v>0.53269999999999995</v>
      </c>
      <c r="F57" s="41">
        <v>9.6299999999999997E-2</v>
      </c>
      <c r="G57" s="41">
        <v>5.5316718587746623</v>
      </c>
      <c r="H57" s="41">
        <v>3.1719287480664387E-8</v>
      </c>
      <c r="I57" s="41">
        <v>9.5157862441993187E-8</v>
      </c>
      <c r="J57" s="41">
        <v>3.5000000000000001E-3</v>
      </c>
    </row>
    <row r="58" spans="1:10" ht="18" customHeight="1" x14ac:dyDescent="0.15">
      <c r="A58" s="5" t="s">
        <v>26</v>
      </c>
      <c r="B58" s="6" t="s">
        <v>363</v>
      </c>
      <c r="C58" s="6" t="s">
        <v>85</v>
      </c>
      <c r="D58" s="6" t="s">
        <v>28</v>
      </c>
      <c r="E58" s="41">
        <v>0.44040000000000001</v>
      </c>
      <c r="F58" s="41">
        <v>5.8299999999999998E-2</v>
      </c>
      <c r="G58" s="41">
        <v>7.5540308747855924</v>
      </c>
      <c r="H58" s="41">
        <v>4.2199007600393428E-14</v>
      </c>
      <c r="I58" s="41">
        <v>2.7851345016259659E-13</v>
      </c>
      <c r="J58" s="41">
        <v>1.8E-3</v>
      </c>
    </row>
    <row r="59" spans="1:10" ht="18" customHeight="1" x14ac:dyDescent="0.15">
      <c r="A59" s="5" t="s">
        <v>26</v>
      </c>
      <c r="B59" s="6" t="s">
        <v>90</v>
      </c>
      <c r="C59" s="6" t="s">
        <v>95</v>
      </c>
      <c r="D59" s="6" t="s">
        <v>28</v>
      </c>
      <c r="E59" s="41">
        <v>-3.7000000000000002E-3</v>
      </c>
      <c r="F59" s="41">
        <v>7.0599999999999996E-2</v>
      </c>
      <c r="G59" s="41">
        <v>-5.2407932011331447E-2</v>
      </c>
      <c r="H59" s="41">
        <v>0.958203653973418</v>
      </c>
      <c r="I59" s="41">
        <v>0.958203653973418</v>
      </c>
      <c r="J59" s="41">
        <v>3.0000000000000001E-3</v>
      </c>
    </row>
    <row r="60" spans="1:10" ht="18" customHeight="1" x14ac:dyDescent="0.15">
      <c r="A60" s="5" t="s">
        <v>26</v>
      </c>
      <c r="B60" s="6" t="s">
        <v>100</v>
      </c>
      <c r="C60" s="6" t="s">
        <v>106</v>
      </c>
      <c r="D60" s="6" t="s">
        <v>28</v>
      </c>
      <c r="E60" s="41">
        <v>0.13350000000000001</v>
      </c>
      <c r="F60" s="41">
        <v>4.9599999999999998E-2</v>
      </c>
      <c r="G60" s="41">
        <v>2.691532258064516</v>
      </c>
      <c r="H60" s="41">
        <v>7.1124619607576614E-3</v>
      </c>
      <c r="I60" s="41">
        <v>1.173556223525014E-2</v>
      </c>
      <c r="J60" s="41">
        <v>1E-3</v>
      </c>
    </row>
    <row r="61" spans="1:10" ht="18" customHeight="1" x14ac:dyDescent="0.15">
      <c r="A61" s="5" t="s">
        <v>26</v>
      </c>
      <c r="B61" s="6" t="s">
        <v>109</v>
      </c>
      <c r="C61" s="6" t="s">
        <v>115</v>
      </c>
      <c r="D61" s="6" t="s">
        <v>28</v>
      </c>
      <c r="E61" s="41">
        <v>0.47449999999999998</v>
      </c>
      <c r="F61" s="41">
        <v>8.1900000000000001E-2</v>
      </c>
      <c r="G61" s="41">
        <v>5.7936507936507926</v>
      </c>
      <c r="H61" s="41">
        <v>6.8872589190380239E-9</v>
      </c>
      <c r="I61" s="41">
        <v>2.272795443282548E-8</v>
      </c>
      <c r="J61" s="41">
        <v>1.03E-2</v>
      </c>
    </row>
    <row r="62" spans="1:10" ht="18" customHeight="1" x14ac:dyDescent="0.15">
      <c r="A62" s="5" t="s">
        <v>26</v>
      </c>
      <c r="B62" s="6" t="s">
        <v>119</v>
      </c>
      <c r="C62" s="6" t="s">
        <v>124</v>
      </c>
      <c r="D62" s="6" t="s">
        <v>28</v>
      </c>
      <c r="E62" s="41">
        <v>-5.96E-2</v>
      </c>
      <c r="F62" s="41">
        <v>0.1041</v>
      </c>
      <c r="G62" s="41">
        <v>-0.57252641690682038</v>
      </c>
      <c r="H62" s="41">
        <v>0.56696539432203263</v>
      </c>
      <c r="I62" s="41">
        <v>0.62366193375423595</v>
      </c>
      <c r="J62" s="41">
        <v>-3.8999999999999998E-3</v>
      </c>
    </row>
    <row r="63" spans="1:10" ht="18" customHeight="1" x14ac:dyDescent="0.15">
      <c r="A63" s="5" t="s">
        <v>26</v>
      </c>
      <c r="B63" s="6" t="s">
        <v>135</v>
      </c>
      <c r="C63" s="6" t="s">
        <v>136</v>
      </c>
      <c r="D63" s="6" t="s">
        <v>28</v>
      </c>
      <c r="E63" s="41">
        <v>0.45279999999999998</v>
      </c>
      <c r="F63" s="41">
        <v>9.5799999999999996E-2</v>
      </c>
      <c r="G63" s="41">
        <v>4.7265135699373699</v>
      </c>
      <c r="H63" s="41">
        <v>2.2840753475917452E-6</v>
      </c>
      <c r="I63" s="41">
        <v>5.3838918907519698E-6</v>
      </c>
      <c r="J63" s="41">
        <v>-1.5E-3</v>
      </c>
    </row>
    <row r="64" spans="1:10" ht="18" customHeight="1" x14ac:dyDescent="0.15">
      <c r="A64" s="5" t="s">
        <v>26</v>
      </c>
      <c r="B64" s="6" t="s">
        <v>144</v>
      </c>
      <c r="C64" s="6" t="s">
        <v>148</v>
      </c>
      <c r="D64" s="6" t="s">
        <v>28</v>
      </c>
      <c r="E64" s="41">
        <v>9.7500000000000003E-2</v>
      </c>
      <c r="F64" s="41">
        <v>7.4899999999999994E-2</v>
      </c>
      <c r="G64" s="41">
        <v>1.3017356475300399</v>
      </c>
      <c r="H64" s="41">
        <v>0.19300676913397641</v>
      </c>
      <c r="I64" s="41">
        <v>0.24497013005466239</v>
      </c>
      <c r="J64" s="41">
        <v>-3.8E-3</v>
      </c>
    </row>
    <row r="65" spans="1:10" ht="18" customHeight="1" x14ac:dyDescent="0.15">
      <c r="A65" s="5" t="s">
        <v>26</v>
      </c>
      <c r="B65" s="6" t="s">
        <v>364</v>
      </c>
      <c r="C65" s="6" t="s">
        <v>155</v>
      </c>
      <c r="D65" s="6" t="s">
        <v>28</v>
      </c>
      <c r="E65" s="41">
        <v>0.52700000000000002</v>
      </c>
      <c r="F65" s="41">
        <v>0.11849999999999999</v>
      </c>
      <c r="G65" s="41">
        <v>4.447257383966245</v>
      </c>
      <c r="H65" s="41">
        <v>8.6973603545899787E-6</v>
      </c>
      <c r="I65" s="41">
        <v>1.913419278009796E-5</v>
      </c>
      <c r="J65" s="41">
        <v>5.3E-3</v>
      </c>
    </row>
    <row r="66" spans="1:10" ht="18" customHeight="1" x14ac:dyDescent="0.15">
      <c r="A66" s="5" t="s">
        <v>26</v>
      </c>
      <c r="B66" s="6" t="s">
        <v>158</v>
      </c>
      <c r="C66" s="6" t="s">
        <v>163</v>
      </c>
      <c r="D66" s="6" t="s">
        <v>28</v>
      </c>
      <c r="E66" s="41">
        <v>0.35630000000000001</v>
      </c>
      <c r="F66" s="41">
        <v>7.2900000000000006E-2</v>
      </c>
      <c r="G66" s="41">
        <v>4.887517146776406</v>
      </c>
      <c r="H66" s="41">
        <v>1.0211560411221131E-6</v>
      </c>
      <c r="I66" s="41">
        <v>2.592165335156132E-6</v>
      </c>
      <c r="J66" s="41">
        <v>-5.0000000000000001E-4</v>
      </c>
    </row>
    <row r="67" spans="1:10" ht="18" customHeight="1" x14ac:dyDescent="0.15">
      <c r="A67" s="5" t="s">
        <v>26</v>
      </c>
      <c r="B67" s="6" t="s">
        <v>165</v>
      </c>
      <c r="C67" s="6" t="s">
        <v>169</v>
      </c>
      <c r="D67" s="6" t="s">
        <v>28</v>
      </c>
      <c r="E67" s="41">
        <v>0.38579999999999998</v>
      </c>
      <c r="F67" s="41">
        <v>8.7499999999999994E-2</v>
      </c>
      <c r="G67" s="41">
        <v>4.4091428571428573</v>
      </c>
      <c r="H67" s="41">
        <v>1.0378055229187869E-5</v>
      </c>
      <c r="I67" s="41">
        <v>2.1404738910199971E-5</v>
      </c>
      <c r="J67" s="41">
        <v>1.4200000000000001E-2</v>
      </c>
    </row>
    <row r="68" spans="1:10" ht="18" customHeight="1" x14ac:dyDescent="0.15">
      <c r="A68" s="5" t="s">
        <v>26</v>
      </c>
      <c r="B68" s="6" t="s">
        <v>173</v>
      </c>
      <c r="C68" s="6" t="s">
        <v>180</v>
      </c>
      <c r="D68" s="6" t="s">
        <v>28</v>
      </c>
      <c r="E68" s="41">
        <v>0.432</v>
      </c>
      <c r="F68" s="41">
        <v>7.3099999999999998E-2</v>
      </c>
      <c r="G68" s="41">
        <v>5.909712722298222</v>
      </c>
      <c r="H68" s="41">
        <v>3.427048628499051E-9</v>
      </c>
      <c r="I68" s="41">
        <v>1.256584497116319E-8</v>
      </c>
      <c r="J68" s="41">
        <v>4.7000000000000002E-3</v>
      </c>
    </row>
    <row r="69" spans="1:10" ht="18" customHeight="1" x14ac:dyDescent="0.15">
      <c r="A69" s="5" t="s">
        <v>26</v>
      </c>
      <c r="B69" s="6" t="s">
        <v>181</v>
      </c>
      <c r="C69" s="6" t="s">
        <v>185</v>
      </c>
      <c r="D69" s="6" t="s">
        <v>28</v>
      </c>
      <c r="E69" s="41">
        <v>0.47289999999999999</v>
      </c>
      <c r="F69" s="41">
        <v>7.85E-2</v>
      </c>
      <c r="G69" s="41">
        <v>6.0242038216560507</v>
      </c>
      <c r="H69" s="41">
        <v>1.6994409606354019E-9</v>
      </c>
      <c r="I69" s="41">
        <v>7.7708388466559417E-9</v>
      </c>
      <c r="J69" s="41">
        <v>2E-3</v>
      </c>
    </row>
    <row r="70" spans="1:10" ht="18" customHeight="1" x14ac:dyDescent="0.15"/>
    <row r="71" spans="1:10" ht="84" customHeight="1" x14ac:dyDescent="0.15">
      <c r="A71" s="75" t="s">
        <v>373</v>
      </c>
      <c r="B71" s="74"/>
      <c r="C71" s="74"/>
      <c r="D71" s="74"/>
      <c r="E71" s="77"/>
      <c r="F71" s="77"/>
      <c r="G71" s="77"/>
      <c r="H71" s="77"/>
      <c r="I71" s="33"/>
      <c r="J71" s="33"/>
    </row>
  </sheetData>
  <mergeCells count="2">
    <mergeCell ref="A1:J1"/>
    <mergeCell ref="A71:H71"/>
  </mergeCells>
  <phoneticPr fontId="5"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38"/>
  <sheetViews>
    <sheetView workbookViewId="0">
      <selection activeCell="A38" sqref="A38:M38"/>
    </sheetView>
  </sheetViews>
  <sheetFormatPr defaultRowHeight="13.5" x14ac:dyDescent="0.15"/>
  <cols>
    <col min="1" max="1" width="17" customWidth="1"/>
    <col min="2" max="2" width="21.75" customWidth="1"/>
    <col min="3" max="3" width="30.5" customWidth="1"/>
    <col min="4" max="4" width="12.25" customWidth="1"/>
    <col min="5" max="5" width="17.25" customWidth="1"/>
    <col min="6" max="6" width="16.5" customWidth="1"/>
    <col min="7" max="8" width="14.5" customWidth="1"/>
    <col min="9" max="9" width="12.875" customWidth="1"/>
    <col min="10" max="10" width="12.625" customWidth="1"/>
    <col min="11" max="11" width="21" customWidth="1"/>
    <col min="12" max="12" width="20.25" customWidth="1"/>
    <col min="13" max="13" width="16.5" customWidth="1"/>
    <col min="14" max="14" width="18.875" customWidth="1"/>
    <col min="15" max="15" width="12.25" customWidth="1"/>
    <col min="16" max="16" width="13.75" customWidth="1"/>
    <col min="17" max="18" width="7.875" customWidth="1"/>
    <col min="19" max="19" width="10.75" customWidth="1"/>
    <col min="20" max="20" width="10.25" customWidth="1"/>
  </cols>
  <sheetData>
    <row r="1" spans="1:20" ht="18" customHeight="1" x14ac:dyDescent="0.15">
      <c r="A1" s="76" t="s">
        <v>374</v>
      </c>
      <c r="B1" s="74"/>
      <c r="C1" s="74"/>
      <c r="D1" s="74"/>
      <c r="E1" s="74"/>
      <c r="F1" s="74"/>
      <c r="G1" s="74"/>
      <c r="H1" s="74"/>
      <c r="I1" s="74"/>
      <c r="J1" s="74"/>
      <c r="K1" s="74"/>
      <c r="L1" s="74"/>
    </row>
    <row r="2" spans="1:20" ht="18" customHeight="1" x14ac:dyDescent="0.15"/>
    <row r="3" spans="1:20" ht="36" customHeight="1" x14ac:dyDescent="0.15">
      <c r="A3" s="9" t="s">
        <v>375</v>
      </c>
      <c r="B3" s="10" t="s">
        <v>376</v>
      </c>
      <c r="C3" s="10" t="s">
        <v>2</v>
      </c>
      <c r="D3" s="10" t="s">
        <v>6</v>
      </c>
      <c r="E3" s="10" t="s">
        <v>377</v>
      </c>
      <c r="F3" s="10" t="s">
        <v>378</v>
      </c>
      <c r="G3" s="10" t="s">
        <v>379</v>
      </c>
      <c r="H3" s="10" t="s">
        <v>380</v>
      </c>
      <c r="I3" s="10" t="s">
        <v>381</v>
      </c>
      <c r="J3" s="10" t="s">
        <v>382</v>
      </c>
      <c r="K3" s="21" t="s">
        <v>383</v>
      </c>
      <c r="L3" s="21" t="s">
        <v>384</v>
      </c>
      <c r="M3" s="21" t="s">
        <v>385</v>
      </c>
      <c r="N3" s="21" t="s">
        <v>386</v>
      </c>
      <c r="O3" s="21" t="s">
        <v>387</v>
      </c>
      <c r="P3" s="21" t="s">
        <v>388</v>
      </c>
      <c r="Q3" s="21" t="s">
        <v>389</v>
      </c>
      <c r="R3" s="21" t="s">
        <v>390</v>
      </c>
      <c r="S3" s="10" t="s">
        <v>391</v>
      </c>
      <c r="T3" s="10" t="s">
        <v>392</v>
      </c>
    </row>
    <row r="4" spans="1:20" ht="18" customHeight="1" x14ac:dyDescent="0.15">
      <c r="A4" s="5" t="s">
        <v>18</v>
      </c>
      <c r="B4" s="6" t="s">
        <v>35</v>
      </c>
      <c r="C4" s="6" t="s">
        <v>34</v>
      </c>
      <c r="D4" s="6" t="s">
        <v>20</v>
      </c>
      <c r="E4" s="41">
        <v>5.2874518108686028E-2</v>
      </c>
      <c r="F4" s="41">
        <v>4.6433326304896752E-3</v>
      </c>
      <c r="G4" s="41">
        <v>5.9897224894041007E-2</v>
      </c>
      <c r="H4" s="41">
        <v>4.1597496429756778E-3</v>
      </c>
      <c r="I4" s="41">
        <v>0.20100413312494711</v>
      </c>
      <c r="J4" s="41">
        <v>5.6767822710621141E-2</v>
      </c>
      <c r="K4" s="41">
        <v>2424.6992064660399</v>
      </c>
      <c r="L4" s="41">
        <v>2034.269774864275</v>
      </c>
      <c r="M4" s="41">
        <v>2434.4049367933048</v>
      </c>
      <c r="N4" s="41">
        <v>1148.7498579150611</v>
      </c>
      <c r="O4" s="41">
        <v>948.6395441442113</v>
      </c>
      <c r="P4" s="41">
        <v>679.43815451569708</v>
      </c>
      <c r="Q4" s="41">
        <v>0.27393830534545061</v>
      </c>
      <c r="R4" s="41">
        <v>0.1048807873975027</v>
      </c>
      <c r="S4" s="41">
        <v>-1.683824724977603</v>
      </c>
      <c r="T4" s="41">
        <v>-11.234999522232251</v>
      </c>
    </row>
    <row r="5" spans="1:20" ht="18" customHeight="1" x14ac:dyDescent="0.15">
      <c r="A5" s="5" t="s">
        <v>18</v>
      </c>
      <c r="B5" s="6" t="s">
        <v>46</v>
      </c>
      <c r="C5" s="6" t="s">
        <v>45</v>
      </c>
      <c r="D5" s="6" t="s">
        <v>20</v>
      </c>
      <c r="E5" s="41">
        <v>5.2874518108686028E-2</v>
      </c>
      <c r="F5" s="41">
        <v>4.6433326304896752E-3</v>
      </c>
      <c r="G5" s="41">
        <v>4.1348499321990799E-2</v>
      </c>
      <c r="H5" s="41">
        <v>9.0125981654400229E-4</v>
      </c>
      <c r="I5" s="41">
        <v>0.12886963521660669</v>
      </c>
      <c r="J5" s="41">
        <v>2.5305074972062129E-2</v>
      </c>
      <c r="K5" s="41">
        <v>3027.1528916614452</v>
      </c>
      <c r="L5" s="41">
        <v>2514.0884014088142</v>
      </c>
      <c r="M5" s="41">
        <v>239.17883806294691</v>
      </c>
      <c r="N5" s="41">
        <v>166.3654027085675</v>
      </c>
      <c r="O5" s="41">
        <v>346.18585894880738</v>
      </c>
      <c r="P5" s="41">
        <v>208.10178016321319</v>
      </c>
      <c r="Q5" s="41">
        <v>0.19970575039906899</v>
      </c>
      <c r="R5" s="41">
        <v>0.1422204637474534</v>
      </c>
      <c r="S5" s="41">
        <v>4.4931452148885</v>
      </c>
      <c r="T5" s="41">
        <v>-4.9073034086731893</v>
      </c>
    </row>
    <row r="6" spans="1:20" ht="18" customHeight="1" x14ac:dyDescent="0.15">
      <c r="A6" s="5" t="s">
        <v>18</v>
      </c>
      <c r="B6" s="6" t="s">
        <v>60</v>
      </c>
      <c r="C6" s="6" t="s">
        <v>59</v>
      </c>
      <c r="D6" s="6" t="s">
        <v>20</v>
      </c>
      <c r="E6" s="41">
        <v>5.2874518108686028E-2</v>
      </c>
      <c r="F6" s="41">
        <v>4.6433326304896752E-3</v>
      </c>
      <c r="G6" s="41">
        <v>0.14805551430146</v>
      </c>
      <c r="H6" s="41">
        <v>2.789735502156338E-3</v>
      </c>
      <c r="I6" s="41">
        <v>6.8853164320611573E-2</v>
      </c>
      <c r="J6" s="41">
        <v>1.8139628210594349E-2</v>
      </c>
      <c r="K6" s="41">
        <v>2232.6877737235632</v>
      </c>
      <c r="L6" s="41">
        <v>2216.3709893565292</v>
      </c>
      <c r="M6" s="41">
        <v>7373.337945935984</v>
      </c>
      <c r="N6" s="41">
        <v>1050.7819938969301</v>
      </c>
      <c r="O6" s="41">
        <v>1140.6509768866899</v>
      </c>
      <c r="P6" s="41">
        <v>926.93698692877979</v>
      </c>
      <c r="Q6" s="41">
        <v>0.18480043671464019</v>
      </c>
      <c r="R6" s="41">
        <v>0.13918914158376469</v>
      </c>
      <c r="S6" s="41">
        <v>-1.355778367060702</v>
      </c>
      <c r="T6" s="41">
        <v>-10.86713010275535</v>
      </c>
    </row>
    <row r="7" spans="1:20" ht="18" customHeight="1" x14ac:dyDescent="0.15">
      <c r="A7" s="5" t="s">
        <v>18</v>
      </c>
      <c r="B7" s="6" t="s">
        <v>71</v>
      </c>
      <c r="C7" s="6" t="s">
        <v>70</v>
      </c>
      <c r="D7" s="6" t="s">
        <v>20</v>
      </c>
      <c r="E7" s="41">
        <v>5.2874518108686028E-2</v>
      </c>
      <c r="F7" s="41">
        <v>4.6433326304896752E-3</v>
      </c>
      <c r="G7" s="41">
        <v>6.7096210791584635E-2</v>
      </c>
      <c r="H7" s="41">
        <v>6.6762428494772808E-4</v>
      </c>
      <c r="I7" s="41">
        <v>0.38990654534657038</v>
      </c>
      <c r="J7" s="41">
        <v>3.3198883905737317E-2</v>
      </c>
      <c r="K7" s="41">
        <v>592.05666543201971</v>
      </c>
      <c r="L7" s="41">
        <v>1581.2092585382879</v>
      </c>
      <c r="M7" s="41">
        <v>9505.9286992286052</v>
      </c>
      <c r="N7" s="41">
        <v>1027.045917482812</v>
      </c>
      <c r="O7" s="41">
        <v>2781.2820851782321</v>
      </c>
      <c r="P7" s="41">
        <v>1130.162676068539</v>
      </c>
      <c r="Q7" s="41">
        <v>0.34497922957752403</v>
      </c>
      <c r="R7" s="41">
        <v>8.522724782361242E-2</v>
      </c>
      <c r="S7" s="41">
        <v>-1.14842019782518</v>
      </c>
      <c r="T7" s="41">
        <v>-10.68579094321284</v>
      </c>
    </row>
    <row r="8" spans="1:20" ht="18" customHeight="1" x14ac:dyDescent="0.15">
      <c r="A8" s="5" t="s">
        <v>18</v>
      </c>
      <c r="B8" s="6" t="s">
        <v>81</v>
      </c>
      <c r="C8" s="6" t="s">
        <v>80</v>
      </c>
      <c r="D8" s="6" t="s">
        <v>20</v>
      </c>
      <c r="E8" s="41">
        <v>5.2874518108686028E-2</v>
      </c>
      <c r="F8" s="41">
        <v>4.6433326304896752E-3</v>
      </c>
      <c r="G8" s="41">
        <v>0.15142690396657121</v>
      </c>
      <c r="H8" s="41">
        <v>3.3840202321074511E-3</v>
      </c>
      <c r="I8" s="41">
        <v>0.37440314202619812</v>
      </c>
      <c r="J8" s="41">
        <v>2.5937937914698068E-2</v>
      </c>
      <c r="K8" s="41">
        <v>1264.7695724698731</v>
      </c>
      <c r="L8" s="41">
        <v>1722.956972950057</v>
      </c>
      <c r="M8" s="41">
        <v>5611.0847619661954</v>
      </c>
      <c r="N8" s="41">
        <v>838.21955799505406</v>
      </c>
      <c r="O8" s="41">
        <v>2108.5691781403789</v>
      </c>
      <c r="P8" s="41">
        <v>923.39870265244303</v>
      </c>
      <c r="Q8" s="41">
        <v>0.37061240538614099</v>
      </c>
      <c r="R8" s="41">
        <v>7.506518906755541E-2</v>
      </c>
      <c r="S8" s="41">
        <v>-1.176809482267708</v>
      </c>
      <c r="T8" s="41">
        <v>-10.549153511873509</v>
      </c>
    </row>
    <row r="9" spans="1:20" ht="18" customHeight="1" x14ac:dyDescent="0.15">
      <c r="A9" s="5" t="s">
        <v>18</v>
      </c>
      <c r="B9" s="6" t="s">
        <v>91</v>
      </c>
      <c r="C9" s="6" t="s">
        <v>90</v>
      </c>
      <c r="D9" s="6" t="s">
        <v>20</v>
      </c>
      <c r="E9" s="41">
        <v>5.2874518108686028E-2</v>
      </c>
      <c r="F9" s="41">
        <v>4.6433326304896752E-3</v>
      </c>
      <c r="G9" s="41">
        <v>0.19463372619152969</v>
      </c>
      <c r="H9" s="41">
        <v>5.2299280566510996E-3</v>
      </c>
      <c r="I9" s="41">
        <v>-5.6819652411874477E-2</v>
      </c>
      <c r="J9" s="41">
        <v>2.3476075866033261E-2</v>
      </c>
      <c r="K9" s="41">
        <v>1010.694248729372</v>
      </c>
      <c r="L9" s="41">
        <v>811.17732492828316</v>
      </c>
      <c r="M9" s="41">
        <v>9593.5591317863236</v>
      </c>
      <c r="N9" s="41">
        <v>2956.545305058798</v>
      </c>
      <c r="O9" s="41">
        <v>2362.644501880879</v>
      </c>
      <c r="P9" s="41">
        <v>2390.1386151375891</v>
      </c>
      <c r="Q9" s="41">
        <v>0.27965235746172318</v>
      </c>
      <c r="R9" s="41">
        <v>0.21337818256859509</v>
      </c>
      <c r="S9" s="41">
        <v>-1.462389729492134</v>
      </c>
      <c r="T9" s="41">
        <v>-10.949829448393251</v>
      </c>
    </row>
    <row r="10" spans="1:20" ht="18" customHeight="1" x14ac:dyDescent="0.15">
      <c r="A10" s="5" t="s">
        <v>18</v>
      </c>
      <c r="B10" s="6" t="s">
        <v>101</v>
      </c>
      <c r="C10" s="6" t="s">
        <v>100</v>
      </c>
      <c r="D10" s="6" t="s">
        <v>20</v>
      </c>
      <c r="E10" s="41">
        <v>5.2874518108686028E-2</v>
      </c>
      <c r="F10" s="41">
        <v>4.6433326304896752E-3</v>
      </c>
      <c r="G10" s="41">
        <v>0.18728500141842319</v>
      </c>
      <c r="H10" s="41">
        <v>2.1979474290531259E-3</v>
      </c>
      <c r="I10" s="41">
        <v>0.26115666902630608</v>
      </c>
      <c r="J10" s="41">
        <v>2.7749223152006369E-2</v>
      </c>
      <c r="K10" s="41">
        <v>1815.1698623010691</v>
      </c>
      <c r="L10" s="41">
        <v>2108.240853243954</v>
      </c>
      <c r="M10" s="41">
        <v>7056.853426849947</v>
      </c>
      <c r="N10" s="41">
        <v>645.67874745975746</v>
      </c>
      <c r="O10" s="41">
        <v>1558.1688883091831</v>
      </c>
      <c r="P10" s="41">
        <v>505.40891601384851</v>
      </c>
      <c r="Q10" s="41">
        <v>0.25685914537057031</v>
      </c>
      <c r="R10" s="41">
        <v>4.2963139962879648E-2</v>
      </c>
      <c r="S10" s="41">
        <v>-0.83784579963539729</v>
      </c>
      <c r="T10" s="41">
        <v>-10.35994118288116</v>
      </c>
    </row>
    <row r="11" spans="1:20" ht="18" customHeight="1" x14ac:dyDescent="0.15">
      <c r="A11" s="5" t="s">
        <v>18</v>
      </c>
      <c r="B11" s="6" t="s">
        <v>110</v>
      </c>
      <c r="C11" s="6" t="s">
        <v>109</v>
      </c>
      <c r="D11" s="6" t="s">
        <v>20</v>
      </c>
      <c r="E11" s="41">
        <v>5.2874518108686028E-2</v>
      </c>
      <c r="F11" s="41">
        <v>4.6433326304896752E-3</v>
      </c>
      <c r="G11" s="41">
        <v>3.1408537979567143E-2</v>
      </c>
      <c r="H11" s="41">
        <v>8.4550406928801431E-4</v>
      </c>
      <c r="I11" s="41">
        <v>0.30992874610928822</v>
      </c>
      <c r="J11" s="41">
        <v>4.2841064878509957E-2</v>
      </c>
      <c r="K11" s="41">
        <v>177.72062989476129</v>
      </c>
      <c r="L11" s="41">
        <v>575.29360382967241</v>
      </c>
      <c r="M11" s="41">
        <v>21892.04608495412</v>
      </c>
      <c r="N11" s="41">
        <v>4384.4994165779945</v>
      </c>
      <c r="O11" s="41">
        <v>3195.6181207154909</v>
      </c>
      <c r="P11" s="41">
        <v>2062.4053695670118</v>
      </c>
      <c r="Q11" s="41">
        <v>0.21690821976150401</v>
      </c>
      <c r="R11" s="41">
        <v>0.1033024792107148</v>
      </c>
      <c r="S11" s="41">
        <v>-1.79188877097331</v>
      </c>
      <c r="T11" s="41">
        <v>-10.983028879371229</v>
      </c>
    </row>
    <row r="12" spans="1:20" ht="18" customHeight="1" x14ac:dyDescent="0.15">
      <c r="A12" s="5" t="s">
        <v>18</v>
      </c>
      <c r="B12" s="6" t="s">
        <v>120</v>
      </c>
      <c r="C12" s="6" t="s">
        <v>119</v>
      </c>
      <c r="D12" s="6" t="s">
        <v>20</v>
      </c>
      <c r="E12" s="41">
        <v>5.2874518108686028E-2</v>
      </c>
      <c r="F12" s="41">
        <v>4.6433326304896752E-3</v>
      </c>
      <c r="G12" s="41">
        <v>0.119429005741946</v>
      </c>
      <c r="H12" s="41">
        <v>7.1467991363898271E-3</v>
      </c>
      <c r="I12" s="41">
        <v>-7.2590700997931912E-2</v>
      </c>
      <c r="J12" s="41">
        <v>4.7635805426444952E-2</v>
      </c>
      <c r="K12" s="41">
        <v>3067.3850301939242</v>
      </c>
      <c r="L12" s="41">
        <v>2418.8000930983849</v>
      </c>
      <c r="M12" s="41">
        <v>2035.2010280013669</v>
      </c>
      <c r="N12" s="41">
        <v>651.48299145607302</v>
      </c>
      <c r="O12" s="41">
        <v>305.95372041632828</v>
      </c>
      <c r="P12" s="41">
        <v>224.62312778478201</v>
      </c>
      <c r="Q12" s="41">
        <v>0.1059529690696534</v>
      </c>
      <c r="R12" s="41">
        <v>5.8445325064355159E-2</v>
      </c>
      <c r="S12" s="41">
        <v>-1.7083912016416429</v>
      </c>
      <c r="T12" s="41">
        <v>-11.234455843380159</v>
      </c>
    </row>
    <row r="13" spans="1:20" ht="18" customHeight="1" x14ac:dyDescent="0.15">
      <c r="A13" s="5" t="s">
        <v>18</v>
      </c>
      <c r="B13" s="6" t="s">
        <v>129</v>
      </c>
      <c r="C13" s="6" t="s">
        <v>135</v>
      </c>
      <c r="D13" s="6" t="s">
        <v>20</v>
      </c>
      <c r="E13" s="41">
        <v>5.2874518108686028E-2</v>
      </c>
      <c r="F13" s="41">
        <v>4.6433326304896752E-3</v>
      </c>
      <c r="G13" s="41">
        <v>0.1278522707562324</v>
      </c>
      <c r="H13" s="41">
        <v>2.8109718782385849E-3</v>
      </c>
      <c r="I13" s="41">
        <v>0.41428130287603032</v>
      </c>
      <c r="J13" s="41">
        <v>3.2501251339173837E-2</v>
      </c>
      <c r="K13" s="41">
        <v>1012.871871925092</v>
      </c>
      <c r="L13" s="41">
        <v>1819.2663030301651</v>
      </c>
      <c r="M13" s="41">
        <v>6927.754292430368</v>
      </c>
      <c r="N13" s="41">
        <v>1428.517298614659</v>
      </c>
      <c r="O13" s="41">
        <v>2360.4668786851598</v>
      </c>
      <c r="P13" s="41">
        <v>810.10285053302732</v>
      </c>
      <c r="Q13" s="41">
        <v>0.36777641896785201</v>
      </c>
      <c r="R13" s="41">
        <v>6.8249336655125656E-2</v>
      </c>
      <c r="S13" s="41">
        <v>-1.6577814753749409</v>
      </c>
      <c r="T13" s="41">
        <v>-11.172821150042299</v>
      </c>
    </row>
    <row r="14" spans="1:20" ht="18" customHeight="1" x14ac:dyDescent="0.15">
      <c r="A14" s="5" t="s">
        <v>18</v>
      </c>
      <c r="B14" s="6" t="s">
        <v>142</v>
      </c>
      <c r="C14" s="6" t="s">
        <v>141</v>
      </c>
      <c r="D14" s="6" t="s">
        <v>20</v>
      </c>
      <c r="E14" s="41">
        <v>5.2874518108686028E-2</v>
      </c>
      <c r="F14" s="41">
        <v>4.6433326304896752E-3</v>
      </c>
      <c r="G14" s="41">
        <v>0.1499347023470039</v>
      </c>
      <c r="H14" s="41">
        <v>9.0327801081555026E-3</v>
      </c>
      <c r="I14" s="41">
        <v>-0.1016067889602527</v>
      </c>
      <c r="J14" s="41">
        <v>4.0876153297470033E-2</v>
      </c>
      <c r="K14" s="41">
        <v>3006.2954608677351</v>
      </c>
      <c r="L14" s="41">
        <v>2429.6749028000791</v>
      </c>
      <c r="M14" s="41">
        <v>265.96648990170041</v>
      </c>
      <c r="N14" s="41">
        <v>232.1450913143575</v>
      </c>
      <c r="O14" s="41">
        <v>367.0432897425174</v>
      </c>
      <c r="P14" s="41">
        <v>214.142793330584</v>
      </c>
      <c r="Q14" s="41">
        <v>0.19243271668844061</v>
      </c>
      <c r="R14" s="41">
        <v>9.2654817203653331E-2</v>
      </c>
      <c r="S14" s="41">
        <v>-0.67522947418037804</v>
      </c>
      <c r="T14" s="41">
        <v>-10.22581468674491</v>
      </c>
    </row>
    <row r="15" spans="1:20" ht="18" customHeight="1" x14ac:dyDescent="0.15">
      <c r="A15" s="5" t="s">
        <v>18</v>
      </c>
      <c r="B15" s="6" t="s">
        <v>151</v>
      </c>
      <c r="C15" s="6" t="s">
        <v>150</v>
      </c>
      <c r="D15" s="6" t="s">
        <v>20</v>
      </c>
      <c r="E15" s="41">
        <v>5.2874518108686028E-2</v>
      </c>
      <c r="F15" s="41">
        <v>4.6433326304896752E-3</v>
      </c>
      <c r="G15" s="41">
        <v>6.7697857433468914E-2</v>
      </c>
      <c r="H15" s="41">
        <v>9.7928468318144064E-4</v>
      </c>
      <c r="I15" s="41">
        <v>0.45246657417777331</v>
      </c>
      <c r="J15" s="41">
        <v>4.2546693536065619E-2</v>
      </c>
      <c r="K15" s="41">
        <v>348.60930471585971</v>
      </c>
      <c r="L15" s="41">
        <v>1198.9190894201599</v>
      </c>
      <c r="M15" s="41">
        <v>7826.9080044093698</v>
      </c>
      <c r="N15" s="41">
        <v>1507.557480391496</v>
      </c>
      <c r="O15" s="41">
        <v>3024.729445894392</v>
      </c>
      <c r="P15" s="41">
        <v>1522.421677028439</v>
      </c>
      <c r="Q15" s="41">
        <v>0.40725785034475892</v>
      </c>
      <c r="R15" s="41">
        <v>0.12594226147799031</v>
      </c>
      <c r="S15" s="41">
        <v>-1.4247309183119801</v>
      </c>
      <c r="T15" s="41">
        <v>-10.93754433443921</v>
      </c>
    </row>
    <row r="16" spans="1:20" ht="18" customHeight="1" x14ac:dyDescent="0.15">
      <c r="A16" s="5" t="s">
        <v>18</v>
      </c>
      <c r="B16" s="6" t="s">
        <v>159</v>
      </c>
      <c r="C16" s="6" t="s">
        <v>158</v>
      </c>
      <c r="D16" s="6" t="s">
        <v>20</v>
      </c>
      <c r="E16" s="41">
        <v>5.2874518108686028E-2</v>
      </c>
      <c r="F16" s="41">
        <v>4.6433326304896752E-3</v>
      </c>
      <c r="G16" s="41">
        <v>0.38869967230375507</v>
      </c>
      <c r="H16" s="41">
        <v>4.7844052555041346E-3</v>
      </c>
      <c r="I16" s="41">
        <v>0.18313339710352519</v>
      </c>
      <c r="J16" s="41">
        <v>2.684726459176151E-2</v>
      </c>
      <c r="K16" s="41">
        <v>1879.3020840573549</v>
      </c>
      <c r="L16" s="41">
        <v>2201.7938430222198</v>
      </c>
      <c r="M16" s="41">
        <v>8314.6659430078471</v>
      </c>
      <c r="N16" s="41">
        <v>1126.137178656342</v>
      </c>
      <c r="O16" s="41">
        <v>1494.036666552897</v>
      </c>
      <c r="P16" s="41">
        <v>1026.8008810036049</v>
      </c>
      <c r="Q16" s="41">
        <v>0.22037631774295829</v>
      </c>
      <c r="R16" s="41">
        <v>0.1270355417810948</v>
      </c>
      <c r="S16" s="41">
        <v>-0.46666493559023359</v>
      </c>
      <c r="T16" s="41">
        <v>-9.9924661944014979</v>
      </c>
    </row>
    <row r="17" spans="1:20" ht="18" customHeight="1" x14ac:dyDescent="0.15">
      <c r="A17" s="5" t="s">
        <v>18</v>
      </c>
      <c r="B17" s="6" t="s">
        <v>166</v>
      </c>
      <c r="C17" s="6" t="s">
        <v>165</v>
      </c>
      <c r="D17" s="6" t="s">
        <v>20</v>
      </c>
      <c r="E17" s="41">
        <v>5.2874518108686028E-2</v>
      </c>
      <c r="F17" s="41">
        <v>4.6433326304896752E-3</v>
      </c>
      <c r="G17" s="41">
        <v>0.13844724437401451</v>
      </c>
      <c r="H17" s="41">
        <v>7.3019007520490984E-3</v>
      </c>
      <c r="I17" s="41">
        <v>0.30460240385098941</v>
      </c>
      <c r="J17" s="41">
        <v>6.7378854763164284E-2</v>
      </c>
      <c r="K17" s="41">
        <v>509.29612288656762</v>
      </c>
      <c r="L17" s="41">
        <v>774.1717622773823</v>
      </c>
      <c r="M17" s="41">
        <v>33706.087790286751</v>
      </c>
      <c r="N17" s="41">
        <v>66832.276416849185</v>
      </c>
      <c r="O17" s="41">
        <v>2864.0426277236852</v>
      </c>
      <c r="P17" s="41">
        <v>2046.778613145349</v>
      </c>
      <c r="Q17" s="41">
        <v>0.27705540883503987</v>
      </c>
      <c r="R17" s="41">
        <v>0.18070633453512111</v>
      </c>
      <c r="S17" s="41">
        <v>-1.800956640922232</v>
      </c>
      <c r="T17" s="41">
        <v>-11.35418002643863</v>
      </c>
    </row>
    <row r="18" spans="1:20" ht="18" customHeight="1" x14ac:dyDescent="0.15">
      <c r="A18" s="5" t="s">
        <v>18</v>
      </c>
      <c r="B18" s="6" t="s">
        <v>174</v>
      </c>
      <c r="C18" s="6" t="s">
        <v>173</v>
      </c>
      <c r="D18" s="6" t="s">
        <v>20</v>
      </c>
      <c r="E18" s="41">
        <v>5.2874518108686028E-2</v>
      </c>
      <c r="F18" s="41">
        <v>4.6433326304896752E-3</v>
      </c>
      <c r="G18" s="41">
        <v>7.6050967951703741E-2</v>
      </c>
      <c r="H18" s="41">
        <v>1.8301497132461981E-3</v>
      </c>
      <c r="I18" s="41">
        <v>0.45007008134351112</v>
      </c>
      <c r="J18" s="41">
        <v>4.0036125495752001E-2</v>
      </c>
      <c r="K18" s="41">
        <v>916.95988788394129</v>
      </c>
      <c r="L18" s="41">
        <v>1868.017572595141</v>
      </c>
      <c r="M18" s="41">
        <v>3565.723120815238</v>
      </c>
      <c r="N18" s="41">
        <v>895.9409095478652</v>
      </c>
      <c r="O18" s="41">
        <v>2456.3788627263102</v>
      </c>
      <c r="P18" s="41">
        <v>996.97834493018638</v>
      </c>
      <c r="Q18" s="41">
        <v>0.51380881790052868</v>
      </c>
      <c r="R18" s="41">
        <v>0.10897120922868569</v>
      </c>
      <c r="S18" s="41">
        <v>-1.2426210091100069</v>
      </c>
      <c r="T18" s="41">
        <v>-10.772568175739339</v>
      </c>
    </row>
    <row r="19" spans="1:20" ht="18" customHeight="1" x14ac:dyDescent="0.15">
      <c r="A19" s="5" t="s">
        <v>18</v>
      </c>
      <c r="B19" s="6" t="s">
        <v>182</v>
      </c>
      <c r="C19" s="6" t="s">
        <v>181</v>
      </c>
      <c r="D19" s="6" t="s">
        <v>20</v>
      </c>
      <c r="E19" s="41">
        <v>5.2874518108686028E-2</v>
      </c>
      <c r="F19" s="41">
        <v>4.6433326304896752E-3</v>
      </c>
      <c r="G19" s="41">
        <v>0.1186189489915425</v>
      </c>
      <c r="H19" s="41">
        <v>3.622596313861763E-3</v>
      </c>
      <c r="I19" s="41">
        <v>0.50404761368229534</v>
      </c>
      <c r="J19" s="41">
        <v>3.7435665404832362E-2</v>
      </c>
      <c r="K19" s="41">
        <v>1329.6093023140199</v>
      </c>
      <c r="L19" s="41">
        <v>2064.5329026166401</v>
      </c>
      <c r="M19" s="41">
        <v>1697.624938521009</v>
      </c>
      <c r="N19" s="41">
        <v>758.33239664701512</v>
      </c>
      <c r="O19" s="41">
        <v>2043.729448296232</v>
      </c>
      <c r="P19" s="41">
        <v>713.83059638260488</v>
      </c>
      <c r="Q19" s="41">
        <v>0.58108873358027557</v>
      </c>
      <c r="R19" s="41">
        <v>0.13064076007661221</v>
      </c>
      <c r="S19" s="41">
        <v>-1.3436047595809211</v>
      </c>
      <c r="T19" s="41">
        <v>-10.896804372048059</v>
      </c>
    </row>
    <row r="20" spans="1:20" ht="18" customHeight="1" x14ac:dyDescent="0.15">
      <c r="A20" s="5" t="s">
        <v>18</v>
      </c>
      <c r="B20" s="6" t="s">
        <v>190</v>
      </c>
      <c r="C20" s="6" t="s">
        <v>189</v>
      </c>
      <c r="D20" s="6" t="s">
        <v>20</v>
      </c>
      <c r="E20" s="41">
        <v>5.2874518108686028E-2</v>
      </c>
      <c r="F20" s="41">
        <v>4.6433326304896752E-3</v>
      </c>
      <c r="G20" s="41">
        <v>0.33304843338697598</v>
      </c>
      <c r="H20" s="41">
        <v>9.9793999990182881E-3</v>
      </c>
      <c r="I20" s="41">
        <v>2.156489923497306E-2</v>
      </c>
      <c r="J20" s="41">
        <v>4.0034582829307358E-2</v>
      </c>
      <c r="K20" s="41">
        <v>925.75996847334295</v>
      </c>
      <c r="L20" s="41">
        <v>946.4387176446229</v>
      </c>
      <c r="M20" s="41">
        <v>13143.396403021439</v>
      </c>
      <c r="N20" s="41">
        <v>15044.153065704741</v>
      </c>
      <c r="O20" s="41">
        <v>2447.578782136909</v>
      </c>
      <c r="P20" s="41">
        <v>2728.442960459804</v>
      </c>
      <c r="Q20" s="41">
        <v>0.30252545673365078</v>
      </c>
      <c r="R20" s="41">
        <v>0.21131322248528811</v>
      </c>
      <c r="S20" s="41">
        <v>-1.5710859649640041</v>
      </c>
      <c r="T20" s="41">
        <v>-11.0833093498683</v>
      </c>
    </row>
    <row r="21" spans="1:20" ht="18" customHeight="1" x14ac:dyDescent="0.15">
      <c r="A21" s="5" t="s">
        <v>26</v>
      </c>
      <c r="B21" s="6" t="s">
        <v>41</v>
      </c>
      <c r="C21" s="6" t="s">
        <v>34</v>
      </c>
      <c r="D21" s="6" t="s">
        <v>28</v>
      </c>
      <c r="E21" s="41">
        <v>3.6869850220475731E-2</v>
      </c>
      <c r="F21" s="41">
        <v>4.9231521697092346E-3</v>
      </c>
      <c r="G21" s="41">
        <v>6.12979625027089E-2</v>
      </c>
      <c r="H21" s="41">
        <v>3.3526083938921849E-3</v>
      </c>
      <c r="I21" s="41">
        <v>0.18445039161040469</v>
      </c>
      <c r="J21" s="41">
        <v>4.8371541008655768E-2</v>
      </c>
      <c r="K21" s="41">
        <v>17.214238912777869</v>
      </c>
      <c r="L21" s="41">
        <v>44.154594706155393</v>
      </c>
      <c r="M21" s="41">
        <v>18232.817189566631</v>
      </c>
      <c r="N21" s="41">
        <v>12358.12606347918</v>
      </c>
      <c r="O21" s="41">
        <v>553.96904842024298</v>
      </c>
      <c r="P21" s="41">
        <v>144.2904138635044</v>
      </c>
      <c r="Q21" s="41">
        <v>7.9533390811253907E-2</v>
      </c>
      <c r="R21" s="41">
        <v>4.5985315821271529E-2</v>
      </c>
      <c r="S21" s="41">
        <v>-1.536187397071626</v>
      </c>
      <c r="T21" s="41">
        <v>-11.063230202195401</v>
      </c>
    </row>
    <row r="22" spans="1:20" ht="18" customHeight="1" x14ac:dyDescent="0.15">
      <c r="A22" s="5" t="s">
        <v>26</v>
      </c>
      <c r="B22" s="6" t="s">
        <v>53</v>
      </c>
      <c r="C22" s="6" t="s">
        <v>45</v>
      </c>
      <c r="D22" s="6" t="s">
        <v>28</v>
      </c>
      <c r="E22" s="41">
        <v>3.6869850220475731E-2</v>
      </c>
      <c r="F22" s="41">
        <v>4.9231521697092346E-3</v>
      </c>
      <c r="G22" s="41">
        <v>3.2567768018322403E-2</v>
      </c>
      <c r="H22" s="41">
        <v>7.3936809208140621E-4</v>
      </c>
      <c r="I22" s="41">
        <v>-0.2281941328304567</v>
      </c>
      <c r="J22" s="41">
        <v>3.4569398278613522E-2</v>
      </c>
      <c r="K22" s="41">
        <v>484.67486509088701</v>
      </c>
      <c r="L22" s="41">
        <v>166.4717350862858</v>
      </c>
      <c r="M22" s="41">
        <v>94.039640821541099</v>
      </c>
      <c r="N22" s="41">
        <v>30.432396663514069</v>
      </c>
      <c r="O22" s="41">
        <v>86.508422242133705</v>
      </c>
      <c r="P22" s="41">
        <v>24.141433917666259</v>
      </c>
      <c r="Q22" s="41">
        <v>0.23649757618560729</v>
      </c>
      <c r="R22" s="41">
        <v>6.5199661761735889E-2</v>
      </c>
      <c r="S22" s="41">
        <v>7.4868217718496446</v>
      </c>
      <c r="T22" s="41">
        <v>-2.0476724429974311</v>
      </c>
    </row>
    <row r="23" spans="1:20" ht="18" customHeight="1" x14ac:dyDescent="0.15">
      <c r="A23" s="5" t="s">
        <v>26</v>
      </c>
      <c r="B23" s="6" t="s">
        <v>65</v>
      </c>
      <c r="C23" s="6" t="s">
        <v>59</v>
      </c>
      <c r="D23" s="6" t="s">
        <v>28</v>
      </c>
      <c r="E23" s="41">
        <v>3.6869850220475731E-2</v>
      </c>
      <c r="F23" s="41">
        <v>4.9231521697092346E-3</v>
      </c>
      <c r="G23" s="41">
        <v>0.21002590059956561</v>
      </c>
      <c r="H23" s="41">
        <v>3.56179086170994E-3</v>
      </c>
      <c r="I23" s="41">
        <v>3.135552183251486E-2</v>
      </c>
      <c r="J23" s="41">
        <v>3.4359607594710961E-2</v>
      </c>
      <c r="K23" s="41">
        <v>96.226957196452815</v>
      </c>
      <c r="L23" s="41">
        <v>116.3442882845809</v>
      </c>
      <c r="M23" s="41">
        <v>7125.9127614751751</v>
      </c>
      <c r="N23" s="41">
        <v>444.02417828449711</v>
      </c>
      <c r="O23" s="41">
        <v>474.95633013656789</v>
      </c>
      <c r="P23" s="41">
        <v>180.59081526051341</v>
      </c>
      <c r="Q23" s="41">
        <v>0.1157676914530098</v>
      </c>
      <c r="R23" s="41">
        <v>4.2115167248576432E-2</v>
      </c>
      <c r="S23" s="41">
        <v>0.49779161224141721</v>
      </c>
      <c r="T23" s="41">
        <v>-8.8531932882503845</v>
      </c>
    </row>
    <row r="24" spans="1:20" ht="18" customHeight="1" x14ac:dyDescent="0.15">
      <c r="A24" s="5" t="s">
        <v>26</v>
      </c>
      <c r="B24" s="6" t="s">
        <v>75</v>
      </c>
      <c r="C24" s="6" t="s">
        <v>70</v>
      </c>
      <c r="D24" s="6" t="s">
        <v>28</v>
      </c>
      <c r="E24" s="41">
        <v>3.6869850220475731E-2</v>
      </c>
      <c r="F24" s="41">
        <v>4.9231521697092346E-3</v>
      </c>
      <c r="G24" s="41">
        <v>6.3726110641562458E-2</v>
      </c>
      <c r="H24" s="41">
        <v>2.31564923370265E-3</v>
      </c>
      <c r="I24" s="41">
        <v>0.15032396908101481</v>
      </c>
      <c r="J24" s="41">
        <v>7.9491098931849039E-2</v>
      </c>
      <c r="K24" s="41">
        <v>1.629152280013844E-3</v>
      </c>
      <c r="L24" s="41">
        <v>1.7883450785334441E-3</v>
      </c>
      <c r="M24" s="41">
        <v>68931.199179304895</v>
      </c>
      <c r="N24" s="41">
        <v>88162.184824801865</v>
      </c>
      <c r="O24" s="41">
        <v>571.1816581807409</v>
      </c>
      <c r="P24" s="41">
        <v>170.66009350512849</v>
      </c>
      <c r="Q24" s="41">
        <v>5.4957593982174348E-2</v>
      </c>
      <c r="R24" s="41">
        <v>4.8770676337304801E-2</v>
      </c>
      <c r="S24" s="41">
        <v>-1.987633374362485</v>
      </c>
      <c r="T24" s="41">
        <v>-11.43206083028188</v>
      </c>
    </row>
    <row r="25" spans="1:20" ht="18" customHeight="1" x14ac:dyDescent="0.15">
      <c r="A25" s="5" t="s">
        <v>26</v>
      </c>
      <c r="B25" s="6" t="s">
        <v>85</v>
      </c>
      <c r="C25" s="6" t="s">
        <v>80</v>
      </c>
      <c r="D25" s="6" t="s">
        <v>28</v>
      </c>
      <c r="E25" s="41">
        <v>3.6869850220475731E-2</v>
      </c>
      <c r="F25" s="41">
        <v>4.9231521697092346E-3</v>
      </c>
      <c r="G25" s="41">
        <v>0.2596276905373639</v>
      </c>
      <c r="H25" s="41">
        <v>3.688186437459036E-3</v>
      </c>
      <c r="I25" s="41">
        <v>0.25422072477666169</v>
      </c>
      <c r="J25" s="41">
        <v>4.1965642189715741E-2</v>
      </c>
      <c r="K25" s="41">
        <v>6.4638492675195508E-4</v>
      </c>
      <c r="L25" s="41">
        <v>7.5829814843427325E-4</v>
      </c>
      <c r="M25" s="41">
        <v>8121.9443028239448</v>
      </c>
      <c r="N25" s="41">
        <v>593.80420270765171</v>
      </c>
      <c r="O25" s="41">
        <v>571.18264094809399</v>
      </c>
      <c r="P25" s="41">
        <v>170.65956085720691</v>
      </c>
      <c r="Q25" s="41">
        <v>0.1237463561092866</v>
      </c>
      <c r="R25" s="41">
        <v>3.7767364366650451E-2</v>
      </c>
      <c r="S25" s="41">
        <v>-1.995954644453013</v>
      </c>
      <c r="T25" s="41">
        <v>-11.53418399688632</v>
      </c>
    </row>
    <row r="26" spans="1:20" ht="18" customHeight="1" x14ac:dyDescent="0.15">
      <c r="A26" s="5" t="s">
        <v>26</v>
      </c>
      <c r="B26" s="6" t="s">
        <v>95</v>
      </c>
      <c r="C26" s="6" t="s">
        <v>90</v>
      </c>
      <c r="D26" s="6" t="s">
        <v>28</v>
      </c>
      <c r="E26" s="41">
        <v>3.6869850220475731E-2</v>
      </c>
      <c r="F26" s="41">
        <v>4.9231521697092346E-3</v>
      </c>
      <c r="G26" s="41">
        <v>0.19974530197127349</v>
      </c>
      <c r="H26" s="41">
        <v>4.3714788075163236E-3</v>
      </c>
      <c r="I26" s="41">
        <v>5.7277005084188849E-2</v>
      </c>
      <c r="J26" s="41">
        <v>2.7569456002804901E-2</v>
      </c>
      <c r="K26" s="41">
        <v>157.33225183287919</v>
      </c>
      <c r="L26" s="41">
        <v>171.9075710911695</v>
      </c>
      <c r="M26" s="41">
        <v>11146.951366915129</v>
      </c>
      <c r="N26" s="41">
        <v>1219.0377437576681</v>
      </c>
      <c r="O26" s="41">
        <v>413.85103550014162</v>
      </c>
      <c r="P26" s="41">
        <v>196.45705526958619</v>
      </c>
      <c r="Q26" s="41">
        <v>6.9218019344720619E-2</v>
      </c>
      <c r="R26" s="41">
        <v>3.2702335840464683E-2</v>
      </c>
      <c r="S26" s="41">
        <v>-1.7082769790431489E-2</v>
      </c>
      <c r="T26" s="41">
        <v>-9.5471218480837692</v>
      </c>
    </row>
    <row r="27" spans="1:20" ht="18" customHeight="1" x14ac:dyDescent="0.15">
      <c r="A27" s="5" t="s">
        <v>26</v>
      </c>
      <c r="B27" s="6" t="s">
        <v>106</v>
      </c>
      <c r="C27" s="6" t="s">
        <v>100</v>
      </c>
      <c r="D27" s="6" t="s">
        <v>28</v>
      </c>
      <c r="E27" s="41">
        <v>3.6869850220475731E-2</v>
      </c>
      <c r="F27" s="41">
        <v>4.9231521697092346E-3</v>
      </c>
      <c r="G27" s="41">
        <v>0.57019833152479382</v>
      </c>
      <c r="H27" s="41">
        <v>6.3745043606849268E-3</v>
      </c>
      <c r="I27" s="41">
        <v>0.22849291117839621</v>
      </c>
      <c r="J27" s="41">
        <v>2.4588642377217421E-2</v>
      </c>
      <c r="K27" s="41">
        <v>51.808799003012382</v>
      </c>
      <c r="L27" s="41">
        <v>69.405864616290089</v>
      </c>
      <c r="M27" s="41">
        <v>8077.2381238409798</v>
      </c>
      <c r="N27" s="41">
        <v>280.68373695581602</v>
      </c>
      <c r="O27" s="41">
        <v>519.37448833000838</v>
      </c>
      <c r="P27" s="41">
        <v>120.7379291342401</v>
      </c>
      <c r="Q27" s="41">
        <v>0.1130080470735724</v>
      </c>
      <c r="R27" s="41">
        <v>2.4912600894085431E-2</v>
      </c>
      <c r="S27" s="41">
        <v>-1.0018387304677161</v>
      </c>
      <c r="T27" s="41">
        <v>-10.53837015719354</v>
      </c>
    </row>
    <row r="28" spans="1:20" ht="18" customHeight="1" x14ac:dyDescent="0.15">
      <c r="A28" s="5" t="s">
        <v>26</v>
      </c>
      <c r="B28" s="6" t="s">
        <v>115</v>
      </c>
      <c r="C28" s="6" t="s">
        <v>109</v>
      </c>
      <c r="D28" s="6" t="s">
        <v>28</v>
      </c>
      <c r="E28" s="41">
        <v>3.6869850220475731E-2</v>
      </c>
      <c r="F28" s="41">
        <v>4.9231521697092346E-3</v>
      </c>
      <c r="G28" s="41">
        <v>8.9539099693830421E-2</v>
      </c>
      <c r="H28" s="41">
        <v>2.5761171532922662E-3</v>
      </c>
      <c r="I28" s="41">
        <v>0.22419120457713071</v>
      </c>
      <c r="J28" s="41">
        <v>3.537829259738294E-2</v>
      </c>
      <c r="K28" s="41">
        <v>1.7304723207046441E-3</v>
      </c>
      <c r="L28" s="41">
        <v>3.3210208206705901E-3</v>
      </c>
      <c r="M28" s="41">
        <v>10629.10088118463</v>
      </c>
      <c r="N28" s="41">
        <v>1209.951477449448</v>
      </c>
      <c r="O28" s="41">
        <v>571.1815568607002</v>
      </c>
      <c r="P28" s="41">
        <v>170.65895013450751</v>
      </c>
      <c r="Q28" s="41">
        <v>9.7548260752026564E-2</v>
      </c>
      <c r="R28" s="41">
        <v>2.8618711036613152E-2</v>
      </c>
      <c r="S28" s="41">
        <v>-1.990406015975168</v>
      </c>
      <c r="T28" s="41">
        <v>-11.52927746733612</v>
      </c>
    </row>
    <row r="29" spans="1:20" ht="18" customHeight="1" x14ac:dyDescent="0.15">
      <c r="A29" s="5" t="s">
        <v>26</v>
      </c>
      <c r="B29" s="6" t="s">
        <v>124</v>
      </c>
      <c r="C29" s="6" t="s">
        <v>119</v>
      </c>
      <c r="D29" s="6" t="s">
        <v>28</v>
      </c>
      <c r="E29" s="41">
        <v>3.6869850220475731E-2</v>
      </c>
      <c r="F29" s="41">
        <v>4.9231521697092346E-3</v>
      </c>
      <c r="G29" s="41">
        <v>0.33816338202733798</v>
      </c>
      <c r="H29" s="41">
        <v>2.464057883620957E-2</v>
      </c>
      <c r="I29" s="41">
        <v>-0.12214905644976259</v>
      </c>
      <c r="J29" s="41">
        <v>4.7111278591588528E-2</v>
      </c>
      <c r="K29" s="41">
        <v>314.74052685137173</v>
      </c>
      <c r="L29" s="41">
        <v>229.99344785821029</v>
      </c>
      <c r="M29" s="41">
        <v>2020.2448943410659</v>
      </c>
      <c r="N29" s="41">
        <v>617.62734104119795</v>
      </c>
      <c r="O29" s="41">
        <v>256.44276048164897</v>
      </c>
      <c r="P29" s="41">
        <v>149.11713231842961</v>
      </c>
      <c r="Q29" s="41">
        <v>0.18196747246358649</v>
      </c>
      <c r="R29" s="41">
        <v>0.10156942589495151</v>
      </c>
      <c r="S29" s="41">
        <v>-0.83337319751153704</v>
      </c>
      <c r="T29" s="41">
        <v>-10.33776083066342</v>
      </c>
    </row>
    <row r="30" spans="1:20" ht="18" customHeight="1" x14ac:dyDescent="0.15">
      <c r="A30" s="5" t="s">
        <v>26</v>
      </c>
      <c r="B30" s="6" t="s">
        <v>136</v>
      </c>
      <c r="C30" s="6" t="s">
        <v>135</v>
      </c>
      <c r="D30" s="6" t="s">
        <v>28</v>
      </c>
      <c r="E30" s="41">
        <v>3.6869850220475731E-2</v>
      </c>
      <c r="F30" s="41">
        <v>4.9231521697092346E-3</v>
      </c>
      <c r="G30" s="41">
        <v>8.6171362319213338E-2</v>
      </c>
      <c r="H30" s="41">
        <v>4.7749872831811769E-3</v>
      </c>
      <c r="I30" s="41">
        <v>0.32052455254875789</v>
      </c>
      <c r="J30" s="41">
        <v>7.5597929934962199E-2</v>
      </c>
      <c r="K30" s="41">
        <v>0.36382056231816579</v>
      </c>
      <c r="L30" s="41">
        <v>1.581951713413341</v>
      </c>
      <c r="M30" s="41">
        <v>5142.5785049438837</v>
      </c>
      <c r="N30" s="41">
        <v>1323.2330370798279</v>
      </c>
      <c r="O30" s="41">
        <v>570.81946677070266</v>
      </c>
      <c r="P30" s="41">
        <v>169.78315394209619</v>
      </c>
      <c r="Q30" s="41">
        <v>0.19192294471043439</v>
      </c>
      <c r="R30" s="41">
        <v>8.5099776828030702E-2</v>
      </c>
      <c r="S30" s="41">
        <v>-1.9698553123278539</v>
      </c>
      <c r="T30" s="41">
        <v>-10.5420683893636</v>
      </c>
    </row>
    <row r="31" spans="1:20" ht="18" customHeight="1" x14ac:dyDescent="0.15">
      <c r="A31" s="5" t="s">
        <v>26</v>
      </c>
      <c r="B31" s="6" t="s">
        <v>148</v>
      </c>
      <c r="C31" s="6" t="s">
        <v>141</v>
      </c>
      <c r="D31" s="6" t="s">
        <v>28</v>
      </c>
      <c r="E31" s="41">
        <v>3.6869850220475738E-2</v>
      </c>
      <c r="F31" s="41">
        <v>4.9231521697092346E-3</v>
      </c>
      <c r="G31" s="41">
        <v>4.6464666804404253E-2</v>
      </c>
      <c r="H31" s="41">
        <v>2.0730429980708488E-3</v>
      </c>
      <c r="I31" s="41">
        <v>-4.9177478736820782E-2</v>
      </c>
      <c r="J31" s="41">
        <v>3.1636122477750411E-2</v>
      </c>
      <c r="K31" s="41">
        <v>509.93306945380749</v>
      </c>
      <c r="L31" s="41">
        <v>164.51671751587821</v>
      </c>
      <c r="M31" s="41">
        <v>845.25770589474212</v>
      </c>
      <c r="N31" s="41">
        <v>110.7862200407284</v>
      </c>
      <c r="O31" s="41">
        <v>61.250217879213359</v>
      </c>
      <c r="P31" s="41">
        <v>24.08868228744862</v>
      </c>
      <c r="Q31" s="41">
        <v>8.3406691959191648E-2</v>
      </c>
      <c r="R31" s="41">
        <v>3.0677963891251579E-2</v>
      </c>
      <c r="S31" s="41">
        <v>-0.73196976541075853</v>
      </c>
      <c r="T31" s="41">
        <v>-10.247674602852539</v>
      </c>
    </row>
    <row r="32" spans="1:20" ht="18" customHeight="1" x14ac:dyDescent="0.15">
      <c r="A32" s="5" t="s">
        <v>26</v>
      </c>
      <c r="B32" s="6" t="s">
        <v>155</v>
      </c>
      <c r="C32" s="6" t="s">
        <v>150</v>
      </c>
      <c r="D32" s="6" t="s">
        <v>28</v>
      </c>
      <c r="E32" s="41">
        <v>3.6869850220475731E-2</v>
      </c>
      <c r="F32" s="41">
        <v>4.9231521697092346E-3</v>
      </c>
      <c r="G32" s="41">
        <v>2.2418858159125251E-2</v>
      </c>
      <c r="H32" s="41">
        <v>1.29849727594214E-3</v>
      </c>
      <c r="I32" s="41">
        <v>0.3474114526526747</v>
      </c>
      <c r="J32" s="41">
        <v>9.9077047056859796E-2</v>
      </c>
      <c r="K32" s="41">
        <v>1.138574640930184E-3</v>
      </c>
      <c r="L32" s="41">
        <v>2.256183765250463E-3</v>
      </c>
      <c r="M32" s="41">
        <v>5526.9287584507474</v>
      </c>
      <c r="N32" s="41">
        <v>6314.1153143520432</v>
      </c>
      <c r="O32" s="41">
        <v>571.18214875837975</v>
      </c>
      <c r="P32" s="41">
        <v>170.65935616017339</v>
      </c>
      <c r="Q32" s="41">
        <v>0.22408707485271689</v>
      </c>
      <c r="R32" s="41">
        <v>0.1078300408081162</v>
      </c>
      <c r="S32" s="41">
        <v>-1.9943724010081501</v>
      </c>
      <c r="T32" s="41">
        <v>-11.53228522677799</v>
      </c>
    </row>
    <row r="33" spans="1:20" ht="18" customHeight="1" x14ac:dyDescent="0.15">
      <c r="A33" s="5" t="s">
        <v>26</v>
      </c>
      <c r="B33" s="6" t="s">
        <v>163</v>
      </c>
      <c r="C33" s="6" t="s">
        <v>158</v>
      </c>
      <c r="D33" s="6" t="s">
        <v>28</v>
      </c>
      <c r="E33" s="41">
        <v>3.6869850220475731E-2</v>
      </c>
      <c r="F33" s="41">
        <v>4.9231521697092346E-3</v>
      </c>
      <c r="G33" s="41">
        <v>0.17456423109585381</v>
      </c>
      <c r="H33" s="41">
        <v>6.8238018893613779E-3</v>
      </c>
      <c r="I33" s="41">
        <v>0.24150424674222931</v>
      </c>
      <c r="J33" s="41">
        <v>4.4632718006739597E-2</v>
      </c>
      <c r="K33" s="41">
        <v>1.87317480904846E-3</v>
      </c>
      <c r="L33" s="41">
        <v>3.4158612009411501E-3</v>
      </c>
      <c r="M33" s="41">
        <v>9309.9716724248192</v>
      </c>
      <c r="N33" s="41">
        <v>2030.235754023555</v>
      </c>
      <c r="O33" s="41">
        <v>571.18141415821174</v>
      </c>
      <c r="P33" s="41">
        <v>170.65794313471599</v>
      </c>
      <c r="Q33" s="41">
        <v>0.1129654560534829</v>
      </c>
      <c r="R33" s="41">
        <v>3.8828029274562408E-2</v>
      </c>
      <c r="S33" s="41">
        <v>-1.993392880464671</v>
      </c>
      <c r="T33" s="41">
        <v>-11.53162223289798</v>
      </c>
    </row>
    <row r="34" spans="1:20" ht="18" customHeight="1" x14ac:dyDescent="0.15">
      <c r="A34" s="5" t="s">
        <v>26</v>
      </c>
      <c r="B34" s="6" t="s">
        <v>169</v>
      </c>
      <c r="C34" s="6" t="s">
        <v>165</v>
      </c>
      <c r="D34" s="6" t="s">
        <v>28</v>
      </c>
      <c r="E34" s="41">
        <v>3.6869850220475731E-2</v>
      </c>
      <c r="F34" s="41">
        <v>4.9231521697092346E-3</v>
      </c>
      <c r="G34" s="41">
        <v>7.3439813746900534E-2</v>
      </c>
      <c r="H34" s="41">
        <v>3.8589577421907239E-3</v>
      </c>
      <c r="I34" s="41">
        <v>0.23737607517379961</v>
      </c>
      <c r="J34" s="41">
        <v>4.9718842413523062E-2</v>
      </c>
      <c r="K34" s="41">
        <v>1.0547277080935689E-3</v>
      </c>
      <c r="L34" s="41">
        <v>8.7895871908587136E-4</v>
      </c>
      <c r="M34" s="41">
        <v>9922.0214337161251</v>
      </c>
      <c r="N34" s="41">
        <v>3093.1461265150801</v>
      </c>
      <c r="O34" s="41">
        <v>571.18223260531272</v>
      </c>
      <c r="P34" s="41">
        <v>170.6600099469367</v>
      </c>
      <c r="Q34" s="41">
        <v>0.110093769205495</v>
      </c>
      <c r="R34" s="41">
        <v>4.3322444503184079E-2</v>
      </c>
      <c r="S34" s="41">
        <v>-1.99381833341904</v>
      </c>
      <c r="T34" s="41">
        <v>-11.52216969948533</v>
      </c>
    </row>
    <row r="35" spans="1:20" ht="18" customHeight="1" x14ac:dyDescent="0.15">
      <c r="A35" s="5" t="s">
        <v>26</v>
      </c>
      <c r="B35" s="6" t="s">
        <v>180</v>
      </c>
      <c r="C35" s="6" t="s">
        <v>173</v>
      </c>
      <c r="D35" s="6" t="s">
        <v>28</v>
      </c>
      <c r="E35" s="41">
        <v>3.6869850220475731E-2</v>
      </c>
      <c r="F35" s="41">
        <v>4.9231521697092346E-3</v>
      </c>
      <c r="G35" s="41">
        <v>7.3485234147777773E-2</v>
      </c>
      <c r="H35" s="41">
        <v>2.0469219394906859E-3</v>
      </c>
      <c r="I35" s="41">
        <v>0.32760473475870661</v>
      </c>
      <c r="J35" s="41">
        <v>5.6459200696281298E-2</v>
      </c>
      <c r="K35" s="41">
        <v>1.439271096553643</v>
      </c>
      <c r="L35" s="41">
        <v>6.2701169263397842</v>
      </c>
      <c r="M35" s="41">
        <v>4673.3010419916754</v>
      </c>
      <c r="N35" s="41">
        <v>609.06187854690256</v>
      </c>
      <c r="O35" s="41">
        <v>569.74401623646713</v>
      </c>
      <c r="P35" s="41">
        <v>167.24538581863351</v>
      </c>
      <c r="Q35" s="41">
        <v>0.19747245931241189</v>
      </c>
      <c r="R35" s="41">
        <v>6.1788706713879961E-2</v>
      </c>
      <c r="S35" s="41">
        <v>-1.904276930680499</v>
      </c>
      <c r="T35" s="41">
        <v>-11.415703782440721</v>
      </c>
    </row>
    <row r="36" spans="1:20" ht="18" customHeight="1" x14ac:dyDescent="0.15">
      <c r="A36" s="5" t="s">
        <v>26</v>
      </c>
      <c r="B36" s="6" t="s">
        <v>185</v>
      </c>
      <c r="C36" s="6" t="s">
        <v>181</v>
      </c>
      <c r="D36" s="6" t="s">
        <v>28</v>
      </c>
      <c r="E36" s="41">
        <v>3.6869850220475731E-2</v>
      </c>
      <c r="F36" s="41">
        <v>4.9231521697092346E-3</v>
      </c>
      <c r="G36" s="41">
        <v>0.1249949171493115</v>
      </c>
      <c r="H36" s="41">
        <v>3.5223534646520878E-3</v>
      </c>
      <c r="I36" s="41">
        <v>0.37695162811167687</v>
      </c>
      <c r="J36" s="41">
        <v>6.221993404271986E-2</v>
      </c>
      <c r="K36" s="41">
        <v>0.62557679654913634</v>
      </c>
      <c r="L36" s="41">
        <v>2.724291564945486</v>
      </c>
      <c r="M36" s="41">
        <v>3386.9320936917438</v>
      </c>
      <c r="N36" s="41">
        <v>401.69444636224148</v>
      </c>
      <c r="O36" s="41">
        <v>570.55771053647163</v>
      </c>
      <c r="P36" s="41">
        <v>169.15612888791151</v>
      </c>
      <c r="Q36" s="41">
        <v>0.25199742809092218</v>
      </c>
      <c r="R36" s="41">
        <v>7.14280885635835E-2</v>
      </c>
      <c r="S36" s="41">
        <v>-1.986163900233805</v>
      </c>
      <c r="T36" s="41">
        <v>-11.51316991676824</v>
      </c>
    </row>
    <row r="37" spans="1:20" ht="18" customHeight="1" x14ac:dyDescent="0.15"/>
    <row r="38" spans="1:20" ht="76.5" customHeight="1" x14ac:dyDescent="0.15">
      <c r="A38" s="75" t="s">
        <v>393</v>
      </c>
      <c r="B38" s="75"/>
      <c r="C38" s="75"/>
      <c r="D38" s="75"/>
      <c r="E38" s="75"/>
      <c r="F38" s="75"/>
      <c r="G38" s="75"/>
      <c r="H38" s="75"/>
      <c r="I38" s="75"/>
      <c r="J38" s="75"/>
      <c r="K38" s="75"/>
      <c r="L38" s="75"/>
      <c r="M38" s="75"/>
    </row>
  </sheetData>
  <mergeCells count="2">
    <mergeCell ref="A1:L1"/>
    <mergeCell ref="A38:M38"/>
  </mergeCells>
  <phoneticPr fontId="5"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1"/>
  <sheetViews>
    <sheetView workbookViewId="0">
      <selection activeCell="J7" sqref="J7"/>
    </sheetView>
  </sheetViews>
  <sheetFormatPr defaultRowHeight="13.5" x14ac:dyDescent="0.15"/>
  <cols>
    <col min="1" max="1" width="46" customWidth="1"/>
    <col min="2" max="2" width="11" customWidth="1"/>
    <col min="3" max="3" width="6" customWidth="1"/>
    <col min="4" max="4" width="8.5" customWidth="1"/>
    <col min="5" max="5" width="17.625" customWidth="1"/>
    <col min="6" max="7" width="9" customWidth="1"/>
  </cols>
  <sheetData>
    <row r="1" spans="1:7" ht="18" customHeight="1" x14ac:dyDescent="0.15">
      <c r="A1" s="31" t="s">
        <v>394</v>
      </c>
    </row>
    <row r="2" spans="1:7" ht="18" customHeight="1" x14ac:dyDescent="0.15"/>
    <row r="3" spans="1:7" ht="18" customHeight="1" x14ac:dyDescent="0.15">
      <c r="A3" s="22" t="s">
        <v>395</v>
      </c>
      <c r="B3" s="20" t="s">
        <v>396</v>
      </c>
      <c r="C3" s="20" t="s">
        <v>397</v>
      </c>
      <c r="D3" s="20" t="s">
        <v>398</v>
      </c>
      <c r="E3" s="20" t="s">
        <v>399</v>
      </c>
      <c r="F3" s="20" t="s">
        <v>400</v>
      </c>
      <c r="G3" s="20" t="s">
        <v>401</v>
      </c>
    </row>
    <row r="4" spans="1:7" ht="18" customHeight="1" x14ac:dyDescent="0.15">
      <c r="A4" s="5" t="s">
        <v>402</v>
      </c>
      <c r="B4" s="7">
        <v>592.07000000000005</v>
      </c>
      <c r="C4" s="8">
        <v>44</v>
      </c>
      <c r="D4" s="37">
        <v>636.1</v>
      </c>
      <c r="E4" s="42" t="s">
        <v>202</v>
      </c>
      <c r="F4" s="43">
        <v>0.91020000000000001</v>
      </c>
      <c r="G4" s="43">
        <v>0.16950000000000001</v>
      </c>
    </row>
    <row r="5" spans="1:7" ht="18" customHeight="1" x14ac:dyDescent="0.15">
      <c r="A5" s="5" t="s">
        <v>403</v>
      </c>
      <c r="B5" s="7">
        <v>590.70000000000005</v>
      </c>
      <c r="C5" s="8">
        <v>43</v>
      </c>
      <c r="D5" s="37">
        <v>636.70000000000005</v>
      </c>
      <c r="E5" s="42" t="s">
        <v>202</v>
      </c>
      <c r="F5" s="43">
        <v>0.9103</v>
      </c>
      <c r="G5" s="43">
        <v>0.16689999999999999</v>
      </c>
    </row>
    <row r="6" spans="1:7" ht="18" customHeight="1" x14ac:dyDescent="0.15">
      <c r="A6" s="5" t="s">
        <v>404</v>
      </c>
      <c r="B6" s="7">
        <v>607.74</v>
      </c>
      <c r="C6" s="8">
        <v>53</v>
      </c>
      <c r="D6" s="37">
        <v>657.7</v>
      </c>
      <c r="E6" s="37">
        <v>59</v>
      </c>
      <c r="F6" s="43">
        <v>0.91080000000000005</v>
      </c>
      <c r="G6" s="43">
        <v>0.155</v>
      </c>
    </row>
    <row r="7" spans="1:7" ht="18" customHeight="1" x14ac:dyDescent="0.15">
      <c r="A7" s="5" t="s">
        <v>405</v>
      </c>
      <c r="B7" s="7">
        <v>625.32000000000005</v>
      </c>
      <c r="C7" s="8">
        <v>53</v>
      </c>
      <c r="D7" s="37">
        <v>675.3</v>
      </c>
      <c r="E7" s="37">
        <v>76.599999999999994</v>
      </c>
      <c r="F7" s="43">
        <v>0.90790000000000004</v>
      </c>
      <c r="G7" s="43">
        <v>0.16889999999999999</v>
      </c>
    </row>
    <row r="8" spans="1:7" ht="18" customHeight="1" x14ac:dyDescent="0.15">
      <c r="A8" s="5" t="s">
        <v>406</v>
      </c>
      <c r="B8" s="7">
        <v>601.99</v>
      </c>
      <c r="C8" s="8">
        <v>52</v>
      </c>
      <c r="D8" s="37">
        <v>654</v>
      </c>
      <c r="E8" s="37">
        <v>55.3</v>
      </c>
      <c r="F8" s="43">
        <v>0.91149999999999998</v>
      </c>
      <c r="G8" s="43">
        <v>0.15390000000000001</v>
      </c>
    </row>
    <row r="9" spans="1:7" ht="18" customHeight="1" x14ac:dyDescent="0.15">
      <c r="A9" s="23" t="s">
        <v>407</v>
      </c>
      <c r="B9" s="24">
        <v>540.71</v>
      </c>
      <c r="C9" s="25">
        <v>49</v>
      </c>
      <c r="D9" s="44">
        <v>598.70000000000005</v>
      </c>
      <c r="E9" s="44">
        <v>0</v>
      </c>
      <c r="F9" s="45">
        <v>0.92090000000000005</v>
      </c>
      <c r="G9" s="45">
        <v>0.11409999999999999</v>
      </c>
    </row>
    <row r="10" spans="1:7" ht="18" customHeight="1" x14ac:dyDescent="0.15"/>
    <row r="11" spans="1:7" ht="97.5" customHeight="1" x14ac:dyDescent="0.15">
      <c r="A11" s="75" t="s">
        <v>408</v>
      </c>
      <c r="B11" s="74"/>
      <c r="C11" s="74"/>
      <c r="D11" s="74"/>
      <c r="E11" s="74"/>
      <c r="F11" s="74"/>
      <c r="G11" s="74"/>
    </row>
  </sheetData>
  <mergeCells count="1">
    <mergeCell ref="A11:G11"/>
  </mergeCells>
  <phoneticPr fontId="5"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2"/>
  <sheetViews>
    <sheetView workbookViewId="0">
      <selection activeCell="A22" sqref="A22:H22"/>
    </sheetView>
  </sheetViews>
  <sheetFormatPr defaultRowHeight="13.5" x14ac:dyDescent="0.15"/>
  <cols>
    <col min="1" max="1" width="24" customWidth="1"/>
    <col min="2" max="2" width="22" customWidth="1"/>
    <col min="3" max="3" width="38" customWidth="1"/>
    <col min="4" max="4" width="10" customWidth="1"/>
    <col min="5" max="5" width="13.25" customWidth="1"/>
    <col min="6" max="6" width="10" customWidth="1"/>
    <col min="7" max="7" width="12" customWidth="1"/>
    <col min="8" max="8" width="13" customWidth="1"/>
  </cols>
  <sheetData>
    <row r="1" spans="1:8" ht="18" customHeight="1" x14ac:dyDescent="0.15">
      <c r="A1" s="76" t="s">
        <v>409</v>
      </c>
      <c r="B1" s="74"/>
      <c r="C1" s="74"/>
      <c r="D1" s="74"/>
      <c r="E1" s="74"/>
      <c r="F1" s="74"/>
      <c r="G1" s="74"/>
      <c r="H1" s="74"/>
    </row>
    <row r="2" spans="1:8" ht="18" customHeight="1" x14ac:dyDescent="0.15"/>
    <row r="3" spans="1:8" ht="18" customHeight="1" x14ac:dyDescent="0.15">
      <c r="A3" s="22" t="s">
        <v>410</v>
      </c>
      <c r="B3" s="20" t="s">
        <v>411</v>
      </c>
      <c r="C3" s="10" t="s">
        <v>412</v>
      </c>
      <c r="D3" s="10" t="s">
        <v>413</v>
      </c>
      <c r="E3" s="20" t="s">
        <v>356</v>
      </c>
      <c r="F3" s="26" t="s">
        <v>370</v>
      </c>
      <c r="G3" s="20" t="s">
        <v>414</v>
      </c>
      <c r="H3" s="10" t="s">
        <v>415</v>
      </c>
    </row>
    <row r="4" spans="1:8" ht="18" customHeight="1" x14ac:dyDescent="0.15">
      <c r="A4" s="12" t="s">
        <v>416</v>
      </c>
      <c r="B4" s="6" t="s">
        <v>417</v>
      </c>
      <c r="C4" s="6" t="s">
        <v>418</v>
      </c>
      <c r="D4" s="43">
        <v>0.81320000000000003</v>
      </c>
      <c r="E4" s="43">
        <v>2.3699999999999999E-2</v>
      </c>
      <c r="F4" s="46">
        <v>4.7799999999999972E-259</v>
      </c>
      <c r="G4" s="6" t="s">
        <v>419</v>
      </c>
      <c r="H4" s="47" t="s">
        <v>202</v>
      </c>
    </row>
    <row r="5" spans="1:8" ht="18" customHeight="1" x14ac:dyDescent="0.15">
      <c r="A5" s="5" t="s">
        <v>416</v>
      </c>
      <c r="B5" s="6" t="s">
        <v>417</v>
      </c>
      <c r="C5" s="6" t="s">
        <v>199</v>
      </c>
      <c r="D5" s="43">
        <v>0.73939999999999995</v>
      </c>
      <c r="E5" s="43">
        <v>1.7399999999999999E-2</v>
      </c>
      <c r="F5" s="48" t="s">
        <v>420</v>
      </c>
      <c r="G5" s="47" t="s">
        <v>419</v>
      </c>
      <c r="H5" s="47" t="s">
        <v>202</v>
      </c>
    </row>
    <row r="6" spans="1:8" ht="18" customHeight="1" x14ac:dyDescent="0.15">
      <c r="A6" s="5" t="s">
        <v>416</v>
      </c>
      <c r="B6" s="6" t="s">
        <v>417</v>
      </c>
      <c r="C6" s="6" t="s">
        <v>312</v>
      </c>
      <c r="D6" s="43">
        <v>0.69069999999999998</v>
      </c>
      <c r="E6" s="43">
        <v>1.61E-2</v>
      </c>
      <c r="F6" s="48" t="s">
        <v>421</v>
      </c>
      <c r="G6" s="47" t="s">
        <v>419</v>
      </c>
      <c r="H6" s="47" t="s">
        <v>202</v>
      </c>
    </row>
    <row r="7" spans="1:8" ht="18" customHeight="1" x14ac:dyDescent="0.15">
      <c r="A7" s="5" t="s">
        <v>416</v>
      </c>
      <c r="B7" s="6" t="s">
        <v>417</v>
      </c>
      <c r="C7" s="6" t="s">
        <v>364</v>
      </c>
      <c r="D7" s="43">
        <v>0.89890000000000003</v>
      </c>
      <c r="E7" s="43">
        <v>2.4400000000000002E-2</v>
      </c>
      <c r="F7" s="46">
        <v>1.0699999999999989E-297</v>
      </c>
      <c r="G7" s="6" t="s">
        <v>419</v>
      </c>
      <c r="H7" s="47" t="s">
        <v>202</v>
      </c>
    </row>
    <row r="8" spans="1:8" ht="18" customHeight="1" x14ac:dyDescent="0.15">
      <c r="A8" s="5" t="s">
        <v>416</v>
      </c>
      <c r="B8" s="6" t="s">
        <v>417</v>
      </c>
      <c r="C8" s="6" t="s">
        <v>70</v>
      </c>
      <c r="D8" s="43">
        <v>0.84350000000000003</v>
      </c>
      <c r="E8" s="43">
        <v>1.8499999999999999E-2</v>
      </c>
      <c r="F8" s="48" t="s">
        <v>422</v>
      </c>
      <c r="G8" s="47" t="s">
        <v>419</v>
      </c>
      <c r="H8" s="47" t="s">
        <v>202</v>
      </c>
    </row>
    <row r="9" spans="1:8" ht="18" customHeight="1" x14ac:dyDescent="0.15">
      <c r="A9" s="5" t="s">
        <v>416</v>
      </c>
      <c r="B9" s="6" t="s">
        <v>417</v>
      </c>
      <c r="C9" s="6" t="s">
        <v>109</v>
      </c>
      <c r="D9" s="43">
        <v>0.8871</v>
      </c>
      <c r="E9" s="43">
        <v>3.3500000000000002E-2</v>
      </c>
      <c r="F9" s="46">
        <v>1.1999999999999999E-154</v>
      </c>
      <c r="G9" s="6" t="s">
        <v>419</v>
      </c>
      <c r="H9" s="47" t="s">
        <v>202</v>
      </c>
    </row>
    <row r="10" spans="1:8" ht="18" customHeight="1" x14ac:dyDescent="0.15">
      <c r="A10" s="5" t="s">
        <v>416</v>
      </c>
      <c r="B10" s="6" t="s">
        <v>417</v>
      </c>
      <c r="C10" s="6" t="s">
        <v>165</v>
      </c>
      <c r="D10" s="43">
        <v>0.58020000000000005</v>
      </c>
      <c r="E10" s="43">
        <v>3.1099999999999999E-2</v>
      </c>
      <c r="F10" s="46">
        <v>1.3100000000000001E-77</v>
      </c>
      <c r="G10" s="6" t="s">
        <v>419</v>
      </c>
      <c r="H10" s="47" t="s">
        <v>202</v>
      </c>
    </row>
    <row r="11" spans="1:8" ht="18" customHeight="1" x14ac:dyDescent="0.15">
      <c r="A11" s="5" t="s">
        <v>416</v>
      </c>
      <c r="B11" s="6" t="s">
        <v>417</v>
      </c>
      <c r="C11" s="6" t="s">
        <v>316</v>
      </c>
      <c r="D11" s="43">
        <v>0.63790000000000002</v>
      </c>
      <c r="E11" s="43">
        <v>3.2300000000000002E-2</v>
      </c>
      <c r="F11" s="46">
        <v>1.3599999999999999E-86</v>
      </c>
      <c r="G11" s="6" t="s">
        <v>419</v>
      </c>
      <c r="H11" s="47" t="s">
        <v>202</v>
      </c>
    </row>
    <row r="12" spans="1:8" ht="18" customHeight="1" x14ac:dyDescent="0.15">
      <c r="A12" s="5" t="s">
        <v>416</v>
      </c>
      <c r="B12" s="6" t="s">
        <v>417</v>
      </c>
      <c r="C12" s="6" t="s">
        <v>345</v>
      </c>
      <c r="D12" s="43">
        <v>0.31519999999999998</v>
      </c>
      <c r="E12" s="43">
        <v>2.2200000000000001E-2</v>
      </c>
      <c r="F12" s="46">
        <v>1.08E-45</v>
      </c>
      <c r="G12" s="6" t="s">
        <v>419</v>
      </c>
      <c r="H12" s="47" t="s">
        <v>202</v>
      </c>
    </row>
    <row r="13" spans="1:8" ht="18" customHeight="1" x14ac:dyDescent="0.15">
      <c r="A13" s="5" t="s">
        <v>416</v>
      </c>
      <c r="B13" s="6" t="s">
        <v>417</v>
      </c>
      <c r="C13" s="6" t="s">
        <v>423</v>
      </c>
      <c r="D13" s="43">
        <v>0.27939999999999998</v>
      </c>
      <c r="E13" s="43">
        <v>3.9100000000000003E-2</v>
      </c>
      <c r="F13" s="46">
        <v>8.4600000000000003E-13</v>
      </c>
      <c r="G13" s="6" t="s">
        <v>419</v>
      </c>
      <c r="H13" s="47" t="s">
        <v>202</v>
      </c>
    </row>
    <row r="14" spans="1:8" ht="18" customHeight="1" x14ac:dyDescent="0.15">
      <c r="A14" s="5" t="s">
        <v>416</v>
      </c>
      <c r="B14" s="6" t="s">
        <v>417</v>
      </c>
      <c r="C14" s="6" t="s">
        <v>424</v>
      </c>
      <c r="D14" s="43">
        <v>0.1429</v>
      </c>
      <c r="E14" s="43">
        <v>4.0599999999999997E-2</v>
      </c>
      <c r="F14" s="46">
        <v>4.3100000000000001E-4</v>
      </c>
      <c r="G14" s="6" t="s">
        <v>419</v>
      </c>
      <c r="H14" s="47" t="s">
        <v>202</v>
      </c>
    </row>
    <row r="15" spans="1:8" ht="18" customHeight="1" x14ac:dyDescent="0.15">
      <c r="A15" s="5" t="s">
        <v>416</v>
      </c>
      <c r="B15" s="6" t="s">
        <v>425</v>
      </c>
      <c r="C15" s="6" t="s">
        <v>316</v>
      </c>
      <c r="D15" s="43">
        <v>0.37390000000000001</v>
      </c>
      <c r="E15" s="43">
        <v>0.1094</v>
      </c>
      <c r="F15" s="46">
        <v>6.3599999999999996E-4</v>
      </c>
      <c r="G15" s="6" t="s">
        <v>419</v>
      </c>
      <c r="H15" s="47" t="s">
        <v>202</v>
      </c>
    </row>
    <row r="16" spans="1:8" ht="18" customHeight="1" x14ac:dyDescent="0.15">
      <c r="A16" s="5" t="s">
        <v>416</v>
      </c>
      <c r="B16" s="6" t="s">
        <v>425</v>
      </c>
      <c r="C16" s="6" t="s">
        <v>345</v>
      </c>
      <c r="D16" s="43">
        <v>-5.0900000000000001E-2</v>
      </c>
      <c r="E16" s="43">
        <v>6.2600000000000003E-2</v>
      </c>
      <c r="F16" s="46">
        <v>0.41599999999999998</v>
      </c>
      <c r="G16" s="47" t="s">
        <v>202</v>
      </c>
      <c r="H16" s="47" t="s">
        <v>202</v>
      </c>
    </row>
    <row r="17" spans="1:8" ht="18" customHeight="1" x14ac:dyDescent="0.15">
      <c r="A17" s="5" t="s">
        <v>416</v>
      </c>
      <c r="B17" s="13" t="s">
        <v>425</v>
      </c>
      <c r="C17" s="6" t="s">
        <v>423</v>
      </c>
      <c r="D17" s="43">
        <v>1.0057</v>
      </c>
      <c r="E17" s="43">
        <v>0.18110000000000001</v>
      </c>
      <c r="F17" s="46">
        <v>2.81E-8</v>
      </c>
      <c r="G17" s="6" t="s">
        <v>419</v>
      </c>
      <c r="H17" s="47" t="s">
        <v>202</v>
      </c>
    </row>
    <row r="18" spans="1:8" ht="18" customHeight="1" x14ac:dyDescent="0.15">
      <c r="A18" s="5" t="s">
        <v>416</v>
      </c>
      <c r="B18" s="6" t="s">
        <v>425</v>
      </c>
      <c r="C18" s="6" t="s">
        <v>424</v>
      </c>
      <c r="D18" s="43">
        <v>0.78610000000000002</v>
      </c>
      <c r="E18" s="43">
        <v>0.1502</v>
      </c>
      <c r="F18" s="46">
        <v>1.6500000000000001E-7</v>
      </c>
      <c r="G18" s="6" t="s">
        <v>419</v>
      </c>
      <c r="H18" s="47" t="s">
        <v>202</v>
      </c>
    </row>
    <row r="19" spans="1:8" ht="18" customHeight="1" x14ac:dyDescent="0.15">
      <c r="A19" s="12" t="s">
        <v>426</v>
      </c>
      <c r="B19" s="6" t="s">
        <v>417</v>
      </c>
      <c r="C19" s="6" t="s">
        <v>427</v>
      </c>
      <c r="D19" s="43">
        <v>0.53100000000000003</v>
      </c>
      <c r="E19" s="43">
        <v>3.7499999999999999E-2</v>
      </c>
      <c r="F19" s="46">
        <v>1.5100000000000001E-45</v>
      </c>
      <c r="G19" s="6" t="s">
        <v>419</v>
      </c>
      <c r="H19" s="43">
        <v>0.28199999999999997</v>
      </c>
    </row>
    <row r="20" spans="1:8" ht="18" customHeight="1" x14ac:dyDescent="0.15">
      <c r="A20" s="23" t="s">
        <v>426</v>
      </c>
      <c r="B20" s="27" t="s">
        <v>425</v>
      </c>
      <c r="C20" s="27" t="s">
        <v>427</v>
      </c>
      <c r="D20" s="45">
        <v>0.43099999999999999</v>
      </c>
      <c r="E20" s="45">
        <v>0.1203</v>
      </c>
      <c r="F20" s="49">
        <v>3.4000000000000002E-4</v>
      </c>
      <c r="G20" s="27" t="s">
        <v>419</v>
      </c>
      <c r="H20" s="45">
        <v>0.18579999999999999</v>
      </c>
    </row>
    <row r="21" spans="1:8" ht="18" customHeight="1" x14ac:dyDescent="0.15"/>
    <row r="22" spans="1:8" ht="78" customHeight="1" x14ac:dyDescent="0.15">
      <c r="A22" s="75" t="s">
        <v>2100</v>
      </c>
      <c r="B22" s="74"/>
      <c r="C22" s="74"/>
      <c r="D22" s="74"/>
      <c r="E22" s="74"/>
      <c r="F22" s="74"/>
      <c r="G22" s="74"/>
      <c r="H22" s="74"/>
    </row>
  </sheetData>
  <mergeCells count="2">
    <mergeCell ref="A22:H22"/>
    <mergeCell ref="A1:H1"/>
  </mergeCells>
  <phoneticPr fontId="5"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8"/>
  <sheetViews>
    <sheetView workbookViewId="0">
      <selection activeCell="A18" sqref="A18:L18"/>
    </sheetView>
  </sheetViews>
  <sheetFormatPr defaultRowHeight="13.5" x14ac:dyDescent="0.15"/>
  <cols>
    <col min="1" max="1" width="38" customWidth="1"/>
    <col min="2" max="2" width="9" customWidth="1"/>
    <col min="3" max="3" width="10" customWidth="1"/>
    <col min="4" max="4" width="9.75" customWidth="1"/>
    <col min="5" max="5" width="9" customWidth="1"/>
    <col min="6" max="7" width="10" customWidth="1"/>
    <col min="8" max="8" width="17" customWidth="1"/>
    <col min="9" max="9" width="20" customWidth="1"/>
    <col min="10" max="10" width="11" customWidth="1"/>
    <col min="11" max="11" width="26.125" customWidth="1"/>
    <col min="12" max="12" width="16.875" customWidth="1"/>
  </cols>
  <sheetData>
    <row r="1" spans="1:12" ht="18" customHeight="1" x14ac:dyDescent="0.15">
      <c r="A1" s="76" t="s">
        <v>428</v>
      </c>
      <c r="B1" s="74"/>
      <c r="C1" s="74"/>
      <c r="D1" s="74"/>
      <c r="E1" s="74"/>
      <c r="F1" s="74"/>
      <c r="G1" s="74"/>
      <c r="H1" s="74"/>
      <c r="I1" s="74"/>
      <c r="J1" s="74"/>
      <c r="K1" s="74"/>
      <c r="L1" s="74"/>
    </row>
    <row r="2" spans="1:12" ht="18" customHeight="1" x14ac:dyDescent="0.15"/>
    <row r="3" spans="1:12" ht="18" customHeight="1" x14ac:dyDescent="0.15">
      <c r="A3" s="22" t="s">
        <v>429</v>
      </c>
      <c r="B3" s="20" t="s">
        <v>430</v>
      </c>
      <c r="C3" s="20" t="s">
        <v>431</v>
      </c>
      <c r="D3" s="20" t="s">
        <v>432</v>
      </c>
      <c r="E3" s="20" t="s">
        <v>433</v>
      </c>
      <c r="F3" s="20" t="s">
        <v>434</v>
      </c>
      <c r="G3" s="20" t="s">
        <v>435</v>
      </c>
      <c r="H3" s="20" t="s">
        <v>436</v>
      </c>
      <c r="I3" s="20" t="s">
        <v>437</v>
      </c>
      <c r="J3" s="20" t="s">
        <v>438</v>
      </c>
      <c r="K3" s="20" t="s">
        <v>439</v>
      </c>
      <c r="L3" s="20" t="s">
        <v>440</v>
      </c>
    </row>
    <row r="4" spans="1:12" ht="18" customHeight="1" x14ac:dyDescent="0.15">
      <c r="A4" s="5" t="s">
        <v>158</v>
      </c>
      <c r="B4" s="50" t="s">
        <v>441</v>
      </c>
      <c r="C4" s="50">
        <v>1.949999999999999E-133</v>
      </c>
      <c r="D4" s="50" t="s">
        <v>442</v>
      </c>
      <c r="E4" s="50" t="s">
        <v>443</v>
      </c>
      <c r="F4" s="50">
        <v>8.1199999999999994E-2</v>
      </c>
      <c r="G4" s="50">
        <v>0.151</v>
      </c>
      <c r="H4" s="6" t="s">
        <v>444</v>
      </c>
      <c r="I4" s="6" t="s">
        <v>445</v>
      </c>
      <c r="J4" s="50">
        <v>0.151</v>
      </c>
      <c r="K4" s="6" t="s">
        <v>446</v>
      </c>
      <c r="L4" s="50">
        <v>0.47299999999999998</v>
      </c>
    </row>
    <row r="5" spans="1:12" ht="18" customHeight="1" x14ac:dyDescent="0.15">
      <c r="A5" s="5" t="s">
        <v>363</v>
      </c>
      <c r="B5" s="50" t="s">
        <v>447</v>
      </c>
      <c r="C5" s="50">
        <v>3.2499999999999978E-235</v>
      </c>
      <c r="D5" s="50" t="s">
        <v>448</v>
      </c>
      <c r="E5" s="50" t="s">
        <v>449</v>
      </c>
      <c r="F5" s="50">
        <v>3.0800000000000001E-2</v>
      </c>
      <c r="G5" s="50">
        <v>6.6699999999999995E-2</v>
      </c>
      <c r="H5" s="6" t="s">
        <v>444</v>
      </c>
      <c r="I5" s="6" t="s">
        <v>450</v>
      </c>
      <c r="J5" s="50">
        <v>6.6699999999999995E-2</v>
      </c>
      <c r="K5" s="6" t="s">
        <v>451</v>
      </c>
      <c r="L5" s="50">
        <v>4.2000000000000003E-2</v>
      </c>
    </row>
    <row r="6" spans="1:12" ht="18" customHeight="1" x14ac:dyDescent="0.15">
      <c r="A6" s="5" t="s">
        <v>181</v>
      </c>
      <c r="B6" s="50" t="s">
        <v>452</v>
      </c>
      <c r="C6" s="50">
        <v>3.429999999999999E-118</v>
      </c>
      <c r="D6" s="50" t="s">
        <v>453</v>
      </c>
      <c r="E6" s="50" t="s">
        <v>454</v>
      </c>
      <c r="F6" s="50">
        <v>3.8600000000000002E-8</v>
      </c>
      <c r="G6" s="50">
        <v>5.0200000000000002E-7</v>
      </c>
      <c r="H6" s="6" t="s">
        <v>455</v>
      </c>
      <c r="I6" s="6" t="s">
        <v>456</v>
      </c>
      <c r="J6" s="50">
        <v>5.0200000000000002E-7</v>
      </c>
      <c r="K6" s="6" t="s">
        <v>457</v>
      </c>
      <c r="L6" s="50">
        <v>8.2799999999999992E-3</v>
      </c>
    </row>
    <row r="7" spans="1:12" ht="18" customHeight="1" x14ac:dyDescent="0.15">
      <c r="A7" s="5" t="s">
        <v>34</v>
      </c>
      <c r="B7" s="50" t="s">
        <v>458</v>
      </c>
      <c r="C7" s="50">
        <v>2.5599999999999989E-82</v>
      </c>
      <c r="D7" s="50" t="s">
        <v>459</v>
      </c>
      <c r="E7" s="50" t="s">
        <v>460</v>
      </c>
      <c r="F7" s="50">
        <v>9.4199999999999999E-5</v>
      </c>
      <c r="G7" s="50">
        <v>5.8500000000000002E-4</v>
      </c>
      <c r="H7" s="6" t="s">
        <v>455</v>
      </c>
      <c r="I7" s="6" t="s">
        <v>461</v>
      </c>
      <c r="J7" s="50">
        <v>5.8500000000000002E-4</v>
      </c>
      <c r="K7" s="6" t="s">
        <v>462</v>
      </c>
      <c r="L7" s="50">
        <v>2.07E-2</v>
      </c>
    </row>
    <row r="8" spans="1:12" ht="18" customHeight="1" x14ac:dyDescent="0.15">
      <c r="A8" s="5" t="s">
        <v>135</v>
      </c>
      <c r="B8" s="50" t="s">
        <v>463</v>
      </c>
      <c r="C8" s="50">
        <v>7.4199999999999962E-230</v>
      </c>
      <c r="D8" s="50" t="s">
        <v>464</v>
      </c>
      <c r="E8" s="50" t="s">
        <v>465</v>
      </c>
      <c r="F8" s="50">
        <v>1.35E-4</v>
      </c>
      <c r="G8" s="50">
        <v>5.8500000000000002E-4</v>
      </c>
      <c r="H8" s="6" t="s">
        <v>455</v>
      </c>
      <c r="I8" s="6" t="s">
        <v>466</v>
      </c>
      <c r="J8" s="50">
        <v>5.8500000000000002E-4</v>
      </c>
      <c r="K8" s="6" t="s">
        <v>467</v>
      </c>
      <c r="L8" s="50">
        <v>1.55E-2</v>
      </c>
    </row>
    <row r="9" spans="1:12" ht="18" customHeight="1" x14ac:dyDescent="0.15">
      <c r="A9" s="5" t="s">
        <v>59</v>
      </c>
      <c r="B9" s="50" t="s">
        <v>468</v>
      </c>
      <c r="C9" s="50">
        <v>2.8099999999999999E-46</v>
      </c>
      <c r="D9" s="50" t="s">
        <v>469</v>
      </c>
      <c r="E9" s="50" t="s">
        <v>470</v>
      </c>
      <c r="F9" s="50">
        <v>1.0999999999999999E-2</v>
      </c>
      <c r="G9" s="50">
        <v>2.86E-2</v>
      </c>
      <c r="H9" s="6" t="s">
        <v>471</v>
      </c>
      <c r="I9" s="6" t="s">
        <v>472</v>
      </c>
      <c r="J9" s="50">
        <v>2.86E-2</v>
      </c>
      <c r="K9" s="6" t="s">
        <v>473</v>
      </c>
      <c r="L9" s="50">
        <v>0.11899999999999999</v>
      </c>
    </row>
    <row r="10" spans="1:12" ht="18" customHeight="1" x14ac:dyDescent="0.15">
      <c r="A10" s="5" t="s">
        <v>189</v>
      </c>
      <c r="B10" s="50" t="s">
        <v>474</v>
      </c>
      <c r="C10" s="50">
        <v>1.85E-19</v>
      </c>
      <c r="D10" s="50" t="s">
        <v>475</v>
      </c>
      <c r="E10" s="50" t="s">
        <v>476</v>
      </c>
      <c r="F10" s="50">
        <v>0.872</v>
      </c>
      <c r="G10" s="50">
        <v>0.872</v>
      </c>
      <c r="H10" s="6" t="s">
        <v>444</v>
      </c>
      <c r="I10" s="6" t="s">
        <v>477</v>
      </c>
      <c r="J10" s="50">
        <v>0.872</v>
      </c>
      <c r="K10" s="6" t="s">
        <v>478</v>
      </c>
      <c r="L10" s="50">
        <v>0.65</v>
      </c>
    </row>
    <row r="11" spans="1:12" ht="18" customHeight="1" x14ac:dyDescent="0.15">
      <c r="A11" s="5" t="s">
        <v>90</v>
      </c>
      <c r="B11" s="50" t="s">
        <v>479</v>
      </c>
      <c r="C11" s="50">
        <v>2.5499999999999999E-51</v>
      </c>
      <c r="D11" s="50" t="s">
        <v>480</v>
      </c>
      <c r="E11" s="50" t="s">
        <v>481</v>
      </c>
      <c r="F11" s="50">
        <v>2.0100000000000001E-3</v>
      </c>
      <c r="G11" s="50">
        <v>6.5300000000000002E-3</v>
      </c>
      <c r="H11" s="6" t="s">
        <v>471</v>
      </c>
      <c r="I11" s="6" t="s">
        <v>482</v>
      </c>
      <c r="J11" s="50">
        <v>6.5300000000000002E-3</v>
      </c>
      <c r="K11" s="6" t="s">
        <v>483</v>
      </c>
      <c r="L11" s="50">
        <v>2.1600000000000001E-2</v>
      </c>
    </row>
    <row r="12" spans="1:12" ht="18" customHeight="1" x14ac:dyDescent="0.15">
      <c r="A12" s="5" t="s">
        <v>144</v>
      </c>
      <c r="B12" s="50" t="s">
        <v>484</v>
      </c>
      <c r="C12" s="50">
        <v>0.104</v>
      </c>
      <c r="D12" s="50" t="s">
        <v>485</v>
      </c>
      <c r="E12" s="50" t="s">
        <v>486</v>
      </c>
      <c r="F12" s="50">
        <v>0.31900000000000001</v>
      </c>
      <c r="G12" s="50">
        <v>0.41499999999999998</v>
      </c>
      <c r="H12" s="6" t="s">
        <v>444</v>
      </c>
      <c r="I12" s="6" t="s">
        <v>487</v>
      </c>
      <c r="J12" s="50">
        <v>0.41499999999999998</v>
      </c>
      <c r="K12" s="6" t="s">
        <v>488</v>
      </c>
      <c r="L12" s="50">
        <v>0.54600000000000004</v>
      </c>
    </row>
    <row r="13" spans="1:12" ht="18" customHeight="1" x14ac:dyDescent="0.15">
      <c r="A13" s="5" t="s">
        <v>119</v>
      </c>
      <c r="B13" s="50" t="s">
        <v>489</v>
      </c>
      <c r="C13" s="50">
        <v>1.7599999999999999E-9</v>
      </c>
      <c r="D13" s="50" t="s">
        <v>490</v>
      </c>
      <c r="E13" s="50" t="s">
        <v>491</v>
      </c>
      <c r="F13" s="50">
        <v>0.66100000000000003</v>
      </c>
      <c r="G13" s="50">
        <v>0.78100000000000003</v>
      </c>
      <c r="H13" s="6" t="s">
        <v>444</v>
      </c>
      <c r="I13" s="6" t="s">
        <v>492</v>
      </c>
      <c r="J13" s="50">
        <v>0.78100000000000003</v>
      </c>
      <c r="K13" s="6" t="s">
        <v>493</v>
      </c>
      <c r="L13" s="51" t="s">
        <v>202</v>
      </c>
    </row>
    <row r="14" spans="1:12" ht="18" customHeight="1" x14ac:dyDescent="0.15">
      <c r="A14" s="5" t="s">
        <v>55</v>
      </c>
      <c r="B14" s="50" t="s">
        <v>494</v>
      </c>
      <c r="C14" s="50">
        <v>1.18E-13</v>
      </c>
      <c r="D14" s="50" t="s">
        <v>495</v>
      </c>
      <c r="E14" s="50" t="s">
        <v>496</v>
      </c>
      <c r="F14" s="50">
        <v>0.10299999999999999</v>
      </c>
      <c r="G14" s="50">
        <v>0.16700000000000001</v>
      </c>
      <c r="H14" s="6" t="s">
        <v>444</v>
      </c>
      <c r="I14" s="6" t="s">
        <v>497</v>
      </c>
      <c r="J14" s="50">
        <v>0.16700000000000001</v>
      </c>
      <c r="K14" s="6" t="s">
        <v>498</v>
      </c>
      <c r="L14" s="50">
        <v>0.6</v>
      </c>
    </row>
    <row r="15" spans="1:12" ht="18" customHeight="1" x14ac:dyDescent="0.15">
      <c r="A15" s="5" t="s">
        <v>100</v>
      </c>
      <c r="B15" s="50" t="s">
        <v>499</v>
      </c>
      <c r="C15" s="50">
        <v>5.1699999999999978E-176</v>
      </c>
      <c r="D15" s="50" t="s">
        <v>500</v>
      </c>
      <c r="E15" s="50" t="s">
        <v>501</v>
      </c>
      <c r="F15" s="50">
        <v>0.14699999999999999</v>
      </c>
      <c r="G15" s="50">
        <v>0.21199999999999999</v>
      </c>
      <c r="H15" s="6" t="s">
        <v>444</v>
      </c>
      <c r="I15" s="6" t="s">
        <v>502</v>
      </c>
      <c r="J15" s="50">
        <v>0.21199999999999999</v>
      </c>
      <c r="K15" s="6" t="s">
        <v>503</v>
      </c>
      <c r="L15" s="50">
        <v>0.54600000000000004</v>
      </c>
    </row>
    <row r="16" spans="1:12" ht="18" customHeight="1" x14ac:dyDescent="0.15">
      <c r="A16" s="23" t="s">
        <v>173</v>
      </c>
      <c r="B16" s="52" t="s">
        <v>504</v>
      </c>
      <c r="C16" s="52">
        <v>1.1799999999999991E-218</v>
      </c>
      <c r="D16" s="52" t="s">
        <v>505</v>
      </c>
      <c r="E16" s="52" t="s">
        <v>506</v>
      </c>
      <c r="F16" s="52">
        <v>0.76600000000000001</v>
      </c>
      <c r="G16" s="52">
        <v>0.83</v>
      </c>
      <c r="H16" s="27" t="s">
        <v>444</v>
      </c>
      <c r="I16" s="27" t="s">
        <v>507</v>
      </c>
      <c r="J16" s="52">
        <v>0.83</v>
      </c>
      <c r="K16" s="27" t="s">
        <v>493</v>
      </c>
      <c r="L16" s="53" t="s">
        <v>202</v>
      </c>
    </row>
    <row r="17" spans="1:12" ht="18" customHeight="1" x14ac:dyDescent="0.15"/>
    <row r="18" spans="1:12" ht="57.75" customHeight="1" x14ac:dyDescent="0.15">
      <c r="A18" s="75" t="s">
        <v>2101</v>
      </c>
      <c r="B18" s="74"/>
      <c r="C18" s="74"/>
      <c r="D18" s="74"/>
      <c r="E18" s="74"/>
      <c r="F18" s="74"/>
      <c r="G18" s="74"/>
      <c r="H18" s="74"/>
      <c r="I18" s="74"/>
      <c r="J18" s="74"/>
      <c r="K18" s="74"/>
      <c r="L18" s="74"/>
    </row>
  </sheetData>
  <mergeCells count="2">
    <mergeCell ref="A1:L1"/>
    <mergeCell ref="A18:L18"/>
  </mergeCells>
  <phoneticPr fontId="5"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7"/>
  <sheetViews>
    <sheetView workbookViewId="0">
      <selection activeCell="A17" sqref="A17:E17"/>
    </sheetView>
  </sheetViews>
  <sheetFormatPr defaultRowHeight="13.5" x14ac:dyDescent="0.15"/>
  <cols>
    <col min="1" max="1" width="30" customWidth="1"/>
    <col min="2" max="2" width="24" customWidth="1"/>
    <col min="3" max="3" width="12" customWidth="1"/>
    <col min="4" max="4" width="24" customWidth="1"/>
    <col min="5" max="5" width="12" customWidth="1"/>
  </cols>
  <sheetData>
    <row r="1" spans="1:5" ht="18" customHeight="1" x14ac:dyDescent="0.15">
      <c r="A1" s="76" t="s">
        <v>508</v>
      </c>
      <c r="B1" s="74"/>
      <c r="C1" s="74"/>
      <c r="D1" s="74"/>
      <c r="E1" s="74"/>
    </row>
    <row r="2" spans="1:5" ht="18" customHeight="1" x14ac:dyDescent="0.15"/>
    <row r="3" spans="1:5" ht="18" customHeight="1" x14ac:dyDescent="0.15">
      <c r="A3" s="22" t="s">
        <v>2</v>
      </c>
      <c r="B3" s="20" t="s">
        <v>509</v>
      </c>
      <c r="C3" s="20" t="s">
        <v>510</v>
      </c>
      <c r="D3" s="20" t="s">
        <v>511</v>
      </c>
      <c r="E3" s="20" t="s">
        <v>512</v>
      </c>
    </row>
    <row r="4" spans="1:5" ht="18" customHeight="1" x14ac:dyDescent="0.15">
      <c r="A4" s="5" t="s">
        <v>194</v>
      </c>
      <c r="B4" s="6" t="s">
        <v>513</v>
      </c>
      <c r="C4" s="46">
        <v>6.8199999999999979E-141</v>
      </c>
      <c r="D4" s="6" t="s">
        <v>514</v>
      </c>
      <c r="E4" s="46">
        <v>9.8900000000000002E-11</v>
      </c>
    </row>
    <row r="5" spans="1:5" ht="18" customHeight="1" x14ac:dyDescent="0.15">
      <c r="A5" s="5" t="s">
        <v>205</v>
      </c>
      <c r="B5" s="6" t="s">
        <v>515</v>
      </c>
      <c r="C5" s="46">
        <v>1.619999999999999E-221</v>
      </c>
      <c r="D5" s="6" t="s">
        <v>516</v>
      </c>
      <c r="E5" s="46">
        <v>7.9200000000000006E-14</v>
      </c>
    </row>
    <row r="6" spans="1:5" ht="18" customHeight="1" x14ac:dyDescent="0.15">
      <c r="A6" s="5" t="s">
        <v>215</v>
      </c>
      <c r="B6" s="6" t="s">
        <v>517</v>
      </c>
      <c r="C6" s="46">
        <v>2.9999999999999989E-137</v>
      </c>
      <c r="D6" s="6" t="s">
        <v>518</v>
      </c>
      <c r="E6" s="46">
        <v>2.0000000000000001E-17</v>
      </c>
    </row>
    <row r="7" spans="1:5" ht="18" customHeight="1" x14ac:dyDescent="0.15">
      <c r="A7" s="5" t="s">
        <v>519</v>
      </c>
      <c r="B7" s="6" t="s">
        <v>520</v>
      </c>
      <c r="C7" s="46">
        <v>7.6099999999999977E-135</v>
      </c>
      <c r="D7" s="6" t="s">
        <v>521</v>
      </c>
      <c r="E7" s="46">
        <v>6.4600000000000003E-18</v>
      </c>
    </row>
    <row r="8" spans="1:5" ht="18" customHeight="1" x14ac:dyDescent="0.15">
      <c r="A8" s="5" t="s">
        <v>222</v>
      </c>
      <c r="B8" s="6" t="s">
        <v>522</v>
      </c>
      <c r="C8" s="46">
        <v>1.559999999999999E-232</v>
      </c>
      <c r="D8" s="6" t="s">
        <v>523</v>
      </c>
      <c r="E8" s="46">
        <v>1.48E-21</v>
      </c>
    </row>
    <row r="9" spans="1:5" ht="18" customHeight="1" x14ac:dyDescent="0.15">
      <c r="A9" s="5" t="s">
        <v>235</v>
      </c>
      <c r="B9" s="6" t="s">
        <v>524</v>
      </c>
      <c r="C9" s="46">
        <v>7.2599999999999991E-149</v>
      </c>
      <c r="D9" s="6" t="s">
        <v>525</v>
      </c>
      <c r="E9" s="46">
        <v>6.8299999999999998E-12</v>
      </c>
    </row>
    <row r="10" spans="1:5" ht="18" customHeight="1" x14ac:dyDescent="0.15">
      <c r="A10" s="5" t="s">
        <v>267</v>
      </c>
      <c r="B10" s="6" t="s">
        <v>526</v>
      </c>
      <c r="C10" s="46">
        <v>5.1399999999999993E-157</v>
      </c>
      <c r="D10" s="6" t="s">
        <v>527</v>
      </c>
      <c r="E10" s="46">
        <v>4.3399999999999996E-19</v>
      </c>
    </row>
    <row r="11" spans="1:5" ht="18" customHeight="1" x14ac:dyDescent="0.15">
      <c r="A11" s="5" t="s">
        <v>285</v>
      </c>
      <c r="B11" s="6" t="s">
        <v>528</v>
      </c>
      <c r="C11" s="46">
        <v>5.5399999999999991E-84</v>
      </c>
      <c r="D11" s="6" t="s">
        <v>529</v>
      </c>
      <c r="E11" s="46">
        <v>1.18E-4</v>
      </c>
    </row>
    <row r="12" spans="1:5" ht="18" customHeight="1" x14ac:dyDescent="0.15">
      <c r="A12" s="5" t="s">
        <v>530</v>
      </c>
      <c r="B12" s="6" t="s">
        <v>531</v>
      </c>
      <c r="C12" s="46">
        <v>5.2600000000000001E-48</v>
      </c>
      <c r="D12" s="6" t="s">
        <v>532</v>
      </c>
      <c r="E12" s="46">
        <v>8.3100000000000003E-10</v>
      </c>
    </row>
    <row r="13" spans="1:5" ht="18" customHeight="1" x14ac:dyDescent="0.15">
      <c r="A13" s="5" t="s">
        <v>302</v>
      </c>
      <c r="B13" s="6" t="s">
        <v>533</v>
      </c>
      <c r="C13" s="46">
        <v>6.7199999999999996E-45</v>
      </c>
      <c r="D13" s="6" t="s">
        <v>534</v>
      </c>
      <c r="E13" s="46">
        <v>7.4000000000000001E-7</v>
      </c>
    </row>
    <row r="14" spans="1:5" ht="18" customHeight="1" x14ac:dyDescent="0.15">
      <c r="A14" s="5" t="s">
        <v>332</v>
      </c>
      <c r="B14" s="6" t="s">
        <v>535</v>
      </c>
      <c r="C14" s="46">
        <v>2.1899999999999989E-134</v>
      </c>
      <c r="D14" s="6" t="s">
        <v>536</v>
      </c>
      <c r="E14" s="46">
        <v>2.54E-17</v>
      </c>
    </row>
    <row r="15" spans="1:5" ht="18" customHeight="1" x14ac:dyDescent="0.15">
      <c r="A15" s="23" t="s">
        <v>341</v>
      </c>
      <c r="B15" s="27" t="s">
        <v>537</v>
      </c>
      <c r="C15" s="49">
        <v>5.809999999999999E-117</v>
      </c>
      <c r="D15" s="27" t="s">
        <v>538</v>
      </c>
      <c r="E15" s="49">
        <v>1.43E-12</v>
      </c>
    </row>
    <row r="16" spans="1:5" ht="18" customHeight="1" x14ac:dyDescent="0.15"/>
    <row r="17" spans="1:5" ht="70.5" customHeight="1" x14ac:dyDescent="0.15">
      <c r="A17" s="75" t="s">
        <v>2102</v>
      </c>
      <c r="B17" s="74"/>
      <c r="C17" s="74"/>
      <c r="D17" s="74"/>
      <c r="E17" s="74"/>
    </row>
  </sheetData>
  <mergeCells count="2">
    <mergeCell ref="A1:E1"/>
    <mergeCell ref="A17:E17"/>
  </mergeCells>
  <phoneticPr fontId="5"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22"/>
  <sheetViews>
    <sheetView workbookViewId="0">
      <selection activeCell="A22" sqref="A22:G22"/>
    </sheetView>
  </sheetViews>
  <sheetFormatPr defaultRowHeight="13.5" x14ac:dyDescent="0.15"/>
  <cols>
    <col min="1" max="1" width="32" customWidth="1"/>
    <col min="2" max="2" width="17" customWidth="1"/>
    <col min="3" max="3" width="10" customWidth="1"/>
    <col min="4" max="4" width="10.75" customWidth="1"/>
    <col min="5" max="5" width="17.25" customWidth="1"/>
    <col min="6" max="6" width="16.875" customWidth="1"/>
    <col min="7" max="7" width="17.25" customWidth="1"/>
    <col min="8" max="8" width="16.25" customWidth="1"/>
    <col min="9" max="9" width="19.25" customWidth="1"/>
    <col min="10" max="10" width="19.75" customWidth="1"/>
    <col min="11" max="11" width="24.5" customWidth="1"/>
    <col min="12" max="12" width="23.625" customWidth="1"/>
    <col min="13" max="13" width="22.875" customWidth="1"/>
    <col min="14" max="14" width="22.5" customWidth="1"/>
  </cols>
  <sheetData>
    <row r="1" spans="1:14" ht="18" customHeight="1" x14ac:dyDescent="0.15">
      <c r="A1" s="76" t="s">
        <v>539</v>
      </c>
      <c r="B1" s="74"/>
      <c r="C1" s="74"/>
      <c r="D1" s="74"/>
      <c r="E1" s="74"/>
      <c r="F1" s="74"/>
      <c r="G1" s="74"/>
      <c r="H1" s="74"/>
      <c r="I1" s="74"/>
      <c r="J1" s="74"/>
      <c r="K1" s="74"/>
      <c r="L1" s="74"/>
      <c r="M1" s="74"/>
      <c r="N1" s="74"/>
    </row>
    <row r="2" spans="1:14" ht="18" customHeight="1" x14ac:dyDescent="0.15"/>
    <row r="3" spans="1:14" ht="36.75" customHeight="1" x14ac:dyDescent="0.15">
      <c r="A3" s="28" t="s">
        <v>540</v>
      </c>
      <c r="B3" s="29" t="s">
        <v>436</v>
      </c>
      <c r="C3" s="29" t="s">
        <v>541</v>
      </c>
      <c r="D3" s="29" t="s">
        <v>542</v>
      </c>
      <c r="E3" s="29" t="s">
        <v>543</v>
      </c>
      <c r="F3" s="29" t="s">
        <v>544</v>
      </c>
      <c r="G3" s="29" t="s">
        <v>545</v>
      </c>
      <c r="H3" s="29" t="s">
        <v>546</v>
      </c>
      <c r="I3" s="29" t="s">
        <v>547</v>
      </c>
      <c r="J3" s="29" t="s">
        <v>548</v>
      </c>
      <c r="K3" s="29" t="s">
        <v>549</v>
      </c>
      <c r="L3" s="29" t="s">
        <v>550</v>
      </c>
      <c r="M3" s="29" t="s">
        <v>551</v>
      </c>
      <c r="N3" s="29" t="s">
        <v>552</v>
      </c>
    </row>
    <row r="4" spans="1:14" ht="18" customHeight="1" x14ac:dyDescent="0.15">
      <c r="A4" s="5" t="s">
        <v>364</v>
      </c>
      <c r="B4" s="6"/>
      <c r="C4" s="50">
        <v>0.44479999999999997</v>
      </c>
      <c r="D4" s="54">
        <v>3.0499999999999999E-15</v>
      </c>
      <c r="E4" s="50">
        <v>0.30819999999999997</v>
      </c>
      <c r="F4" s="54">
        <v>2.73E-8</v>
      </c>
      <c r="G4" s="50">
        <v>0.2475</v>
      </c>
      <c r="H4" s="54">
        <v>2.0400000000000001E-5</v>
      </c>
      <c r="I4" s="50">
        <v>0.40150000000000002</v>
      </c>
      <c r="J4" s="54">
        <v>2.1799999999999998E-11</v>
      </c>
      <c r="K4" s="50">
        <v>0.24060000000000001</v>
      </c>
      <c r="L4" s="54">
        <v>2.0000000000000002E-5</v>
      </c>
      <c r="M4" s="50">
        <v>0.16200000000000001</v>
      </c>
      <c r="N4" s="50">
        <v>2.3E-2</v>
      </c>
    </row>
    <row r="5" spans="1:14" ht="18" customHeight="1" x14ac:dyDescent="0.15">
      <c r="A5" s="5" t="s">
        <v>135</v>
      </c>
      <c r="B5" s="6" t="s">
        <v>455</v>
      </c>
      <c r="C5" s="50">
        <v>0.39679999999999999</v>
      </c>
      <c r="D5" s="54">
        <v>7.7999999999999999E-10</v>
      </c>
      <c r="E5" s="50">
        <v>0.33360000000000001</v>
      </c>
      <c r="F5" s="54">
        <v>1.6899999999999999E-6</v>
      </c>
      <c r="G5" s="50">
        <v>0.21690000000000001</v>
      </c>
      <c r="H5" s="50">
        <v>3.15E-3</v>
      </c>
      <c r="I5" s="50">
        <v>0.35060000000000002</v>
      </c>
      <c r="J5" s="54">
        <v>5.6300000000000005E-7</v>
      </c>
      <c r="K5" s="50">
        <v>0.23280000000000001</v>
      </c>
      <c r="L5" s="50">
        <v>1.2899999999999999E-3</v>
      </c>
      <c r="M5" s="50">
        <v>0.27589999999999998</v>
      </c>
      <c r="N5" s="50">
        <v>2.97E-3</v>
      </c>
    </row>
    <row r="6" spans="1:14" ht="18" customHeight="1" x14ac:dyDescent="0.15">
      <c r="A6" s="5" t="s">
        <v>173</v>
      </c>
      <c r="B6" s="6" t="s">
        <v>444</v>
      </c>
      <c r="C6" s="50">
        <v>0.38500000000000001</v>
      </c>
      <c r="D6" s="54">
        <v>1.0099999999999999E-11</v>
      </c>
      <c r="E6" s="50">
        <v>0.24590000000000001</v>
      </c>
      <c r="F6" s="54">
        <v>2.69E-5</v>
      </c>
      <c r="G6" s="50">
        <v>0.2326</v>
      </c>
      <c r="H6" s="50">
        <v>2.3699999999999999E-4</v>
      </c>
      <c r="I6" s="50">
        <v>0.3624</v>
      </c>
      <c r="J6" s="54">
        <v>2.4699999999999999E-9</v>
      </c>
      <c r="K6" s="50">
        <v>0.19070000000000001</v>
      </c>
      <c r="L6" s="50">
        <v>1.6199999999999999E-3</v>
      </c>
      <c r="M6" s="50">
        <v>0.24640000000000001</v>
      </c>
      <c r="N6" s="50">
        <v>1.0200000000000001E-3</v>
      </c>
    </row>
    <row r="7" spans="1:14" ht="18" customHeight="1" x14ac:dyDescent="0.15">
      <c r="A7" s="5" t="s">
        <v>70</v>
      </c>
      <c r="B7" s="6"/>
      <c r="C7" s="50">
        <v>0.37340000000000001</v>
      </c>
      <c r="D7" s="54">
        <v>2.4300000000000002E-13</v>
      </c>
      <c r="E7" s="50">
        <v>0.21</v>
      </c>
      <c r="F7" s="54">
        <v>4.35E-5</v>
      </c>
      <c r="G7" s="50">
        <v>0.19239999999999999</v>
      </c>
      <c r="H7" s="50">
        <v>5.4000000000000001E-4</v>
      </c>
      <c r="I7" s="50">
        <v>0.33019999999999999</v>
      </c>
      <c r="J7" s="54">
        <v>1.5300000000000001E-9</v>
      </c>
      <c r="K7" s="50">
        <v>0.1757</v>
      </c>
      <c r="L7" s="50">
        <v>1.32E-3</v>
      </c>
      <c r="M7" s="50">
        <v>0.14879999999999999</v>
      </c>
      <c r="N7" s="50">
        <v>2.8500000000000001E-2</v>
      </c>
    </row>
    <row r="8" spans="1:14" ht="18" customHeight="1" x14ac:dyDescent="0.15">
      <c r="A8" s="5" t="s">
        <v>181</v>
      </c>
      <c r="B8" s="6" t="s">
        <v>455</v>
      </c>
      <c r="C8" s="50">
        <v>0.35539999999999999</v>
      </c>
      <c r="D8" s="54">
        <v>1.4200000000000001E-9</v>
      </c>
      <c r="E8" s="50">
        <v>0.32690000000000002</v>
      </c>
      <c r="F8" s="54">
        <v>4.4200000000000001E-7</v>
      </c>
      <c r="G8" s="50">
        <v>0.1779</v>
      </c>
      <c r="H8" s="50">
        <v>7.9500000000000005E-3</v>
      </c>
      <c r="I8" s="50">
        <v>0.30590000000000001</v>
      </c>
      <c r="J8" s="54">
        <v>1.0100000000000001E-6</v>
      </c>
      <c r="K8" s="50">
        <v>0.223</v>
      </c>
      <c r="L8" s="50">
        <v>9.2500000000000004E-4</v>
      </c>
      <c r="M8" s="50">
        <v>0.16889999999999999</v>
      </c>
      <c r="N8" s="50">
        <v>4.2200000000000001E-2</v>
      </c>
    </row>
    <row r="9" spans="1:14" ht="18" customHeight="1" x14ac:dyDescent="0.15">
      <c r="A9" s="5" t="s">
        <v>109</v>
      </c>
      <c r="B9" s="6"/>
      <c r="C9" s="50">
        <v>0.35220000000000001</v>
      </c>
      <c r="D9" s="54">
        <v>6.8400000000000002E-10</v>
      </c>
      <c r="E9" s="50">
        <v>0.19009999999999999</v>
      </c>
      <c r="F9" s="50">
        <v>1.9E-3</v>
      </c>
      <c r="G9" s="50">
        <v>0.18429999999999999</v>
      </c>
      <c r="H9" s="50">
        <v>4.0600000000000002E-3</v>
      </c>
      <c r="I9" s="50">
        <v>0.3044</v>
      </c>
      <c r="J9" s="54">
        <v>8.8199999999999998E-7</v>
      </c>
      <c r="K9" s="50">
        <v>0.1787</v>
      </c>
      <c r="L9" s="50">
        <v>6.0699999999999999E-3</v>
      </c>
      <c r="M9" s="50">
        <v>0.14799999999999999</v>
      </c>
      <c r="N9" s="50">
        <v>4.9799999999999997E-2</v>
      </c>
    </row>
    <row r="10" spans="1:14" ht="18" customHeight="1" x14ac:dyDescent="0.15">
      <c r="A10" s="5" t="s">
        <v>165</v>
      </c>
      <c r="B10" s="6"/>
      <c r="C10" s="50">
        <v>0.33679999999999999</v>
      </c>
      <c r="D10" s="54">
        <v>1.8500000000000001E-6</v>
      </c>
      <c r="E10" s="50">
        <v>0.27129999999999999</v>
      </c>
      <c r="F10" s="50">
        <v>3.2899999999999997E-4</v>
      </c>
      <c r="G10" s="50">
        <v>0.1192</v>
      </c>
      <c r="H10" s="50">
        <v>0.13500000000000001</v>
      </c>
      <c r="I10" s="50">
        <v>0.2727</v>
      </c>
      <c r="J10" s="50">
        <v>2.6699999999999998E-4</v>
      </c>
      <c r="K10" s="50">
        <v>0.1565</v>
      </c>
      <c r="L10" s="50">
        <v>4.9099999999999998E-2</v>
      </c>
      <c r="M10" s="50">
        <v>0.48399999999999999</v>
      </c>
      <c r="N10" s="54">
        <v>2.39E-6</v>
      </c>
    </row>
    <row r="11" spans="1:14" ht="18" customHeight="1" x14ac:dyDescent="0.15">
      <c r="A11" s="5" t="s">
        <v>80</v>
      </c>
      <c r="B11" s="6" t="s">
        <v>444</v>
      </c>
      <c r="C11" s="50">
        <v>0.29459999999999997</v>
      </c>
      <c r="D11" s="54">
        <v>2.7700000000000002E-9</v>
      </c>
      <c r="E11" s="50">
        <v>0.23530000000000001</v>
      </c>
      <c r="F11" s="54">
        <v>5.0599999999999998E-6</v>
      </c>
      <c r="G11" s="50">
        <v>0.1057</v>
      </c>
      <c r="H11" s="50">
        <v>5.4300000000000001E-2</v>
      </c>
      <c r="I11" s="50">
        <v>0.24990000000000001</v>
      </c>
      <c r="J11" s="54">
        <v>2.7300000000000001E-6</v>
      </c>
      <c r="K11" s="50">
        <v>0.13300000000000001</v>
      </c>
      <c r="L11" s="50">
        <v>1.2500000000000001E-2</v>
      </c>
      <c r="M11" s="50">
        <v>0.28160000000000002</v>
      </c>
      <c r="N11" s="50">
        <v>7.7799999999999994E-5</v>
      </c>
    </row>
    <row r="12" spans="1:14" ht="18" customHeight="1" x14ac:dyDescent="0.15">
      <c r="A12" s="5" t="s">
        <v>34</v>
      </c>
      <c r="B12" s="6" t="s">
        <v>455</v>
      </c>
      <c r="C12" s="50">
        <v>0.24829999999999999</v>
      </c>
      <c r="D12" s="50">
        <v>4.7199999999999998E-4</v>
      </c>
      <c r="E12" s="50">
        <v>0.18210000000000001</v>
      </c>
      <c r="F12" s="50">
        <v>1.7100000000000001E-2</v>
      </c>
      <c r="G12" s="50">
        <v>4.4600000000000001E-2</v>
      </c>
      <c r="H12" s="50">
        <v>0.57499999999999996</v>
      </c>
      <c r="I12" s="50">
        <v>0.19989999999999999</v>
      </c>
      <c r="J12" s="50">
        <v>8.5199999999999998E-3</v>
      </c>
      <c r="K12" s="50">
        <v>4.5900000000000003E-2</v>
      </c>
      <c r="L12" s="50">
        <v>0.57799999999999996</v>
      </c>
      <c r="M12" s="50">
        <v>0.2155</v>
      </c>
      <c r="N12" s="50">
        <v>2.4500000000000001E-2</v>
      </c>
    </row>
    <row r="13" spans="1:14" ht="18" customHeight="1" x14ac:dyDescent="0.15">
      <c r="A13" s="5" t="s">
        <v>158</v>
      </c>
      <c r="B13" s="6" t="s">
        <v>444</v>
      </c>
      <c r="C13" s="50">
        <v>0.20330000000000001</v>
      </c>
      <c r="D13" s="54">
        <v>4.5600000000000004E-6</v>
      </c>
      <c r="E13" s="50">
        <v>0.10199999999999999</v>
      </c>
      <c r="F13" s="50">
        <v>3.2500000000000001E-2</v>
      </c>
      <c r="G13" s="50">
        <v>0.1298</v>
      </c>
      <c r="H13" s="50">
        <v>1.2800000000000001E-2</v>
      </c>
      <c r="I13" s="50">
        <v>0.19989999999999999</v>
      </c>
      <c r="J13" s="54">
        <v>4.4100000000000001E-5</v>
      </c>
      <c r="K13" s="50">
        <v>9.0300000000000005E-2</v>
      </c>
      <c r="L13" s="50">
        <v>7.2800000000000004E-2</v>
      </c>
      <c r="M13" s="50">
        <v>6.2399999999999997E-2</v>
      </c>
      <c r="N13" s="50">
        <v>0.314</v>
      </c>
    </row>
    <row r="14" spans="1:14" ht="18" customHeight="1" x14ac:dyDescent="0.15">
      <c r="A14" s="5" t="s">
        <v>100</v>
      </c>
      <c r="B14" s="6" t="s">
        <v>444</v>
      </c>
      <c r="C14" s="50">
        <v>0.19220000000000001</v>
      </c>
      <c r="D14" s="54">
        <v>2.16E-7</v>
      </c>
      <c r="E14" s="50">
        <v>7.2400000000000006E-2</v>
      </c>
      <c r="F14" s="50">
        <v>6.13E-2</v>
      </c>
      <c r="G14" s="50">
        <v>0.11890000000000001</v>
      </c>
      <c r="H14" s="50">
        <v>5.5500000000000002E-3</v>
      </c>
      <c r="I14" s="50">
        <v>0.1799</v>
      </c>
      <c r="J14" s="54">
        <v>6.8399999999999997E-6</v>
      </c>
      <c r="K14" s="50">
        <v>7.0699999999999999E-2</v>
      </c>
      <c r="L14" s="50">
        <v>8.5400000000000004E-2</v>
      </c>
      <c r="M14" s="50">
        <v>0.1772</v>
      </c>
      <c r="N14" s="50">
        <v>5.2599999999999999E-4</v>
      </c>
    </row>
    <row r="15" spans="1:14" ht="18" customHeight="1" x14ac:dyDescent="0.15">
      <c r="A15" s="5" t="s">
        <v>189</v>
      </c>
      <c r="B15" s="6" t="s">
        <v>444</v>
      </c>
      <c r="C15" s="50">
        <v>0.1615</v>
      </c>
      <c r="D15" s="50">
        <v>0.108</v>
      </c>
      <c r="E15" s="50">
        <v>0.1245</v>
      </c>
      <c r="F15" s="50">
        <v>0.27500000000000002</v>
      </c>
      <c r="G15" s="50">
        <v>0.14149999999999999</v>
      </c>
      <c r="H15" s="50">
        <v>0.216</v>
      </c>
      <c r="I15" s="50">
        <v>0.1431</v>
      </c>
      <c r="J15" s="50">
        <v>0.183</v>
      </c>
      <c r="K15" s="50">
        <v>0.1381</v>
      </c>
      <c r="L15" s="50">
        <v>0.24199999999999999</v>
      </c>
      <c r="M15" s="50">
        <v>7.6600000000000001E-2</v>
      </c>
      <c r="N15" s="50">
        <v>0.57799999999999996</v>
      </c>
    </row>
    <row r="16" spans="1:14" ht="18" customHeight="1" x14ac:dyDescent="0.15">
      <c r="A16" s="5" t="s">
        <v>59</v>
      </c>
      <c r="B16" s="6" t="s">
        <v>471</v>
      </c>
      <c r="C16" s="50">
        <v>0.1038</v>
      </c>
      <c r="D16" s="50">
        <v>2.8799999999999999E-2</v>
      </c>
      <c r="E16" s="50">
        <v>2.8899999999999999E-2</v>
      </c>
      <c r="F16" s="50">
        <v>0.56200000000000006</v>
      </c>
      <c r="G16" s="50">
        <v>8.0100000000000005E-2</v>
      </c>
      <c r="H16" s="50">
        <v>0.14199999999999999</v>
      </c>
      <c r="I16" s="50">
        <v>0.1139</v>
      </c>
      <c r="J16" s="50">
        <v>2.4400000000000002E-2</v>
      </c>
      <c r="K16" s="50">
        <v>2.1299999999999999E-2</v>
      </c>
      <c r="L16" s="50">
        <v>0.69399999999999995</v>
      </c>
      <c r="M16" s="50">
        <v>-1.8E-3</v>
      </c>
      <c r="N16" s="50">
        <v>0.97799999999999998</v>
      </c>
    </row>
    <row r="17" spans="1:14" ht="18" customHeight="1" x14ac:dyDescent="0.15">
      <c r="A17" s="5" t="s">
        <v>119</v>
      </c>
      <c r="B17" s="6" t="s">
        <v>444</v>
      </c>
      <c r="C17" s="50">
        <v>7.8200000000000006E-2</v>
      </c>
      <c r="D17" s="50">
        <v>0.316</v>
      </c>
      <c r="E17" s="50">
        <v>2.76E-2</v>
      </c>
      <c r="F17" s="50">
        <v>0.75</v>
      </c>
      <c r="G17" s="50">
        <v>7.7499999999999999E-2</v>
      </c>
      <c r="H17" s="50">
        <v>0.40699999999999997</v>
      </c>
      <c r="I17" s="50">
        <v>9.8699999999999996E-2</v>
      </c>
      <c r="J17" s="50">
        <v>0.245</v>
      </c>
      <c r="K17" s="50">
        <v>5.6500000000000002E-2</v>
      </c>
      <c r="L17" s="50">
        <v>0.54600000000000004</v>
      </c>
      <c r="M17" s="50">
        <v>-8.1500000000000003E-2</v>
      </c>
      <c r="N17" s="50">
        <v>0.46600000000000003</v>
      </c>
    </row>
    <row r="18" spans="1:14" ht="18" customHeight="1" x14ac:dyDescent="0.15">
      <c r="A18" s="5" t="s">
        <v>55</v>
      </c>
      <c r="B18" s="6"/>
      <c r="C18" s="50">
        <v>-2.0999999999999999E-3</v>
      </c>
      <c r="D18" s="50">
        <v>0.97199999999999998</v>
      </c>
      <c r="E18" s="50">
        <v>-1.9199999999999998E-2</v>
      </c>
      <c r="F18" s="50">
        <v>0.76300000000000001</v>
      </c>
      <c r="G18" s="50">
        <v>-2.76E-2</v>
      </c>
      <c r="H18" s="50">
        <v>0.68300000000000005</v>
      </c>
      <c r="I18" s="50">
        <v>-1.17E-2</v>
      </c>
      <c r="J18" s="50">
        <v>0.85299999999999998</v>
      </c>
      <c r="K18" s="50">
        <v>-2.3099999999999999E-2</v>
      </c>
      <c r="L18" s="50">
        <v>0.72799999999999998</v>
      </c>
      <c r="M18" s="50">
        <v>-3.5000000000000003E-2</v>
      </c>
      <c r="N18" s="50">
        <v>0.65300000000000002</v>
      </c>
    </row>
    <row r="19" spans="1:14" ht="18" customHeight="1" x14ac:dyDescent="0.15">
      <c r="A19" s="5" t="s">
        <v>90</v>
      </c>
      <c r="B19" s="6" t="s">
        <v>471</v>
      </c>
      <c r="C19" s="50">
        <v>-1.3100000000000001E-2</v>
      </c>
      <c r="D19" s="50">
        <v>0.84699999999999998</v>
      </c>
      <c r="E19" s="50">
        <v>-7.4300000000000005E-2</v>
      </c>
      <c r="F19" s="50">
        <v>0.28599999999999998</v>
      </c>
      <c r="G19" s="50">
        <v>-3.6400000000000002E-2</v>
      </c>
      <c r="H19" s="50">
        <v>0.61399999999999999</v>
      </c>
      <c r="I19" s="50">
        <v>-4.1700000000000001E-2</v>
      </c>
      <c r="J19" s="50">
        <v>0.55900000000000005</v>
      </c>
      <c r="K19" s="50">
        <v>8.5000000000000006E-3</v>
      </c>
      <c r="L19" s="50">
        <v>0.9</v>
      </c>
      <c r="M19" s="50">
        <v>4.9200000000000001E-2</v>
      </c>
      <c r="N19" s="50">
        <v>0.56699999999999995</v>
      </c>
    </row>
    <row r="20" spans="1:14" ht="18" customHeight="1" x14ac:dyDescent="0.15">
      <c r="A20" s="23" t="s">
        <v>141</v>
      </c>
      <c r="B20" s="27" t="s">
        <v>444</v>
      </c>
      <c r="C20" s="52">
        <v>-2.2599999999999999E-2</v>
      </c>
      <c r="D20" s="52">
        <v>0.70899999999999996</v>
      </c>
      <c r="E20" s="52">
        <v>-3.6299999999999999E-2</v>
      </c>
      <c r="F20" s="52">
        <v>0.58699999999999997</v>
      </c>
      <c r="G20" s="52">
        <v>-2.4899999999999999E-2</v>
      </c>
      <c r="H20" s="52">
        <v>0.73299999999999998</v>
      </c>
      <c r="I20" s="52">
        <v>-3.0099999999999998E-2</v>
      </c>
      <c r="J20" s="52">
        <v>0.65300000000000002</v>
      </c>
      <c r="K20" s="52">
        <v>-4.1700000000000001E-2</v>
      </c>
      <c r="L20" s="52">
        <v>0.56000000000000005</v>
      </c>
      <c r="M20" s="52">
        <v>3.4099999999999998E-2</v>
      </c>
      <c r="N20" s="52">
        <v>0.69499999999999995</v>
      </c>
    </row>
    <row r="21" spans="1:14" ht="18" customHeight="1" x14ac:dyDescent="0.15"/>
    <row r="22" spans="1:14" ht="92.25" customHeight="1" x14ac:dyDescent="0.15">
      <c r="A22" s="75" t="s">
        <v>553</v>
      </c>
      <c r="B22" s="74"/>
      <c r="C22" s="74"/>
      <c r="D22" s="74"/>
      <c r="E22" s="74"/>
      <c r="F22" s="74"/>
      <c r="G22" s="74"/>
    </row>
  </sheetData>
  <mergeCells count="2">
    <mergeCell ref="A22:G22"/>
    <mergeCell ref="A1:N1"/>
  </mergeCells>
  <phoneticPr fontId="5" type="noConversion"/>
  <pageMargins left="0.75" right="0.75" top="1" bottom="1" header="0.5" footer="0.5"/>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11"/>
  <sheetViews>
    <sheetView workbookViewId="0">
      <selection activeCell="N11" sqref="N11"/>
    </sheetView>
  </sheetViews>
  <sheetFormatPr defaultRowHeight="13.5" x14ac:dyDescent="0.15"/>
  <cols>
    <col min="1" max="1" width="17" customWidth="1"/>
    <col min="2" max="2" width="10" customWidth="1"/>
    <col min="3" max="3" width="12" customWidth="1"/>
    <col min="4" max="4" width="5" customWidth="1"/>
    <col min="5" max="5" width="11" customWidth="1"/>
    <col min="6" max="6" width="14.25" customWidth="1"/>
    <col min="7" max="7" width="15.375" customWidth="1"/>
    <col min="8" max="8" width="15.75" customWidth="1"/>
    <col min="9" max="9" width="14" customWidth="1"/>
    <col min="10" max="10" width="16.625" customWidth="1"/>
    <col min="11" max="11" width="16.875" customWidth="1"/>
    <col min="12" max="12" width="10" customWidth="1"/>
    <col min="13" max="13" width="7" customWidth="1"/>
    <col min="14" max="15" width="14" customWidth="1"/>
    <col min="16" max="16" width="15" customWidth="1"/>
  </cols>
  <sheetData>
    <row r="1" spans="1:16" ht="18" customHeight="1" x14ac:dyDescent="0.15">
      <c r="A1" s="76" t="s">
        <v>554</v>
      </c>
      <c r="B1" s="74"/>
      <c r="C1" s="74"/>
      <c r="D1" s="74"/>
      <c r="E1" s="74"/>
      <c r="F1" s="74"/>
      <c r="G1" s="74"/>
      <c r="H1" s="74"/>
      <c r="I1" s="74"/>
      <c r="J1" s="74"/>
      <c r="K1" s="74"/>
      <c r="L1" s="74"/>
      <c r="M1" s="74"/>
      <c r="N1" s="74"/>
      <c r="O1" s="74"/>
      <c r="P1" s="74"/>
    </row>
    <row r="2" spans="1:16" ht="18" customHeight="1" x14ac:dyDescent="0.15"/>
    <row r="3" spans="1:16" ht="18" customHeight="1" x14ac:dyDescent="0.15">
      <c r="A3" s="22" t="s">
        <v>410</v>
      </c>
      <c r="B3" s="20" t="s">
        <v>555</v>
      </c>
      <c r="C3" s="20" t="s">
        <v>556</v>
      </c>
      <c r="D3" s="20" t="s">
        <v>557</v>
      </c>
      <c r="E3" s="20" t="s">
        <v>558</v>
      </c>
      <c r="F3" s="20" t="s">
        <v>559</v>
      </c>
      <c r="G3" s="20" t="s">
        <v>560</v>
      </c>
      <c r="H3" s="20" t="s">
        <v>561</v>
      </c>
      <c r="I3" s="20" t="s">
        <v>562</v>
      </c>
      <c r="J3" s="20" t="s">
        <v>563</v>
      </c>
      <c r="K3" s="20" t="s">
        <v>564</v>
      </c>
      <c r="L3" s="20" t="s">
        <v>6</v>
      </c>
      <c r="M3" s="20" t="s">
        <v>565</v>
      </c>
      <c r="N3" s="20" t="s">
        <v>566</v>
      </c>
      <c r="O3" s="20" t="s">
        <v>567</v>
      </c>
      <c r="P3" s="20" t="s">
        <v>568</v>
      </c>
    </row>
    <row r="4" spans="1:16" ht="18" customHeight="1" x14ac:dyDescent="0.15">
      <c r="A4" s="5" t="s">
        <v>569</v>
      </c>
      <c r="B4" s="6" t="s">
        <v>570</v>
      </c>
      <c r="C4" s="6" t="s">
        <v>571</v>
      </c>
      <c r="D4" s="8">
        <v>3</v>
      </c>
      <c r="E4" s="8">
        <v>186977425</v>
      </c>
      <c r="F4" s="54">
        <v>5.1863300000001233E-10</v>
      </c>
      <c r="G4" s="54">
        <v>6.1120899999999999E-10</v>
      </c>
      <c r="H4" s="54">
        <v>7.8375000000000001E-10</v>
      </c>
      <c r="I4" s="54">
        <v>3.648000000000073E-19</v>
      </c>
      <c r="J4" s="54">
        <v>3.6837299999999999E-18</v>
      </c>
      <c r="K4" s="54">
        <v>2.30076E-18</v>
      </c>
      <c r="L4" s="6"/>
      <c r="M4" s="6"/>
      <c r="N4" s="6"/>
      <c r="O4" s="6"/>
      <c r="P4" s="6"/>
    </row>
    <row r="5" spans="1:16" ht="18" customHeight="1" x14ac:dyDescent="0.15">
      <c r="A5" s="5" t="s">
        <v>569</v>
      </c>
      <c r="B5" s="6" t="s">
        <v>572</v>
      </c>
      <c r="C5" s="6" t="s">
        <v>573</v>
      </c>
      <c r="D5" s="8">
        <v>21</v>
      </c>
      <c r="E5" s="8">
        <v>39676197</v>
      </c>
      <c r="F5" s="54">
        <v>5.5508600000001048E-8</v>
      </c>
      <c r="G5" s="54">
        <v>1.10738E-8</v>
      </c>
      <c r="H5" s="54">
        <v>2.8520599999999999E-8</v>
      </c>
      <c r="I5" s="54">
        <v>4.0860000000011617E-32</v>
      </c>
      <c r="J5" s="54">
        <v>3.7053199999999999E-33</v>
      </c>
      <c r="K5" s="54">
        <v>7.8225100000000004E-33</v>
      </c>
      <c r="L5" s="6"/>
      <c r="M5" s="6"/>
      <c r="N5" s="6"/>
      <c r="O5" s="6"/>
      <c r="P5" s="6"/>
    </row>
    <row r="6" spans="1:16" ht="18" customHeight="1" x14ac:dyDescent="0.15">
      <c r="A6" s="5" t="s">
        <v>574</v>
      </c>
      <c r="B6" s="6"/>
      <c r="C6" s="6"/>
      <c r="D6" s="6"/>
      <c r="E6" s="6"/>
      <c r="F6" s="6"/>
      <c r="G6" s="6"/>
      <c r="H6" s="6"/>
      <c r="I6" s="6"/>
      <c r="J6" s="6"/>
      <c r="K6" s="6"/>
      <c r="L6" s="6" t="s">
        <v>22</v>
      </c>
      <c r="M6" s="6" t="s">
        <v>575</v>
      </c>
      <c r="N6" s="8">
        <v>1141400</v>
      </c>
      <c r="O6" s="43">
        <v>1.0362</v>
      </c>
      <c r="P6" s="54">
        <v>6.1099999999999996E-10</v>
      </c>
    </row>
    <row r="7" spans="1:16" ht="18" customHeight="1" x14ac:dyDescent="0.15">
      <c r="A7" s="5" t="s">
        <v>574</v>
      </c>
      <c r="B7" s="6"/>
      <c r="C7" s="6"/>
      <c r="D7" s="6"/>
      <c r="E7" s="6"/>
      <c r="F7" s="6"/>
      <c r="G7" s="6"/>
      <c r="H7" s="6"/>
      <c r="I7" s="6"/>
      <c r="J7" s="6"/>
      <c r="K7" s="6"/>
      <c r="L7" s="6" t="s">
        <v>22</v>
      </c>
      <c r="M7" s="6" t="s">
        <v>576</v>
      </c>
      <c r="N7" s="8">
        <v>741010</v>
      </c>
      <c r="O7" s="43">
        <v>1.0406</v>
      </c>
      <c r="P7" s="54">
        <v>7.8399999999999998E-10</v>
      </c>
    </row>
    <row r="8" spans="1:16" ht="18" customHeight="1" x14ac:dyDescent="0.15">
      <c r="A8" s="5" t="s">
        <v>574</v>
      </c>
      <c r="B8" s="6"/>
      <c r="C8" s="6"/>
      <c r="D8" s="6"/>
      <c r="E8" s="6"/>
      <c r="F8" s="6"/>
      <c r="G8" s="6"/>
      <c r="H8" s="6"/>
      <c r="I8" s="6"/>
      <c r="J8" s="6"/>
      <c r="K8" s="6"/>
      <c r="L8" s="6" t="s">
        <v>577</v>
      </c>
      <c r="M8" s="6" t="s">
        <v>575</v>
      </c>
      <c r="N8" s="8">
        <v>1136148</v>
      </c>
      <c r="O8" s="43">
        <v>1.0458000000000001</v>
      </c>
      <c r="P8" s="54">
        <v>3.7100000000000001E-33</v>
      </c>
    </row>
    <row r="9" spans="1:16" ht="18" customHeight="1" x14ac:dyDescent="0.15">
      <c r="A9" s="23" t="s">
        <v>574</v>
      </c>
      <c r="B9" s="27"/>
      <c r="C9" s="27"/>
      <c r="D9" s="27"/>
      <c r="E9" s="27"/>
      <c r="F9" s="27"/>
      <c r="G9" s="27"/>
      <c r="H9" s="27"/>
      <c r="I9" s="27"/>
      <c r="J9" s="27"/>
      <c r="K9" s="27"/>
      <c r="L9" s="27" t="s">
        <v>577</v>
      </c>
      <c r="M9" s="27" t="s">
        <v>576</v>
      </c>
      <c r="N9" s="25">
        <v>738015</v>
      </c>
      <c r="O9" s="45">
        <v>1.0525</v>
      </c>
      <c r="P9" s="55">
        <v>7.8199999999999994E-33</v>
      </c>
    </row>
    <row r="10" spans="1:16" ht="18" customHeight="1" x14ac:dyDescent="0.15"/>
    <row r="11" spans="1:16" ht="138.75" customHeight="1" x14ac:dyDescent="0.15">
      <c r="A11" s="75" t="s">
        <v>578</v>
      </c>
      <c r="B11" s="74"/>
      <c r="C11" s="74"/>
      <c r="D11" s="74"/>
      <c r="E11" s="74"/>
      <c r="F11" s="74"/>
      <c r="G11" s="74"/>
      <c r="H11" s="74"/>
    </row>
  </sheetData>
  <mergeCells count="2">
    <mergeCell ref="A1:P1"/>
    <mergeCell ref="A11:H11"/>
  </mergeCells>
  <phoneticPr fontId="5"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375"/>
  <sheetViews>
    <sheetView topLeftCell="A340" workbookViewId="0">
      <selection activeCell="E371" sqref="E371"/>
    </sheetView>
  </sheetViews>
  <sheetFormatPr defaultRowHeight="13.5" x14ac:dyDescent="0.15"/>
  <cols>
    <col min="1" max="1" width="19" customWidth="1"/>
    <col min="2" max="2" width="26" customWidth="1"/>
    <col min="3" max="4" width="10" customWidth="1"/>
    <col min="5" max="5" width="37.375" customWidth="1"/>
    <col min="6" max="6" width="8" customWidth="1"/>
    <col min="7" max="11" width="10" customWidth="1"/>
    <col min="12" max="12" width="27" customWidth="1"/>
  </cols>
  <sheetData>
    <row r="1" spans="1:12" ht="18" customHeight="1" x14ac:dyDescent="0.15">
      <c r="A1" s="76" t="s">
        <v>579</v>
      </c>
      <c r="B1" s="74"/>
      <c r="C1" s="74"/>
      <c r="D1" s="74"/>
      <c r="E1" s="74"/>
      <c r="F1" s="74"/>
      <c r="G1" s="74"/>
      <c r="H1" s="74"/>
      <c r="I1" s="74"/>
      <c r="J1" s="74"/>
      <c r="K1" s="74"/>
      <c r="L1" s="74"/>
    </row>
    <row r="2" spans="1:12" ht="18" customHeight="1" x14ac:dyDescent="0.15"/>
    <row r="3" spans="1:12" ht="18" customHeight="1" x14ac:dyDescent="0.15">
      <c r="A3" s="22" t="s">
        <v>410</v>
      </c>
      <c r="B3" s="20" t="s">
        <v>580</v>
      </c>
      <c r="C3" s="20" t="s">
        <v>555</v>
      </c>
      <c r="D3" s="20" t="s">
        <v>581</v>
      </c>
      <c r="E3" s="20" t="s">
        <v>582</v>
      </c>
      <c r="F3" s="20" t="s">
        <v>583</v>
      </c>
      <c r="G3" s="20" t="s">
        <v>584</v>
      </c>
      <c r="H3" s="20" t="s">
        <v>585</v>
      </c>
      <c r="I3" s="20" t="s">
        <v>586</v>
      </c>
      <c r="J3" s="20" t="s">
        <v>587</v>
      </c>
      <c r="K3" s="20" t="s">
        <v>588</v>
      </c>
      <c r="L3" s="20" t="s">
        <v>589</v>
      </c>
    </row>
    <row r="4" spans="1:12" ht="18" customHeight="1" x14ac:dyDescent="0.15">
      <c r="A4" s="5" t="s">
        <v>590</v>
      </c>
      <c r="B4" s="6" t="s">
        <v>591</v>
      </c>
      <c r="C4" s="6" t="s">
        <v>572</v>
      </c>
      <c r="D4" s="6" t="s">
        <v>572</v>
      </c>
      <c r="E4" s="6" t="s">
        <v>592</v>
      </c>
      <c r="F4" s="8">
        <v>7306</v>
      </c>
      <c r="G4" s="50">
        <v>0.46950283424283701</v>
      </c>
      <c r="H4" s="50">
        <v>5.9133457269545497E-2</v>
      </c>
      <c r="I4" s="50">
        <v>0.41325723862659303</v>
      </c>
      <c r="J4" s="50">
        <v>5.2043312222738003E-2</v>
      </c>
      <c r="K4" s="50">
        <v>6.0631576382857702E-3</v>
      </c>
      <c r="L4" s="6" t="s">
        <v>593</v>
      </c>
    </row>
    <row r="5" spans="1:12" ht="18" customHeight="1" x14ac:dyDescent="0.15">
      <c r="A5" s="5" t="s">
        <v>590</v>
      </c>
      <c r="B5" s="6" t="s">
        <v>591</v>
      </c>
      <c r="C5" s="6" t="s">
        <v>572</v>
      </c>
      <c r="D5" s="6" t="s">
        <v>572</v>
      </c>
      <c r="E5" s="6" t="s">
        <v>594</v>
      </c>
      <c r="F5" s="8">
        <v>7317</v>
      </c>
      <c r="G5" s="50">
        <v>0.51313858014825697</v>
      </c>
      <c r="H5" s="50">
        <v>6.4781837017940394E-2</v>
      </c>
      <c r="I5" s="50">
        <v>0.36812384212313898</v>
      </c>
      <c r="J5" s="50">
        <v>4.6466776790857402E-2</v>
      </c>
      <c r="K5" s="50">
        <v>7.4889639198067598E-3</v>
      </c>
      <c r="L5" s="6" t="s">
        <v>593</v>
      </c>
    </row>
    <row r="6" spans="1:12" ht="18" customHeight="1" x14ac:dyDescent="0.15">
      <c r="A6" s="5" t="s">
        <v>590</v>
      </c>
      <c r="B6" s="6" t="s">
        <v>591</v>
      </c>
      <c r="C6" s="6" t="s">
        <v>572</v>
      </c>
      <c r="D6" s="6" t="s">
        <v>572</v>
      </c>
      <c r="E6" s="6" t="s">
        <v>595</v>
      </c>
      <c r="F6" s="8">
        <v>7317</v>
      </c>
      <c r="G6" s="50">
        <v>0.14789467721628799</v>
      </c>
      <c r="H6" s="50">
        <v>1.8670626844408102E-2</v>
      </c>
      <c r="I6" s="50">
        <v>0.73659108525168704</v>
      </c>
      <c r="J6" s="50">
        <v>9.2985406511140706E-2</v>
      </c>
      <c r="K6" s="50">
        <v>3.8582041764758201E-3</v>
      </c>
      <c r="L6" s="6" t="s">
        <v>593</v>
      </c>
    </row>
    <row r="7" spans="1:12" ht="18" customHeight="1" x14ac:dyDescent="0.15">
      <c r="A7" s="5" t="s">
        <v>590</v>
      </c>
      <c r="B7" s="6" t="s">
        <v>591</v>
      </c>
      <c r="C7" s="6" t="s">
        <v>572</v>
      </c>
      <c r="D7" s="6" t="s">
        <v>572</v>
      </c>
      <c r="E7" s="6" t="s">
        <v>596</v>
      </c>
      <c r="F7" s="8">
        <v>7317</v>
      </c>
      <c r="G7" s="50">
        <v>0.43364094631789002</v>
      </c>
      <c r="H7" s="50">
        <v>5.4627832164951401E-2</v>
      </c>
      <c r="I7" s="50">
        <v>0.44947033894680599</v>
      </c>
      <c r="J7" s="50">
        <v>5.6616292169949602E-2</v>
      </c>
      <c r="K7" s="50">
        <v>5.64459040040229E-3</v>
      </c>
      <c r="L7" s="6" t="s">
        <v>593</v>
      </c>
    </row>
    <row r="8" spans="1:12" ht="18" customHeight="1" x14ac:dyDescent="0.15">
      <c r="A8" s="5" t="s">
        <v>590</v>
      </c>
      <c r="B8" s="6" t="s">
        <v>591</v>
      </c>
      <c r="C8" s="6" t="s">
        <v>572</v>
      </c>
      <c r="D8" s="6" t="s">
        <v>572</v>
      </c>
      <c r="E8" s="6" t="s">
        <v>597</v>
      </c>
      <c r="F8" s="8">
        <v>7308</v>
      </c>
      <c r="G8" s="50">
        <v>0.46316022463144502</v>
      </c>
      <c r="H8" s="50">
        <v>5.8223911344992697E-2</v>
      </c>
      <c r="I8" s="50">
        <v>0.41999262742219801</v>
      </c>
      <c r="J8" s="50">
        <v>5.2791477258371897E-2</v>
      </c>
      <c r="K8" s="50">
        <v>5.8317593429928101E-3</v>
      </c>
      <c r="L8" s="6" t="s">
        <v>593</v>
      </c>
    </row>
    <row r="9" spans="1:12" ht="18" customHeight="1" x14ac:dyDescent="0.15">
      <c r="A9" s="5" t="s">
        <v>590</v>
      </c>
      <c r="B9" s="6" t="s">
        <v>591</v>
      </c>
      <c r="C9" s="6" t="s">
        <v>572</v>
      </c>
      <c r="D9" s="6" t="s">
        <v>572</v>
      </c>
      <c r="E9" s="6" t="s">
        <v>598</v>
      </c>
      <c r="F9" s="8">
        <v>7317</v>
      </c>
      <c r="G9" s="50">
        <v>0.46403891918825901</v>
      </c>
      <c r="H9" s="50">
        <v>5.8582352782368799E-2</v>
      </c>
      <c r="I9" s="50">
        <v>0.41887039300603701</v>
      </c>
      <c r="J9" s="50">
        <v>5.2874441717796303E-2</v>
      </c>
      <c r="K9" s="50">
        <v>5.6338933055392797E-3</v>
      </c>
      <c r="L9" s="6" t="s">
        <v>593</v>
      </c>
    </row>
    <row r="10" spans="1:12" ht="18" customHeight="1" x14ac:dyDescent="0.15">
      <c r="A10" s="5" t="s">
        <v>590</v>
      </c>
      <c r="B10" s="6" t="s">
        <v>591</v>
      </c>
      <c r="C10" s="6" t="s">
        <v>572</v>
      </c>
      <c r="D10" s="6" t="s">
        <v>572</v>
      </c>
      <c r="E10" s="6" t="s">
        <v>599</v>
      </c>
      <c r="F10" s="8">
        <v>7318</v>
      </c>
      <c r="G10" s="50">
        <v>0.498725440497785</v>
      </c>
      <c r="H10" s="50">
        <v>6.2969423059255902E-2</v>
      </c>
      <c r="I10" s="50">
        <v>0.38343760855262299</v>
      </c>
      <c r="J10" s="50">
        <v>4.8406639846661499E-2</v>
      </c>
      <c r="K10" s="50">
        <v>6.4608880436754501E-3</v>
      </c>
      <c r="L10" s="6" t="s">
        <v>593</v>
      </c>
    </row>
    <row r="11" spans="1:12" ht="18" customHeight="1" x14ac:dyDescent="0.15">
      <c r="A11" s="5" t="s">
        <v>590</v>
      </c>
      <c r="B11" s="6" t="s">
        <v>591</v>
      </c>
      <c r="C11" s="6" t="s">
        <v>572</v>
      </c>
      <c r="D11" s="6" t="s">
        <v>572</v>
      </c>
      <c r="E11" s="6" t="s">
        <v>600</v>
      </c>
      <c r="F11" s="8">
        <v>7318</v>
      </c>
      <c r="G11" s="50">
        <v>0.53101668748893804</v>
      </c>
      <c r="H11" s="50">
        <v>6.7046538497496505E-2</v>
      </c>
      <c r="I11" s="50">
        <v>0.35152832633676401</v>
      </c>
      <c r="J11" s="50">
        <v>4.4378182170735601E-2</v>
      </c>
      <c r="K11" s="50">
        <v>6.0302655060660701E-3</v>
      </c>
      <c r="L11" s="6" t="s">
        <v>593</v>
      </c>
    </row>
    <row r="12" spans="1:12" ht="18" customHeight="1" x14ac:dyDescent="0.15">
      <c r="A12" s="5" t="s">
        <v>590</v>
      </c>
      <c r="B12" s="6" t="s">
        <v>591</v>
      </c>
      <c r="C12" s="6" t="s">
        <v>572</v>
      </c>
      <c r="D12" s="6" t="s">
        <v>572</v>
      </c>
      <c r="E12" s="6" t="s">
        <v>601</v>
      </c>
      <c r="F12" s="8">
        <v>7318</v>
      </c>
      <c r="G12" s="50">
        <v>0.53354131064586896</v>
      </c>
      <c r="H12" s="50">
        <v>6.7365299183687499E-2</v>
      </c>
      <c r="I12" s="50">
        <v>0.34870727912495397</v>
      </c>
      <c r="J12" s="50">
        <v>4.4021660591028799E-2</v>
      </c>
      <c r="K12" s="50">
        <v>6.3644504544613104E-3</v>
      </c>
      <c r="L12" s="6" t="s">
        <v>593</v>
      </c>
    </row>
    <row r="13" spans="1:12" ht="18" customHeight="1" x14ac:dyDescent="0.15">
      <c r="A13" s="5" t="s">
        <v>590</v>
      </c>
      <c r="B13" s="6" t="s">
        <v>591</v>
      </c>
      <c r="C13" s="6" t="s">
        <v>572</v>
      </c>
      <c r="D13" s="6" t="s">
        <v>572</v>
      </c>
      <c r="E13" s="6" t="s">
        <v>602</v>
      </c>
      <c r="F13" s="8">
        <v>7318</v>
      </c>
      <c r="G13" s="50">
        <v>3.8245E-13</v>
      </c>
      <c r="H13" s="50">
        <v>4.8279999999999997E-14</v>
      </c>
      <c r="I13" s="50">
        <v>0.88478678466681804</v>
      </c>
      <c r="J13" s="50">
        <v>0.111710295568868</v>
      </c>
      <c r="K13" s="50">
        <v>3.5029197638830299E-3</v>
      </c>
      <c r="L13" s="6" t="s">
        <v>593</v>
      </c>
    </row>
    <row r="14" spans="1:12" ht="18" customHeight="1" x14ac:dyDescent="0.15">
      <c r="A14" s="5" t="s">
        <v>590</v>
      </c>
      <c r="B14" s="6" t="s">
        <v>591</v>
      </c>
      <c r="C14" s="6" t="s">
        <v>572</v>
      </c>
      <c r="D14" s="6" t="s">
        <v>572</v>
      </c>
      <c r="E14" s="6" t="s">
        <v>603</v>
      </c>
      <c r="F14" s="8">
        <v>6323</v>
      </c>
      <c r="G14" s="50">
        <v>0.53773383256566998</v>
      </c>
      <c r="H14" s="50">
        <v>5.5137122822306497E-2</v>
      </c>
      <c r="I14" s="50">
        <v>0.36453285683321301</v>
      </c>
      <c r="J14" s="50">
        <v>3.7372548937006998E-2</v>
      </c>
      <c r="K14" s="50">
        <v>5.2236388418036303E-3</v>
      </c>
      <c r="L14" s="6" t="s">
        <v>593</v>
      </c>
    </row>
    <row r="15" spans="1:12" ht="18" customHeight="1" x14ac:dyDescent="0.15">
      <c r="A15" s="5" t="s">
        <v>590</v>
      </c>
      <c r="B15" s="6" t="s">
        <v>591</v>
      </c>
      <c r="C15" s="6" t="s">
        <v>572</v>
      </c>
      <c r="D15" s="6" t="s">
        <v>572</v>
      </c>
      <c r="E15" s="6" t="s">
        <v>604</v>
      </c>
      <c r="F15" s="8">
        <v>5943</v>
      </c>
      <c r="G15" s="50">
        <v>0.55219596961468798</v>
      </c>
      <c r="H15" s="50">
        <v>5.2438096190677803E-2</v>
      </c>
      <c r="I15" s="50">
        <v>0.35539813048058799</v>
      </c>
      <c r="J15" s="50">
        <v>3.3743390538074403E-2</v>
      </c>
      <c r="K15" s="50">
        <v>6.2244131759716199E-3</v>
      </c>
      <c r="L15" s="6" t="s">
        <v>593</v>
      </c>
    </row>
    <row r="16" spans="1:12" ht="18" customHeight="1" x14ac:dyDescent="0.15">
      <c r="A16" s="5" t="s">
        <v>590</v>
      </c>
      <c r="B16" s="6" t="s">
        <v>591</v>
      </c>
      <c r="C16" s="6" t="s">
        <v>572</v>
      </c>
      <c r="D16" s="6" t="s">
        <v>572</v>
      </c>
      <c r="E16" s="6" t="s">
        <v>605</v>
      </c>
      <c r="F16" s="8">
        <v>7131</v>
      </c>
      <c r="G16" s="50">
        <v>3.9014255146925102E-2</v>
      </c>
      <c r="H16" s="50">
        <v>4.5654972477209002E-3</v>
      </c>
      <c r="I16" s="50">
        <v>0.85364232752969904</v>
      </c>
      <c r="J16" s="50">
        <v>9.9891413209941105E-2</v>
      </c>
      <c r="K16" s="50">
        <v>2.8865068657140001E-3</v>
      </c>
      <c r="L16" s="6" t="s">
        <v>593</v>
      </c>
    </row>
    <row r="17" spans="1:12" ht="18" customHeight="1" x14ac:dyDescent="0.15">
      <c r="A17" s="5" t="s">
        <v>590</v>
      </c>
      <c r="B17" s="6" t="s">
        <v>591</v>
      </c>
      <c r="C17" s="6" t="s">
        <v>572</v>
      </c>
      <c r="D17" s="6" t="s">
        <v>572</v>
      </c>
      <c r="E17" s="6" t="s">
        <v>606</v>
      </c>
      <c r="F17" s="8">
        <v>7272</v>
      </c>
      <c r="G17" s="50">
        <v>5.1462064674100002E-6</v>
      </c>
      <c r="H17" s="50">
        <v>6.2384702923000003E-7</v>
      </c>
      <c r="I17" s="50">
        <v>0.88961300458794801</v>
      </c>
      <c r="J17" s="50">
        <v>0.107840475965917</v>
      </c>
      <c r="K17" s="50">
        <v>2.5407493926369699E-3</v>
      </c>
      <c r="L17" s="6" t="s">
        <v>593</v>
      </c>
    </row>
    <row r="18" spans="1:12" ht="18" customHeight="1" x14ac:dyDescent="0.15">
      <c r="A18" s="5" t="s">
        <v>590</v>
      </c>
      <c r="B18" s="6" t="s">
        <v>591</v>
      </c>
      <c r="C18" s="6" t="s">
        <v>572</v>
      </c>
      <c r="D18" s="6" t="s">
        <v>572</v>
      </c>
      <c r="E18" s="6" t="s">
        <v>607</v>
      </c>
      <c r="F18" s="8">
        <v>6991</v>
      </c>
      <c r="G18" s="50">
        <v>0.235965670359184</v>
      </c>
      <c r="H18" s="50">
        <v>2.7183412395464599E-2</v>
      </c>
      <c r="I18" s="50">
        <v>0.65678292599089905</v>
      </c>
      <c r="J18" s="50">
        <v>7.5657447829167307E-2</v>
      </c>
      <c r="K18" s="50">
        <v>4.4105434252844199E-3</v>
      </c>
      <c r="L18" s="6" t="s">
        <v>593</v>
      </c>
    </row>
    <row r="19" spans="1:12" ht="18" customHeight="1" x14ac:dyDescent="0.15">
      <c r="A19" s="5" t="s">
        <v>590</v>
      </c>
      <c r="B19" s="6" t="s">
        <v>591</v>
      </c>
      <c r="C19" s="6" t="s">
        <v>572</v>
      </c>
      <c r="D19" s="6" t="s">
        <v>572</v>
      </c>
      <c r="E19" s="6" t="s">
        <v>608</v>
      </c>
      <c r="F19" s="8">
        <v>19</v>
      </c>
      <c r="G19" s="50">
        <v>4.8314361376789502E-2</v>
      </c>
      <c r="H19" s="50">
        <v>4.5467134405099999E-6</v>
      </c>
      <c r="I19" s="50">
        <v>0.94653087148615001</v>
      </c>
      <c r="J19" s="50">
        <v>8.4008848357380005E-5</v>
      </c>
      <c r="K19" s="50">
        <v>5.0662115752626103E-3</v>
      </c>
      <c r="L19" s="6" t="s">
        <v>593</v>
      </c>
    </row>
    <row r="20" spans="1:12" ht="18" customHeight="1" x14ac:dyDescent="0.15">
      <c r="A20" s="5" t="s">
        <v>590</v>
      </c>
      <c r="B20" s="6" t="s">
        <v>591</v>
      </c>
      <c r="C20" s="6" t="s">
        <v>572</v>
      </c>
      <c r="D20" s="6" t="s">
        <v>572</v>
      </c>
      <c r="E20" s="6" t="s">
        <v>609</v>
      </c>
      <c r="F20" s="8">
        <v>70</v>
      </c>
      <c r="G20" s="50">
        <v>1.6636048065953E-4</v>
      </c>
      <c r="H20" s="50">
        <v>3.9269334959999997E-8</v>
      </c>
      <c r="I20" s="50">
        <v>0.99658200101667505</v>
      </c>
      <c r="J20" s="50">
        <v>2.3222346716129E-4</v>
      </c>
      <c r="K20" s="50">
        <v>3.0193757661697101E-3</v>
      </c>
      <c r="L20" s="6" t="s">
        <v>593</v>
      </c>
    </row>
    <row r="21" spans="1:12" ht="18" customHeight="1" x14ac:dyDescent="0.15">
      <c r="A21" s="5" t="s">
        <v>590</v>
      </c>
      <c r="B21" s="6" t="s">
        <v>591</v>
      </c>
      <c r="C21" s="6" t="s">
        <v>572</v>
      </c>
      <c r="D21" s="6" t="s">
        <v>572</v>
      </c>
      <c r="E21" s="6" t="s">
        <v>610</v>
      </c>
      <c r="F21" s="8">
        <v>164</v>
      </c>
      <c r="G21" s="50">
        <v>1.7607793618000001E-6</v>
      </c>
      <c r="H21" s="50">
        <v>1.02200835E-9</v>
      </c>
      <c r="I21" s="50">
        <v>0.99638504369973402</v>
      </c>
      <c r="J21" s="50">
        <v>5.7529341320209997E-4</v>
      </c>
      <c r="K21" s="50">
        <v>3.0379010856946701E-3</v>
      </c>
      <c r="L21" s="6" t="s">
        <v>593</v>
      </c>
    </row>
    <row r="22" spans="1:12" ht="18" customHeight="1" x14ac:dyDescent="0.15">
      <c r="A22" s="5" t="s">
        <v>590</v>
      </c>
      <c r="B22" s="6" t="s">
        <v>591</v>
      </c>
      <c r="C22" s="6" t="s">
        <v>572</v>
      </c>
      <c r="D22" s="6" t="s">
        <v>572</v>
      </c>
      <c r="E22" s="6" t="s">
        <v>611</v>
      </c>
      <c r="F22" s="8">
        <v>92</v>
      </c>
      <c r="G22" s="50">
        <v>6.2938498920000002E-8</v>
      </c>
      <c r="H22" s="50">
        <v>1.7324199999999999E-11</v>
      </c>
      <c r="I22" s="50">
        <v>0.99678578177635402</v>
      </c>
      <c r="J22" s="50">
        <v>2.7142870322925E-4</v>
      </c>
      <c r="K22" s="50">
        <v>2.94272656459181E-3</v>
      </c>
      <c r="L22" s="6" t="s">
        <v>593</v>
      </c>
    </row>
    <row r="23" spans="1:12" ht="18" customHeight="1" x14ac:dyDescent="0.15">
      <c r="A23" s="5" t="s">
        <v>590</v>
      </c>
      <c r="B23" s="6" t="s">
        <v>591</v>
      </c>
      <c r="C23" s="6" t="s">
        <v>572</v>
      </c>
      <c r="D23" s="6" t="s">
        <v>572</v>
      </c>
      <c r="E23" s="6" t="s">
        <v>612</v>
      </c>
      <c r="F23" s="8">
        <v>73</v>
      </c>
      <c r="G23" s="50">
        <v>1.8991495205000001E-7</v>
      </c>
      <c r="H23" s="50">
        <v>4.1795750000000003E-11</v>
      </c>
      <c r="I23" s="50">
        <v>0.99675474053170798</v>
      </c>
      <c r="J23" s="50">
        <v>2.1633325281186999E-4</v>
      </c>
      <c r="K23" s="50">
        <v>3.0287362587311799E-3</v>
      </c>
      <c r="L23" s="6" t="s">
        <v>593</v>
      </c>
    </row>
    <row r="24" spans="1:12" ht="18" customHeight="1" x14ac:dyDescent="0.15">
      <c r="A24" s="5" t="s">
        <v>590</v>
      </c>
      <c r="B24" s="6" t="s">
        <v>591</v>
      </c>
      <c r="C24" s="6" t="s">
        <v>572</v>
      </c>
      <c r="D24" s="6" t="s">
        <v>572</v>
      </c>
      <c r="E24" s="6" t="s">
        <v>613</v>
      </c>
      <c r="F24" s="8">
        <v>34</v>
      </c>
      <c r="G24" s="50">
        <v>6.7973861546132094E-2</v>
      </c>
      <c r="H24" s="50">
        <v>6.9717576692499996E-6</v>
      </c>
      <c r="I24" s="50">
        <v>0.92913027654279001</v>
      </c>
      <c r="J24" s="50">
        <v>9.250011046304E-5</v>
      </c>
      <c r="K24" s="50">
        <v>2.7963900429461498E-3</v>
      </c>
      <c r="L24" s="6" t="s">
        <v>593</v>
      </c>
    </row>
    <row r="25" spans="1:12" ht="18" customHeight="1" x14ac:dyDescent="0.15">
      <c r="A25" s="5" t="s">
        <v>590</v>
      </c>
      <c r="B25" s="6" t="s">
        <v>591</v>
      </c>
      <c r="C25" s="6" t="s">
        <v>572</v>
      </c>
      <c r="D25" s="6" t="s">
        <v>572</v>
      </c>
      <c r="E25" s="6" t="s">
        <v>614</v>
      </c>
      <c r="F25" s="8">
        <v>172</v>
      </c>
      <c r="G25" s="50">
        <v>1.0154973E-8</v>
      </c>
      <c r="H25" s="50">
        <v>7.9634399999999994E-12</v>
      </c>
      <c r="I25" s="50">
        <v>0.99648847564950904</v>
      </c>
      <c r="J25" s="50">
        <v>7.7870506445677995E-4</v>
      </c>
      <c r="K25" s="50">
        <v>2.73280912309809E-3</v>
      </c>
      <c r="L25" s="6" t="s">
        <v>593</v>
      </c>
    </row>
    <row r="26" spans="1:12" ht="18" customHeight="1" x14ac:dyDescent="0.15">
      <c r="A26" s="5" t="s">
        <v>590</v>
      </c>
      <c r="B26" s="6" t="s">
        <v>615</v>
      </c>
      <c r="C26" s="6" t="s">
        <v>570</v>
      </c>
      <c r="D26" s="6" t="s">
        <v>570</v>
      </c>
      <c r="E26" s="6" t="s">
        <v>592</v>
      </c>
      <c r="F26" s="8">
        <v>6099</v>
      </c>
      <c r="G26" s="50">
        <v>0.44148284755231199</v>
      </c>
      <c r="H26" s="50">
        <v>0.15611110994632699</v>
      </c>
      <c r="I26" s="50">
        <v>0.28645399814275002</v>
      </c>
      <c r="J26" s="50">
        <v>0.101277259537336</v>
      </c>
      <c r="K26" s="50">
        <v>1.46747848212743E-2</v>
      </c>
      <c r="L26" s="6" t="s">
        <v>593</v>
      </c>
    </row>
    <row r="27" spans="1:12" ht="18" customHeight="1" x14ac:dyDescent="0.15">
      <c r="A27" s="5" t="s">
        <v>590</v>
      </c>
      <c r="B27" s="6" t="s">
        <v>615</v>
      </c>
      <c r="C27" s="6" t="s">
        <v>570</v>
      </c>
      <c r="D27" s="6" t="s">
        <v>570</v>
      </c>
      <c r="E27" s="6" t="s">
        <v>594</v>
      </c>
      <c r="F27" s="8">
        <v>6103</v>
      </c>
      <c r="G27" s="50">
        <v>0.45637788460818002</v>
      </c>
      <c r="H27" s="50">
        <v>0.16160723000204499</v>
      </c>
      <c r="I27" s="50">
        <v>0.26739422399698398</v>
      </c>
      <c r="J27" s="50">
        <v>9.4666579416023702E-2</v>
      </c>
      <c r="K27" s="50">
        <v>1.9954081976767301E-2</v>
      </c>
      <c r="L27" s="6" t="s">
        <v>593</v>
      </c>
    </row>
    <row r="28" spans="1:12" ht="18" customHeight="1" x14ac:dyDescent="0.15">
      <c r="A28" s="5" t="s">
        <v>590</v>
      </c>
      <c r="B28" s="6" t="s">
        <v>615</v>
      </c>
      <c r="C28" s="6" t="s">
        <v>570</v>
      </c>
      <c r="D28" s="6" t="s">
        <v>570</v>
      </c>
      <c r="E28" s="6" t="s">
        <v>595</v>
      </c>
      <c r="F28" s="8">
        <v>6103</v>
      </c>
      <c r="G28" s="50">
        <v>0.40112908398435898</v>
      </c>
      <c r="H28" s="50">
        <v>0.14204363580425899</v>
      </c>
      <c r="I28" s="50">
        <v>0.32765030839374998</v>
      </c>
      <c r="J28" s="50">
        <v>0.11601093427039701</v>
      </c>
      <c r="K28" s="50">
        <v>1.31660375472357E-2</v>
      </c>
      <c r="L28" s="6" t="s">
        <v>593</v>
      </c>
    </row>
    <row r="29" spans="1:12" ht="18" customHeight="1" x14ac:dyDescent="0.15">
      <c r="A29" s="5" t="s">
        <v>590</v>
      </c>
      <c r="B29" s="6" t="s">
        <v>615</v>
      </c>
      <c r="C29" s="6" t="s">
        <v>570</v>
      </c>
      <c r="D29" s="6" t="s">
        <v>570</v>
      </c>
      <c r="E29" s="6" t="s">
        <v>596</v>
      </c>
      <c r="F29" s="8">
        <v>6082</v>
      </c>
      <c r="G29" s="50">
        <v>0.40243629451552998</v>
      </c>
      <c r="H29" s="50">
        <v>0.14219584721848799</v>
      </c>
      <c r="I29" s="50">
        <v>0.32765555952780501</v>
      </c>
      <c r="J29" s="50">
        <v>0.11576105561002401</v>
      </c>
      <c r="K29" s="50">
        <v>1.19512431281532E-2</v>
      </c>
      <c r="L29" s="6" t="s">
        <v>593</v>
      </c>
    </row>
    <row r="30" spans="1:12" ht="18" customHeight="1" x14ac:dyDescent="0.15">
      <c r="A30" s="5" t="s">
        <v>590</v>
      </c>
      <c r="B30" s="6" t="s">
        <v>615</v>
      </c>
      <c r="C30" s="6" t="s">
        <v>570</v>
      </c>
      <c r="D30" s="6" t="s">
        <v>570</v>
      </c>
      <c r="E30" s="6" t="s">
        <v>597</v>
      </c>
      <c r="F30" s="8">
        <v>6096</v>
      </c>
      <c r="G30" s="50">
        <v>0.45477276396463501</v>
      </c>
      <c r="H30" s="50">
        <v>0.16079020953213599</v>
      </c>
      <c r="I30" s="50">
        <v>0.27381188927032002</v>
      </c>
      <c r="J30" s="50">
        <v>9.67955542163801E-2</v>
      </c>
      <c r="K30" s="50">
        <v>1.3829583016529401E-2</v>
      </c>
      <c r="L30" s="6" t="s">
        <v>593</v>
      </c>
    </row>
    <row r="31" spans="1:12" ht="18" customHeight="1" x14ac:dyDescent="0.15">
      <c r="A31" s="5" t="s">
        <v>590</v>
      </c>
      <c r="B31" s="6" t="s">
        <v>615</v>
      </c>
      <c r="C31" s="6" t="s">
        <v>570</v>
      </c>
      <c r="D31" s="6" t="s">
        <v>570</v>
      </c>
      <c r="E31" s="6" t="s">
        <v>598</v>
      </c>
      <c r="F31" s="8">
        <v>6081</v>
      </c>
      <c r="G31" s="50">
        <v>0.441717014070725</v>
      </c>
      <c r="H31" s="50">
        <v>0.156252992003033</v>
      </c>
      <c r="I31" s="50">
        <v>0.28491064537120703</v>
      </c>
      <c r="J31" s="50">
        <v>0.100767950257872</v>
      </c>
      <c r="K31" s="50">
        <v>1.6351398297163599E-2</v>
      </c>
      <c r="L31" s="6" t="s">
        <v>593</v>
      </c>
    </row>
    <row r="32" spans="1:12" ht="18" customHeight="1" x14ac:dyDescent="0.15">
      <c r="A32" s="5" t="s">
        <v>590</v>
      </c>
      <c r="B32" s="6" t="s">
        <v>615</v>
      </c>
      <c r="C32" s="6" t="s">
        <v>570</v>
      </c>
      <c r="D32" s="6" t="s">
        <v>570</v>
      </c>
      <c r="E32" s="6" t="s">
        <v>599</v>
      </c>
      <c r="F32" s="8">
        <v>6083</v>
      </c>
      <c r="G32" s="50">
        <v>0.42018889000098403</v>
      </c>
      <c r="H32" s="50">
        <v>0.148666466689926</v>
      </c>
      <c r="I32" s="50">
        <v>0.30967954829710398</v>
      </c>
      <c r="J32" s="50">
        <v>0.10955539526006</v>
      </c>
      <c r="K32" s="50">
        <v>1.19096997519265E-2</v>
      </c>
      <c r="L32" s="6" t="s">
        <v>593</v>
      </c>
    </row>
    <row r="33" spans="1:12" ht="18" customHeight="1" x14ac:dyDescent="0.15">
      <c r="A33" s="5" t="s">
        <v>590</v>
      </c>
      <c r="B33" s="6" t="s">
        <v>615</v>
      </c>
      <c r="C33" s="6" t="s">
        <v>570</v>
      </c>
      <c r="D33" s="6" t="s">
        <v>570</v>
      </c>
      <c r="E33" s="6" t="s">
        <v>616</v>
      </c>
      <c r="F33" s="8">
        <v>6096</v>
      </c>
      <c r="G33" s="50">
        <v>0.44212038905058798</v>
      </c>
      <c r="H33" s="50">
        <v>0.15651498666904101</v>
      </c>
      <c r="I33" s="50">
        <v>0.28397446243274299</v>
      </c>
      <c r="J33" s="50">
        <v>0.100512888606711</v>
      </c>
      <c r="K33" s="50">
        <v>1.6877273240915799E-2</v>
      </c>
      <c r="L33" s="6" t="s">
        <v>593</v>
      </c>
    </row>
    <row r="34" spans="1:12" ht="18" customHeight="1" x14ac:dyDescent="0.15">
      <c r="A34" s="5" t="s">
        <v>590</v>
      </c>
      <c r="B34" s="6" t="s">
        <v>615</v>
      </c>
      <c r="C34" s="6" t="s">
        <v>570</v>
      </c>
      <c r="D34" s="6" t="s">
        <v>570</v>
      </c>
      <c r="E34" s="6" t="s">
        <v>600</v>
      </c>
      <c r="F34" s="8">
        <v>6104</v>
      </c>
      <c r="G34" s="50">
        <v>0.44961652801773799</v>
      </c>
      <c r="H34" s="50">
        <v>0.15922180979873701</v>
      </c>
      <c r="I34" s="50">
        <v>0.277742950126457</v>
      </c>
      <c r="J34" s="50">
        <v>9.8341483133621996E-2</v>
      </c>
      <c r="K34" s="50">
        <v>1.50772289234462E-2</v>
      </c>
      <c r="L34" s="6" t="s">
        <v>593</v>
      </c>
    </row>
    <row r="35" spans="1:12" ht="18" customHeight="1" x14ac:dyDescent="0.15">
      <c r="A35" s="5" t="s">
        <v>590</v>
      </c>
      <c r="B35" s="6" t="s">
        <v>615</v>
      </c>
      <c r="C35" s="6" t="s">
        <v>570</v>
      </c>
      <c r="D35" s="6" t="s">
        <v>570</v>
      </c>
      <c r="E35" s="6" t="s">
        <v>601</v>
      </c>
      <c r="F35" s="8">
        <v>6104</v>
      </c>
      <c r="G35" s="50">
        <v>4.8530859033877799E-2</v>
      </c>
      <c r="H35" s="50">
        <v>1.7186136907664001E-2</v>
      </c>
      <c r="I35" s="50">
        <v>0.68592741035697902</v>
      </c>
      <c r="J35" s="50">
        <v>0.24290065919146001</v>
      </c>
      <c r="K35" s="50">
        <v>5.4549345100193304E-3</v>
      </c>
      <c r="L35" s="6" t="s">
        <v>593</v>
      </c>
    </row>
    <row r="36" spans="1:12" ht="18" customHeight="1" x14ac:dyDescent="0.15">
      <c r="A36" s="5" t="s">
        <v>590</v>
      </c>
      <c r="B36" s="6" t="s">
        <v>615</v>
      </c>
      <c r="C36" s="6" t="s">
        <v>570</v>
      </c>
      <c r="D36" s="6" t="s">
        <v>570</v>
      </c>
      <c r="E36" s="6" t="s">
        <v>602</v>
      </c>
      <c r="F36" s="8">
        <v>6103</v>
      </c>
      <c r="G36" s="50">
        <v>7.7606992626019403E-2</v>
      </c>
      <c r="H36" s="50">
        <v>2.74815529548901E-2</v>
      </c>
      <c r="I36" s="50">
        <v>0.63979337399286396</v>
      </c>
      <c r="J36" s="50">
        <v>0.22652980411367701</v>
      </c>
      <c r="K36" s="50">
        <v>2.8588276312549898E-2</v>
      </c>
      <c r="L36" s="6" t="s">
        <v>593</v>
      </c>
    </row>
    <row r="37" spans="1:12" ht="18" customHeight="1" x14ac:dyDescent="0.15">
      <c r="A37" s="5" t="s">
        <v>590</v>
      </c>
      <c r="B37" s="6" t="s">
        <v>615</v>
      </c>
      <c r="C37" s="6" t="s">
        <v>570</v>
      </c>
      <c r="D37" s="6" t="s">
        <v>570</v>
      </c>
      <c r="E37" s="6" t="s">
        <v>617</v>
      </c>
      <c r="F37" s="8">
        <v>6104</v>
      </c>
      <c r="G37" s="50">
        <v>0.21002950188762801</v>
      </c>
      <c r="H37" s="50">
        <v>7.4377331165094498E-2</v>
      </c>
      <c r="I37" s="50">
        <v>0.52152504506022601</v>
      </c>
      <c r="J37" s="50">
        <v>0.18467723951343101</v>
      </c>
      <c r="K37" s="50">
        <v>9.3908823736205994E-3</v>
      </c>
      <c r="L37" s="6" t="s">
        <v>593</v>
      </c>
    </row>
    <row r="38" spans="1:12" ht="18" customHeight="1" x14ac:dyDescent="0.15">
      <c r="A38" s="5" t="s">
        <v>590</v>
      </c>
      <c r="B38" s="6" t="s">
        <v>615</v>
      </c>
      <c r="C38" s="6" t="s">
        <v>570</v>
      </c>
      <c r="D38" s="6" t="s">
        <v>570</v>
      </c>
      <c r="E38" s="6" t="s">
        <v>618</v>
      </c>
      <c r="F38" s="8">
        <v>5861</v>
      </c>
      <c r="G38" s="50">
        <v>0.153322146769584</v>
      </c>
      <c r="H38" s="50">
        <v>5.2699384022448802E-2</v>
      </c>
      <c r="I38" s="50">
        <v>0.16641524205036201</v>
      </c>
      <c r="J38" s="50">
        <v>5.6628765208187097E-2</v>
      </c>
      <c r="K38" s="50">
        <v>0.57093446194941799</v>
      </c>
      <c r="L38" s="6" t="s">
        <v>593</v>
      </c>
    </row>
    <row r="39" spans="1:12" ht="18" customHeight="1" x14ac:dyDescent="0.15">
      <c r="A39" s="5" t="s">
        <v>590</v>
      </c>
      <c r="B39" s="6" t="s">
        <v>615</v>
      </c>
      <c r="C39" s="6" t="s">
        <v>570</v>
      </c>
      <c r="D39" s="6" t="s">
        <v>570</v>
      </c>
      <c r="E39" s="6" t="s">
        <v>619</v>
      </c>
      <c r="F39" s="8">
        <v>5874</v>
      </c>
      <c r="G39" s="50">
        <v>0.38190850692150902</v>
      </c>
      <c r="H39" s="50">
        <v>0.13134085653751601</v>
      </c>
      <c r="I39" s="50">
        <v>0.32667996261100002</v>
      </c>
      <c r="J39" s="50">
        <v>0.112299624531897</v>
      </c>
      <c r="K39" s="50">
        <v>4.7771049398078497E-2</v>
      </c>
      <c r="L39" s="6" t="s">
        <v>593</v>
      </c>
    </row>
    <row r="40" spans="1:12" ht="18" customHeight="1" x14ac:dyDescent="0.15">
      <c r="A40" s="5" t="s">
        <v>590</v>
      </c>
      <c r="B40" s="6" t="s">
        <v>615</v>
      </c>
      <c r="C40" s="6" t="s">
        <v>570</v>
      </c>
      <c r="D40" s="6" t="s">
        <v>570</v>
      </c>
      <c r="E40" s="6" t="s">
        <v>620</v>
      </c>
      <c r="F40" s="8">
        <v>5876</v>
      </c>
      <c r="G40" s="50">
        <v>0.26318264984307799</v>
      </c>
      <c r="H40" s="50">
        <v>9.0225290658953294E-2</v>
      </c>
      <c r="I40" s="50">
        <v>0.46434992683610998</v>
      </c>
      <c r="J40" s="50">
        <v>0.159167157136021</v>
      </c>
      <c r="K40" s="50">
        <v>2.3074975525837701E-2</v>
      </c>
      <c r="L40" s="6" t="s">
        <v>593</v>
      </c>
    </row>
    <row r="41" spans="1:12" ht="18" customHeight="1" x14ac:dyDescent="0.15">
      <c r="A41" s="5" t="s">
        <v>590</v>
      </c>
      <c r="B41" s="6" t="s">
        <v>615</v>
      </c>
      <c r="C41" s="6" t="s">
        <v>570</v>
      </c>
      <c r="D41" s="6" t="s">
        <v>570</v>
      </c>
      <c r="E41" s="6" t="s">
        <v>603</v>
      </c>
      <c r="F41" s="8">
        <v>5177</v>
      </c>
      <c r="G41" s="50">
        <v>0.501872458658423</v>
      </c>
      <c r="H41" s="50">
        <v>0.14964653399391101</v>
      </c>
      <c r="I41" s="50">
        <v>0.25948624797444703</v>
      </c>
      <c r="J41" s="50">
        <v>7.7361047252006598E-2</v>
      </c>
      <c r="K41" s="50">
        <v>1.16337121212124E-2</v>
      </c>
      <c r="L41" s="6" t="s">
        <v>593</v>
      </c>
    </row>
    <row r="42" spans="1:12" ht="18" customHeight="1" x14ac:dyDescent="0.15">
      <c r="A42" s="5" t="s">
        <v>590</v>
      </c>
      <c r="B42" s="6" t="s">
        <v>615</v>
      </c>
      <c r="C42" s="6" t="s">
        <v>570</v>
      </c>
      <c r="D42" s="6" t="s">
        <v>570</v>
      </c>
      <c r="E42" s="6" t="s">
        <v>604</v>
      </c>
      <c r="F42" s="8">
        <v>4709</v>
      </c>
      <c r="G42" s="50">
        <v>0.51143431559527397</v>
      </c>
      <c r="H42" s="50">
        <v>0.146697508726371</v>
      </c>
      <c r="I42" s="50">
        <v>0.25635216037577802</v>
      </c>
      <c r="J42" s="50">
        <v>7.3518898517346706E-2</v>
      </c>
      <c r="K42" s="50">
        <v>1.19971167852306E-2</v>
      </c>
      <c r="L42" s="6" t="s">
        <v>593</v>
      </c>
    </row>
    <row r="43" spans="1:12" ht="18" customHeight="1" x14ac:dyDescent="0.15">
      <c r="A43" s="5" t="s">
        <v>590</v>
      </c>
      <c r="B43" s="6" t="s">
        <v>615</v>
      </c>
      <c r="C43" s="6" t="s">
        <v>570</v>
      </c>
      <c r="D43" s="6" t="s">
        <v>570</v>
      </c>
      <c r="E43" s="6" t="s">
        <v>605</v>
      </c>
      <c r="F43" s="8">
        <v>5873</v>
      </c>
      <c r="G43" s="50">
        <v>0.39288084890682101</v>
      </c>
      <c r="H43" s="50">
        <v>0.12587882914221299</v>
      </c>
      <c r="I43" s="50">
        <v>0.34760343797867999</v>
      </c>
      <c r="J43" s="50">
        <v>0.11134968193393099</v>
      </c>
      <c r="K43" s="50">
        <v>2.2287202038354499E-2</v>
      </c>
      <c r="L43" s="6" t="s">
        <v>593</v>
      </c>
    </row>
    <row r="44" spans="1:12" ht="18" customHeight="1" x14ac:dyDescent="0.15">
      <c r="A44" s="5" t="s">
        <v>590</v>
      </c>
      <c r="B44" s="6" t="s">
        <v>615</v>
      </c>
      <c r="C44" s="6" t="s">
        <v>570</v>
      </c>
      <c r="D44" s="6" t="s">
        <v>570</v>
      </c>
      <c r="E44" s="6" t="s">
        <v>606</v>
      </c>
      <c r="F44" s="8">
        <v>6049</v>
      </c>
      <c r="G44" s="50">
        <v>0.36279826601363002</v>
      </c>
      <c r="H44" s="50">
        <v>0.11733826763482801</v>
      </c>
      <c r="I44" s="50">
        <v>0.23818277089766601</v>
      </c>
      <c r="J44" s="50">
        <v>7.68295680959835E-2</v>
      </c>
      <c r="K44" s="50">
        <v>0.20485112735789299</v>
      </c>
      <c r="L44" s="6" t="s">
        <v>593</v>
      </c>
    </row>
    <row r="45" spans="1:12" ht="18" customHeight="1" x14ac:dyDescent="0.15">
      <c r="A45" s="5" t="s">
        <v>590</v>
      </c>
      <c r="B45" s="6" t="s">
        <v>615</v>
      </c>
      <c r="C45" s="6" t="s">
        <v>570</v>
      </c>
      <c r="D45" s="6" t="s">
        <v>570</v>
      </c>
      <c r="E45" s="6" t="s">
        <v>621</v>
      </c>
      <c r="F45" s="8">
        <v>484</v>
      </c>
      <c r="G45" s="50">
        <v>0.94264008186043902</v>
      </c>
      <c r="H45" s="50">
        <v>8.7054635709553994E-3</v>
      </c>
      <c r="I45" s="50">
        <v>4.7343435028082102E-2</v>
      </c>
      <c r="J45" s="50">
        <v>4.363511157233E-4</v>
      </c>
      <c r="K45" s="50">
        <v>8.7466842480046997E-4</v>
      </c>
      <c r="L45" s="6" t="s">
        <v>593</v>
      </c>
    </row>
    <row r="46" spans="1:12" ht="18" customHeight="1" x14ac:dyDescent="0.15">
      <c r="A46" s="5" t="s">
        <v>590</v>
      </c>
      <c r="B46" s="6" t="s">
        <v>615</v>
      </c>
      <c r="C46" s="6" t="s">
        <v>570</v>
      </c>
      <c r="D46" s="6" t="s">
        <v>570</v>
      </c>
      <c r="E46" s="6" t="s">
        <v>622</v>
      </c>
      <c r="F46" s="8">
        <v>491</v>
      </c>
      <c r="G46" s="50">
        <v>0.94252083177772095</v>
      </c>
      <c r="H46" s="50">
        <v>8.9112141759099608E-3</v>
      </c>
      <c r="I46" s="50">
        <v>4.7103540042425403E-2</v>
      </c>
      <c r="J46" s="50">
        <v>4.4432787819446003E-4</v>
      </c>
      <c r="K46" s="50">
        <v>1.0200861257494899E-3</v>
      </c>
      <c r="L46" s="6" t="s">
        <v>593</v>
      </c>
    </row>
    <row r="47" spans="1:12" ht="18" customHeight="1" x14ac:dyDescent="0.15">
      <c r="A47" s="5" t="s">
        <v>590</v>
      </c>
      <c r="B47" s="6" t="s">
        <v>615</v>
      </c>
      <c r="C47" s="6" t="s">
        <v>570</v>
      </c>
      <c r="D47" s="6" t="s">
        <v>570</v>
      </c>
      <c r="E47" s="6" t="s">
        <v>623</v>
      </c>
      <c r="F47" s="8">
        <v>484</v>
      </c>
      <c r="G47" s="50">
        <v>0.94544822817873797</v>
      </c>
      <c r="H47" s="50">
        <v>8.7178643956149094E-3</v>
      </c>
      <c r="I47" s="50">
        <v>4.4633913289992597E-2</v>
      </c>
      <c r="J47" s="50">
        <v>4.1077472656959001E-4</v>
      </c>
      <c r="K47" s="50">
        <v>7.8921940908517998E-4</v>
      </c>
      <c r="L47" s="6" t="s">
        <v>593</v>
      </c>
    </row>
    <row r="48" spans="1:12" ht="18" customHeight="1" x14ac:dyDescent="0.15">
      <c r="A48" s="5" t="s">
        <v>590</v>
      </c>
      <c r="B48" s="6" t="s">
        <v>615</v>
      </c>
      <c r="C48" s="6" t="s">
        <v>570</v>
      </c>
      <c r="D48" s="6" t="s">
        <v>570</v>
      </c>
      <c r="E48" s="6" t="s">
        <v>624</v>
      </c>
      <c r="F48" s="8">
        <v>492</v>
      </c>
      <c r="G48" s="50">
        <v>0.93966457741663301</v>
      </c>
      <c r="H48" s="50">
        <v>9.0879160630737907E-3</v>
      </c>
      <c r="I48" s="50">
        <v>4.9751407798845002E-2</v>
      </c>
      <c r="J48" s="50">
        <v>4.8015215209270997E-4</v>
      </c>
      <c r="K48" s="50">
        <v>1.01594656935592E-3</v>
      </c>
      <c r="L48" s="6" t="s">
        <v>593</v>
      </c>
    </row>
    <row r="49" spans="1:12" ht="18" customHeight="1" x14ac:dyDescent="0.15">
      <c r="A49" s="5" t="s">
        <v>590</v>
      </c>
      <c r="B49" s="6" t="s">
        <v>615</v>
      </c>
      <c r="C49" s="6" t="s">
        <v>570</v>
      </c>
      <c r="D49" s="6" t="s">
        <v>570</v>
      </c>
      <c r="E49" s="6" t="s">
        <v>625</v>
      </c>
      <c r="F49" s="8">
        <v>487</v>
      </c>
      <c r="G49" s="50">
        <v>0.94381761835106204</v>
      </c>
      <c r="H49" s="50">
        <v>8.6979371020580402E-3</v>
      </c>
      <c r="I49" s="50">
        <v>4.6187827418878398E-2</v>
      </c>
      <c r="J49" s="50">
        <v>4.2478118213615002E-4</v>
      </c>
      <c r="K49" s="50">
        <v>8.7183594586572998E-4</v>
      </c>
      <c r="L49" s="6" t="s">
        <v>593</v>
      </c>
    </row>
    <row r="50" spans="1:12" ht="18" customHeight="1" x14ac:dyDescent="0.15">
      <c r="A50" s="5" t="s">
        <v>590</v>
      </c>
      <c r="B50" s="6" t="s">
        <v>615</v>
      </c>
      <c r="C50" s="6" t="s">
        <v>570</v>
      </c>
      <c r="D50" s="6" t="s">
        <v>570</v>
      </c>
      <c r="E50" s="6" t="s">
        <v>626</v>
      </c>
      <c r="F50" s="8">
        <v>474</v>
      </c>
      <c r="G50" s="50">
        <v>0.94523652366295896</v>
      </c>
      <c r="H50" s="50">
        <v>8.5954900633706203E-3</v>
      </c>
      <c r="I50" s="50">
        <v>4.4879891536008097E-2</v>
      </c>
      <c r="J50" s="50">
        <v>4.0723356530790998E-4</v>
      </c>
      <c r="K50" s="50">
        <v>8.8086117235460003E-4</v>
      </c>
      <c r="L50" s="6" t="s">
        <v>593</v>
      </c>
    </row>
    <row r="51" spans="1:12" ht="18" customHeight="1" x14ac:dyDescent="0.15">
      <c r="A51" s="5" t="s">
        <v>590</v>
      </c>
      <c r="B51" s="6" t="s">
        <v>615</v>
      </c>
      <c r="C51" s="6" t="s">
        <v>570</v>
      </c>
      <c r="D51" s="6" t="s">
        <v>570</v>
      </c>
      <c r="E51" s="6" t="s">
        <v>627</v>
      </c>
      <c r="F51" s="8">
        <v>490</v>
      </c>
      <c r="G51" s="50">
        <v>0.93967197234796895</v>
      </c>
      <c r="H51" s="50">
        <v>9.2436417660248099E-3</v>
      </c>
      <c r="I51" s="50">
        <v>4.9713668937348299E-2</v>
      </c>
      <c r="J51" s="50">
        <v>4.8815548591389001E-4</v>
      </c>
      <c r="K51" s="50">
        <v>8.8256146274383004E-4</v>
      </c>
      <c r="L51" s="6" t="s">
        <v>593</v>
      </c>
    </row>
    <row r="52" spans="1:12" ht="18" customHeight="1" x14ac:dyDescent="0.15">
      <c r="A52" s="5" t="s">
        <v>590</v>
      </c>
      <c r="B52" s="6" t="s">
        <v>615</v>
      </c>
      <c r="C52" s="6" t="s">
        <v>570</v>
      </c>
      <c r="D52" s="6" t="s">
        <v>570</v>
      </c>
      <c r="E52" s="6" t="s">
        <v>628</v>
      </c>
      <c r="F52" s="8">
        <v>488</v>
      </c>
      <c r="G52" s="50">
        <v>0.94644962200065097</v>
      </c>
      <c r="H52" s="50">
        <v>9.05235762610615E-3</v>
      </c>
      <c r="I52" s="50">
        <v>4.3250125471957598E-2</v>
      </c>
      <c r="J52" s="50">
        <v>4.1283260055755997E-4</v>
      </c>
      <c r="K52" s="50">
        <v>8.3506230072745999E-4</v>
      </c>
      <c r="L52" s="6" t="s">
        <v>593</v>
      </c>
    </row>
    <row r="53" spans="1:12" ht="18" customHeight="1" x14ac:dyDescent="0.15">
      <c r="A53" s="5" t="s">
        <v>590</v>
      </c>
      <c r="B53" s="6" t="s">
        <v>615</v>
      </c>
      <c r="C53" s="6" t="s">
        <v>570</v>
      </c>
      <c r="D53" s="6" t="s">
        <v>570</v>
      </c>
      <c r="E53" s="6" t="s">
        <v>629</v>
      </c>
      <c r="F53" s="8">
        <v>487</v>
      </c>
      <c r="G53" s="50">
        <v>0.94116488446289703</v>
      </c>
      <c r="H53" s="50">
        <v>9.0011058619296896E-3</v>
      </c>
      <c r="I53" s="50">
        <v>4.8500140367895801E-2</v>
      </c>
      <c r="J53" s="50">
        <v>4.6297439402250001E-4</v>
      </c>
      <c r="K53" s="50">
        <v>8.7089491325462003E-4</v>
      </c>
      <c r="L53" s="6" t="s">
        <v>593</v>
      </c>
    </row>
    <row r="54" spans="1:12" ht="18" customHeight="1" x14ac:dyDescent="0.15">
      <c r="A54" s="5" t="s">
        <v>590</v>
      </c>
      <c r="B54" s="6" t="s">
        <v>615</v>
      </c>
      <c r="C54" s="6" t="s">
        <v>570</v>
      </c>
      <c r="D54" s="6" t="s">
        <v>570</v>
      </c>
      <c r="E54" s="6" t="s">
        <v>630</v>
      </c>
      <c r="F54" s="8">
        <v>490</v>
      </c>
      <c r="G54" s="50">
        <v>0.94337317153057698</v>
      </c>
      <c r="H54" s="50">
        <v>9.1104723684992898E-3</v>
      </c>
      <c r="I54" s="50">
        <v>4.6189605606841697E-2</v>
      </c>
      <c r="J54" s="50">
        <v>4.4518701074829E-4</v>
      </c>
      <c r="K54" s="50">
        <v>8.8156348333366999E-4</v>
      </c>
      <c r="L54" s="6" t="s">
        <v>593</v>
      </c>
    </row>
    <row r="55" spans="1:12" ht="18" customHeight="1" x14ac:dyDescent="0.15">
      <c r="A55" s="5" t="s">
        <v>590</v>
      </c>
      <c r="B55" s="6" t="s">
        <v>615</v>
      </c>
      <c r="C55" s="6" t="s">
        <v>570</v>
      </c>
      <c r="D55" s="6" t="s">
        <v>570</v>
      </c>
      <c r="E55" s="6" t="s">
        <v>631</v>
      </c>
      <c r="F55" s="8">
        <v>485</v>
      </c>
      <c r="G55" s="50">
        <v>0.94289311678504295</v>
      </c>
      <c r="H55" s="50">
        <v>8.7642988515784E-3</v>
      </c>
      <c r="I55" s="50">
        <v>4.6988657856333202E-2</v>
      </c>
      <c r="J55" s="50">
        <v>4.3584684390703999E-4</v>
      </c>
      <c r="K55" s="50">
        <v>9.1807966313815E-4</v>
      </c>
      <c r="L55" s="6" t="s">
        <v>593</v>
      </c>
    </row>
    <row r="56" spans="1:12" ht="18" customHeight="1" x14ac:dyDescent="0.15">
      <c r="A56" s="5" t="s">
        <v>590</v>
      </c>
      <c r="B56" s="6" t="s">
        <v>615</v>
      </c>
      <c r="C56" s="6" t="s">
        <v>570</v>
      </c>
      <c r="D56" s="6" t="s">
        <v>570</v>
      </c>
      <c r="E56" s="6" t="s">
        <v>632</v>
      </c>
      <c r="F56" s="8">
        <v>5737</v>
      </c>
      <c r="G56" s="50">
        <v>0.47589149159512101</v>
      </c>
      <c r="H56" s="50">
        <v>0.157892991128468</v>
      </c>
      <c r="I56" s="50">
        <v>0.26583658105503799</v>
      </c>
      <c r="J56" s="50">
        <v>8.81880263149388E-2</v>
      </c>
      <c r="K56" s="50">
        <v>1.2190909906434099E-2</v>
      </c>
      <c r="L56" s="6" t="s">
        <v>593</v>
      </c>
    </row>
    <row r="57" spans="1:12" ht="18" customHeight="1" x14ac:dyDescent="0.15">
      <c r="A57" s="5" t="s">
        <v>590</v>
      </c>
      <c r="B57" s="6" t="s">
        <v>615</v>
      </c>
      <c r="C57" s="6" t="s">
        <v>570</v>
      </c>
      <c r="D57" s="6" t="s">
        <v>570</v>
      </c>
      <c r="E57" s="6" t="s">
        <v>633</v>
      </c>
      <c r="F57" s="8">
        <v>5871</v>
      </c>
      <c r="G57" s="50">
        <v>0.45428466382904897</v>
      </c>
      <c r="H57" s="50">
        <v>0.155222910812091</v>
      </c>
      <c r="I57" s="50">
        <v>0.28246528562742801</v>
      </c>
      <c r="J57" s="50">
        <v>9.6503034561413695E-2</v>
      </c>
      <c r="K57" s="50">
        <v>1.15241051700184E-2</v>
      </c>
      <c r="L57" s="6" t="s">
        <v>593</v>
      </c>
    </row>
    <row r="58" spans="1:12" ht="18" customHeight="1" x14ac:dyDescent="0.15">
      <c r="A58" s="5" t="s">
        <v>590</v>
      </c>
      <c r="B58" s="6" t="s">
        <v>615</v>
      </c>
      <c r="C58" s="6" t="s">
        <v>570</v>
      </c>
      <c r="D58" s="6" t="s">
        <v>570</v>
      </c>
      <c r="E58" s="6" t="s">
        <v>634</v>
      </c>
      <c r="F58" s="8">
        <v>6039</v>
      </c>
      <c r="G58" s="50">
        <v>0.49465448339951001</v>
      </c>
      <c r="H58" s="50">
        <v>0.17205435743734901</v>
      </c>
      <c r="I58" s="50">
        <v>0.23412549447108799</v>
      </c>
      <c r="J58" s="50">
        <v>8.1417501820277502E-2</v>
      </c>
      <c r="K58" s="50">
        <v>1.7748162871776298E-2</v>
      </c>
      <c r="L58" s="6" t="s">
        <v>593</v>
      </c>
    </row>
    <row r="59" spans="1:12" ht="18" customHeight="1" x14ac:dyDescent="0.15">
      <c r="A59" s="5" t="s">
        <v>590</v>
      </c>
      <c r="B59" s="6" t="s">
        <v>615</v>
      </c>
      <c r="C59" s="6" t="s">
        <v>570</v>
      </c>
      <c r="D59" s="6" t="s">
        <v>570</v>
      </c>
      <c r="E59" s="6" t="s">
        <v>635</v>
      </c>
      <c r="F59" s="8">
        <v>6047</v>
      </c>
      <c r="G59" s="50">
        <v>7.5553918996440594E-34</v>
      </c>
      <c r="H59" s="50">
        <v>2.62893727460137E-34</v>
      </c>
      <c r="I59" s="50">
        <v>0.74040101164602201</v>
      </c>
      <c r="J59" s="50">
        <v>0.25762434620568098</v>
      </c>
      <c r="K59" s="50">
        <v>1.97464214829123E-3</v>
      </c>
      <c r="L59" s="6" t="s">
        <v>593</v>
      </c>
    </row>
    <row r="60" spans="1:12" ht="18" customHeight="1" x14ac:dyDescent="0.15">
      <c r="A60" s="5" t="s">
        <v>590</v>
      </c>
      <c r="B60" s="6" t="s">
        <v>615</v>
      </c>
      <c r="C60" s="6" t="s">
        <v>570</v>
      </c>
      <c r="D60" s="6" t="s">
        <v>570</v>
      </c>
      <c r="E60" s="6" t="s">
        <v>636</v>
      </c>
      <c r="F60" s="8">
        <v>6047</v>
      </c>
      <c r="G60" s="50">
        <v>1.14826510697768E-16</v>
      </c>
      <c r="H60" s="50">
        <v>3.9954471997672699E-17</v>
      </c>
      <c r="I60" s="50">
        <v>0.74015869272933799</v>
      </c>
      <c r="J60" s="50">
        <v>0.257539703136617</v>
      </c>
      <c r="K60" s="50">
        <v>2.3016041340438299E-3</v>
      </c>
      <c r="L60" s="6" t="s">
        <v>593</v>
      </c>
    </row>
    <row r="61" spans="1:12" ht="18" customHeight="1" x14ac:dyDescent="0.15">
      <c r="A61" s="5" t="s">
        <v>590</v>
      </c>
      <c r="B61" s="6" t="s">
        <v>615</v>
      </c>
      <c r="C61" s="6" t="s">
        <v>570</v>
      </c>
      <c r="D61" s="6" t="s">
        <v>570</v>
      </c>
      <c r="E61" s="6" t="s">
        <v>637</v>
      </c>
      <c r="F61" s="8">
        <v>5817</v>
      </c>
      <c r="G61" s="50">
        <v>0.46075633469337102</v>
      </c>
      <c r="H61" s="50">
        <v>0.14654848012055599</v>
      </c>
      <c r="I61" s="50">
        <v>0.28863116402522399</v>
      </c>
      <c r="J61" s="50">
        <v>9.17899546135479E-2</v>
      </c>
      <c r="K61" s="50">
        <v>1.2274066547301199E-2</v>
      </c>
      <c r="L61" s="6" t="s">
        <v>593</v>
      </c>
    </row>
    <row r="62" spans="1:12" ht="18" customHeight="1" x14ac:dyDescent="0.15">
      <c r="A62" s="5" t="s">
        <v>590</v>
      </c>
      <c r="B62" s="6" t="s">
        <v>615</v>
      </c>
      <c r="C62" s="6" t="s">
        <v>570</v>
      </c>
      <c r="D62" s="6" t="s">
        <v>570</v>
      </c>
      <c r="E62" s="6" t="s">
        <v>638</v>
      </c>
      <c r="F62" s="8">
        <v>5855</v>
      </c>
      <c r="G62" s="50">
        <v>0.47631436728827398</v>
      </c>
      <c r="H62" s="50">
        <v>0.15181536287404099</v>
      </c>
      <c r="I62" s="50">
        <v>0.27360667144405798</v>
      </c>
      <c r="J62" s="50">
        <v>8.7195405015729602E-2</v>
      </c>
      <c r="K62" s="50">
        <v>1.10681933778983E-2</v>
      </c>
      <c r="L62" s="6" t="s">
        <v>593</v>
      </c>
    </row>
    <row r="63" spans="1:12" ht="18" customHeight="1" x14ac:dyDescent="0.15">
      <c r="A63" s="5" t="s">
        <v>590</v>
      </c>
      <c r="B63" s="6" t="s">
        <v>615</v>
      </c>
      <c r="C63" s="6" t="s">
        <v>570</v>
      </c>
      <c r="D63" s="6" t="s">
        <v>570</v>
      </c>
      <c r="E63" s="6" t="s">
        <v>639</v>
      </c>
      <c r="F63" s="8">
        <v>5716</v>
      </c>
      <c r="G63" s="50">
        <v>0.44060258097010302</v>
      </c>
      <c r="H63" s="50">
        <v>0.13655499575230301</v>
      </c>
      <c r="I63" s="50">
        <v>0.314410653318697</v>
      </c>
      <c r="J63" s="50">
        <v>9.7433609026528895E-2</v>
      </c>
      <c r="K63" s="50">
        <v>1.09981609323691E-2</v>
      </c>
      <c r="L63" s="6" t="s">
        <v>593</v>
      </c>
    </row>
    <row r="64" spans="1:12" ht="18" customHeight="1" x14ac:dyDescent="0.15">
      <c r="A64" s="5" t="s">
        <v>590</v>
      </c>
      <c r="B64" s="6" t="s">
        <v>615</v>
      </c>
      <c r="C64" s="6" t="s">
        <v>570</v>
      </c>
      <c r="D64" s="6" t="s">
        <v>570</v>
      </c>
      <c r="E64" s="6" t="s">
        <v>640</v>
      </c>
      <c r="F64" s="8">
        <v>5710</v>
      </c>
      <c r="G64" s="50">
        <v>0.423944003371025</v>
      </c>
      <c r="H64" s="50">
        <v>0.13130437162217601</v>
      </c>
      <c r="I64" s="50">
        <v>0.33217520126623701</v>
      </c>
      <c r="J64" s="50">
        <v>0.102871939610175</v>
      </c>
      <c r="K64" s="50">
        <v>9.7044841303873999E-3</v>
      </c>
      <c r="L64" s="6" t="s">
        <v>593</v>
      </c>
    </row>
    <row r="65" spans="1:12" ht="18" customHeight="1" x14ac:dyDescent="0.15">
      <c r="A65" s="5" t="s">
        <v>590</v>
      </c>
      <c r="B65" s="6" t="s">
        <v>615</v>
      </c>
      <c r="C65" s="6" t="s">
        <v>570</v>
      </c>
      <c r="D65" s="6" t="s">
        <v>570</v>
      </c>
      <c r="E65" s="6" t="s">
        <v>607</v>
      </c>
      <c r="F65" s="8">
        <v>5785</v>
      </c>
      <c r="G65" s="50">
        <v>7.5149201325267798E-2</v>
      </c>
      <c r="H65" s="50">
        <v>2.3856714939165601E-2</v>
      </c>
      <c r="I65" s="50">
        <v>0.67924160910280196</v>
      </c>
      <c r="J65" s="50">
        <v>0.21562455287613999</v>
      </c>
      <c r="K65" s="50">
        <v>6.1279217566251199E-3</v>
      </c>
      <c r="L65" s="6" t="s">
        <v>593</v>
      </c>
    </row>
    <row r="66" spans="1:12" ht="18" customHeight="1" x14ac:dyDescent="0.15">
      <c r="A66" s="5" t="s">
        <v>590</v>
      </c>
      <c r="B66" s="6" t="s">
        <v>615</v>
      </c>
      <c r="C66" s="6" t="s">
        <v>570</v>
      </c>
      <c r="D66" s="6" t="s">
        <v>570</v>
      </c>
      <c r="E66" s="6" t="s">
        <v>609</v>
      </c>
      <c r="F66" s="8">
        <v>82</v>
      </c>
      <c r="G66" s="50">
        <v>3.0083171999999999E-10</v>
      </c>
      <c r="H66" s="50">
        <v>1.1663E-13</v>
      </c>
      <c r="I66" s="50">
        <v>0.99649354550871905</v>
      </c>
      <c r="J66" s="50">
        <v>3.8323753705189002E-4</v>
      </c>
      <c r="K66" s="50">
        <v>3.1232166532802002E-3</v>
      </c>
      <c r="L66" s="6" t="s">
        <v>593</v>
      </c>
    </row>
    <row r="67" spans="1:12" ht="18" customHeight="1" x14ac:dyDescent="0.15">
      <c r="A67" s="5" t="s">
        <v>590</v>
      </c>
      <c r="B67" s="6" t="s">
        <v>615</v>
      </c>
      <c r="C67" s="6" t="s">
        <v>570</v>
      </c>
      <c r="D67" s="6" t="s">
        <v>570</v>
      </c>
      <c r="E67" s="6" t="s">
        <v>610</v>
      </c>
      <c r="F67" s="8">
        <v>96</v>
      </c>
      <c r="G67" s="50">
        <v>5.1102566520000003E-8</v>
      </c>
      <c r="H67" s="50">
        <v>2.238203E-11</v>
      </c>
      <c r="I67" s="50">
        <v>0.99659922484671004</v>
      </c>
      <c r="J67" s="50">
        <v>4.335258670477E-4</v>
      </c>
      <c r="K67" s="50">
        <v>2.9671981612924099E-3</v>
      </c>
      <c r="L67" s="6" t="s">
        <v>593</v>
      </c>
    </row>
    <row r="68" spans="1:12" ht="18" customHeight="1" x14ac:dyDescent="0.15">
      <c r="A68" s="5" t="s">
        <v>590</v>
      </c>
      <c r="B68" s="6" t="s">
        <v>615</v>
      </c>
      <c r="C68" s="6" t="s">
        <v>570</v>
      </c>
      <c r="D68" s="6" t="s">
        <v>570</v>
      </c>
      <c r="E68" s="6" t="s">
        <v>611</v>
      </c>
      <c r="F68" s="8">
        <v>84</v>
      </c>
      <c r="G68" s="50">
        <v>2.4259235000000001E-10</v>
      </c>
      <c r="H68" s="50">
        <v>9.6380000000000002E-14</v>
      </c>
      <c r="I68" s="50">
        <v>0.99665142017674502</v>
      </c>
      <c r="J68" s="50">
        <v>3.9302357142892002E-4</v>
      </c>
      <c r="K68" s="50">
        <v>2.9555560091378101E-3</v>
      </c>
      <c r="L68" s="6" t="s">
        <v>593</v>
      </c>
    </row>
    <row r="69" spans="1:12" ht="18" customHeight="1" x14ac:dyDescent="0.15">
      <c r="A69" s="5" t="s">
        <v>590</v>
      </c>
      <c r="B69" s="6" t="s">
        <v>615</v>
      </c>
      <c r="C69" s="6" t="s">
        <v>570</v>
      </c>
      <c r="D69" s="6" t="s">
        <v>570</v>
      </c>
      <c r="E69" s="6" t="s">
        <v>641</v>
      </c>
      <c r="F69" s="8">
        <v>98</v>
      </c>
      <c r="G69" s="50">
        <v>4.4073605299999996E-9</v>
      </c>
      <c r="H69" s="50">
        <v>1.9772899999999999E-12</v>
      </c>
      <c r="I69" s="50">
        <v>0.99641197561118</v>
      </c>
      <c r="J69" s="50">
        <v>4.4388044012886999E-4</v>
      </c>
      <c r="K69" s="50">
        <v>3.1441395393540599E-3</v>
      </c>
      <c r="L69" s="6" t="s">
        <v>593</v>
      </c>
    </row>
    <row r="70" spans="1:12" ht="18" customHeight="1" x14ac:dyDescent="0.15">
      <c r="A70" s="5" t="s">
        <v>590</v>
      </c>
      <c r="B70" s="6" t="s">
        <v>615</v>
      </c>
      <c r="C70" s="6" t="s">
        <v>570</v>
      </c>
      <c r="D70" s="6" t="s">
        <v>570</v>
      </c>
      <c r="E70" s="6" t="s">
        <v>612</v>
      </c>
      <c r="F70" s="8">
        <v>68</v>
      </c>
      <c r="G70" s="50">
        <v>7.4364152035357996E-4</v>
      </c>
      <c r="H70" s="50">
        <v>2.7319540753E-7</v>
      </c>
      <c r="I70" s="50">
        <v>0.99214012913893901</v>
      </c>
      <c r="J70" s="50">
        <v>3.5772939193248998E-4</v>
      </c>
      <c r="K70" s="50">
        <v>6.7582267533676599E-3</v>
      </c>
      <c r="L70" s="6" t="s">
        <v>593</v>
      </c>
    </row>
    <row r="71" spans="1:12" ht="18" customHeight="1" x14ac:dyDescent="0.15">
      <c r="A71" s="5" t="s">
        <v>590</v>
      </c>
      <c r="B71" s="6" t="s">
        <v>615</v>
      </c>
      <c r="C71" s="6" t="s">
        <v>570</v>
      </c>
      <c r="D71" s="6" t="s">
        <v>570</v>
      </c>
      <c r="E71" s="6" t="s">
        <v>642</v>
      </c>
      <c r="F71" s="8">
        <v>26</v>
      </c>
      <c r="G71" s="50">
        <v>2.1515574654353001E-2</v>
      </c>
      <c r="H71" s="50">
        <v>3.16068349864E-6</v>
      </c>
      <c r="I71" s="50">
        <v>0.97255439486317696</v>
      </c>
      <c r="J71" s="50">
        <v>1.3708051172762E-4</v>
      </c>
      <c r="K71" s="50">
        <v>5.7897892872436699E-3</v>
      </c>
      <c r="L71" s="6" t="s">
        <v>593</v>
      </c>
    </row>
    <row r="72" spans="1:12" ht="18" customHeight="1" x14ac:dyDescent="0.15">
      <c r="A72" s="5" t="s">
        <v>590</v>
      </c>
      <c r="B72" s="6" t="s">
        <v>615</v>
      </c>
      <c r="C72" s="6" t="s">
        <v>570</v>
      </c>
      <c r="D72" s="6" t="s">
        <v>570</v>
      </c>
      <c r="E72" s="6" t="s">
        <v>643</v>
      </c>
      <c r="F72" s="8"/>
      <c r="G72" s="50"/>
      <c r="H72" s="50"/>
      <c r="I72" s="50"/>
      <c r="J72" s="50"/>
      <c r="K72" s="50"/>
      <c r="L72" s="6" t="s">
        <v>644</v>
      </c>
    </row>
    <row r="73" spans="1:12" ht="18" customHeight="1" x14ac:dyDescent="0.15">
      <c r="A73" s="5" t="s">
        <v>590</v>
      </c>
      <c r="B73" s="6" t="s">
        <v>615</v>
      </c>
      <c r="C73" s="6" t="s">
        <v>570</v>
      </c>
      <c r="D73" s="6" t="s">
        <v>570</v>
      </c>
      <c r="E73" s="6" t="s">
        <v>645</v>
      </c>
      <c r="F73" s="8">
        <v>60</v>
      </c>
      <c r="G73" s="50">
        <v>1.5968758999999999E-9</v>
      </c>
      <c r="H73" s="50">
        <v>4.7424000000000001E-13</v>
      </c>
      <c r="I73" s="50">
        <v>0.99667881487615795</v>
      </c>
      <c r="J73" s="50">
        <v>2.9296557856966002E-4</v>
      </c>
      <c r="K73" s="50">
        <v>3.0282179479241998E-3</v>
      </c>
      <c r="L73" s="6" t="s">
        <v>593</v>
      </c>
    </row>
    <row r="74" spans="1:12" ht="18" customHeight="1" x14ac:dyDescent="0.15">
      <c r="A74" s="5" t="s">
        <v>590</v>
      </c>
      <c r="B74" s="6" t="s">
        <v>615</v>
      </c>
      <c r="C74" s="6" t="s">
        <v>570</v>
      </c>
      <c r="D74" s="6" t="s">
        <v>570</v>
      </c>
      <c r="E74" s="6" t="s">
        <v>613</v>
      </c>
      <c r="F74" s="8">
        <v>42</v>
      </c>
      <c r="G74" s="50">
        <v>4.919479425E-8</v>
      </c>
      <c r="H74" s="50">
        <v>7.0356600000000003E-12</v>
      </c>
      <c r="I74" s="50">
        <v>0.99611014360821204</v>
      </c>
      <c r="J74" s="50">
        <v>1.3870905399027001E-4</v>
      </c>
      <c r="K74" s="50">
        <v>3.75109813596555E-3</v>
      </c>
      <c r="L74" s="6" t="s">
        <v>593</v>
      </c>
    </row>
    <row r="75" spans="1:12" ht="18" customHeight="1" x14ac:dyDescent="0.15">
      <c r="A75" s="5" t="s">
        <v>590</v>
      </c>
      <c r="B75" s="6" t="s">
        <v>615</v>
      </c>
      <c r="C75" s="6" t="s">
        <v>570</v>
      </c>
      <c r="D75" s="6" t="s">
        <v>570</v>
      </c>
      <c r="E75" s="6" t="s">
        <v>614</v>
      </c>
      <c r="F75" s="8">
        <v>77</v>
      </c>
      <c r="G75" s="50">
        <v>6.9664208999999999E-10</v>
      </c>
      <c r="H75" s="50">
        <v>2.8366999999999999E-13</v>
      </c>
      <c r="I75" s="50">
        <v>0.99493853038712199</v>
      </c>
      <c r="J75" s="50">
        <v>4.0048029414350999E-4</v>
      </c>
      <c r="K75" s="50">
        <v>4.6609886218103797E-3</v>
      </c>
      <c r="L75" s="6" t="s">
        <v>593</v>
      </c>
    </row>
    <row r="76" spans="1:12" ht="18" customHeight="1" x14ac:dyDescent="0.15">
      <c r="A76" s="5" t="s">
        <v>590</v>
      </c>
      <c r="B76" s="6" t="s">
        <v>646</v>
      </c>
      <c r="C76" s="6" t="s">
        <v>572</v>
      </c>
      <c r="D76" s="6" t="s">
        <v>572</v>
      </c>
      <c r="E76" s="6" t="s">
        <v>592</v>
      </c>
      <c r="F76" s="8">
        <v>897</v>
      </c>
      <c r="G76" s="50">
        <v>0.71171709738562905</v>
      </c>
      <c r="H76" s="50">
        <v>0.17695231392032401</v>
      </c>
      <c r="I76" s="50">
        <v>7.8057107129569397E-2</v>
      </c>
      <c r="J76" s="50">
        <v>1.9393249054170301E-2</v>
      </c>
      <c r="K76" s="50">
        <v>1.3880232510307001E-2</v>
      </c>
      <c r="L76" s="6" t="s">
        <v>593</v>
      </c>
    </row>
    <row r="77" spans="1:12" ht="18" customHeight="1" x14ac:dyDescent="0.15">
      <c r="A77" s="5" t="s">
        <v>590</v>
      </c>
      <c r="B77" s="6" t="s">
        <v>646</v>
      </c>
      <c r="C77" s="6" t="s">
        <v>572</v>
      </c>
      <c r="D77" s="6" t="s">
        <v>572</v>
      </c>
      <c r="E77" s="6" t="s">
        <v>594</v>
      </c>
      <c r="F77" s="8">
        <v>897</v>
      </c>
      <c r="G77" s="50">
        <v>0.72079198401726297</v>
      </c>
      <c r="H77" s="50">
        <v>0.17920857865518999</v>
      </c>
      <c r="I77" s="50">
        <v>6.7976209377166905E-2</v>
      </c>
      <c r="J77" s="50">
        <v>1.6885605080947799E-2</v>
      </c>
      <c r="K77" s="50">
        <v>1.5137622869432101E-2</v>
      </c>
      <c r="L77" s="6" t="s">
        <v>593</v>
      </c>
    </row>
    <row r="78" spans="1:12" ht="18" customHeight="1" x14ac:dyDescent="0.15">
      <c r="A78" s="5" t="s">
        <v>590</v>
      </c>
      <c r="B78" s="6" t="s">
        <v>646</v>
      </c>
      <c r="C78" s="6" t="s">
        <v>572</v>
      </c>
      <c r="D78" s="6" t="s">
        <v>572</v>
      </c>
      <c r="E78" s="6" t="s">
        <v>595</v>
      </c>
      <c r="F78" s="8">
        <v>897</v>
      </c>
      <c r="G78" s="50">
        <v>0.58644663425951504</v>
      </c>
      <c r="H78" s="50">
        <v>0.14580665450387501</v>
      </c>
      <c r="I78" s="50">
        <v>0.20051053699417201</v>
      </c>
      <c r="J78" s="50">
        <v>4.9834996097202301E-2</v>
      </c>
      <c r="K78" s="50">
        <v>1.7401178145235899E-2</v>
      </c>
      <c r="L78" s="6" t="s">
        <v>593</v>
      </c>
    </row>
    <row r="79" spans="1:12" ht="18" customHeight="1" x14ac:dyDescent="0.15">
      <c r="A79" s="5" t="s">
        <v>590</v>
      </c>
      <c r="B79" s="6" t="s">
        <v>646</v>
      </c>
      <c r="C79" s="6" t="s">
        <v>572</v>
      </c>
      <c r="D79" s="6" t="s">
        <v>572</v>
      </c>
      <c r="E79" s="6" t="s">
        <v>596</v>
      </c>
      <c r="F79" s="8">
        <v>897</v>
      </c>
      <c r="G79" s="50">
        <v>0.70599919401357702</v>
      </c>
      <c r="H79" s="50">
        <v>0.17553068693373899</v>
      </c>
      <c r="I79" s="50">
        <v>7.0509631855632096E-2</v>
      </c>
      <c r="J79" s="50">
        <v>1.7500160416146101E-2</v>
      </c>
      <c r="K79" s="50">
        <v>3.0460326780905801E-2</v>
      </c>
      <c r="L79" s="6" t="s">
        <v>593</v>
      </c>
    </row>
    <row r="80" spans="1:12" ht="18" customHeight="1" x14ac:dyDescent="0.15">
      <c r="A80" s="5" t="s">
        <v>590</v>
      </c>
      <c r="B80" s="6" t="s">
        <v>646</v>
      </c>
      <c r="C80" s="6" t="s">
        <v>572</v>
      </c>
      <c r="D80" s="6" t="s">
        <v>572</v>
      </c>
      <c r="E80" s="6" t="s">
        <v>597</v>
      </c>
      <c r="F80" s="8">
        <v>897</v>
      </c>
      <c r="G80" s="50">
        <v>0.69136409524850295</v>
      </c>
      <c r="H80" s="50">
        <v>0.171892001562199</v>
      </c>
      <c r="I80" s="50">
        <v>9.6958676007415798E-2</v>
      </c>
      <c r="J80" s="50">
        <v>2.4090881338774899E-2</v>
      </c>
      <c r="K80" s="50">
        <v>1.5694345843107301E-2</v>
      </c>
      <c r="L80" s="6" t="s">
        <v>593</v>
      </c>
    </row>
    <row r="81" spans="1:12" ht="18" customHeight="1" x14ac:dyDescent="0.15">
      <c r="A81" s="5" t="s">
        <v>590</v>
      </c>
      <c r="B81" s="6" t="s">
        <v>646</v>
      </c>
      <c r="C81" s="6" t="s">
        <v>572</v>
      </c>
      <c r="D81" s="6" t="s">
        <v>572</v>
      </c>
      <c r="E81" s="6" t="s">
        <v>598</v>
      </c>
      <c r="F81" s="8">
        <v>897</v>
      </c>
      <c r="G81" s="50">
        <v>0.72158226761445199</v>
      </c>
      <c r="H81" s="50">
        <v>0.179405064747332</v>
      </c>
      <c r="I81" s="50">
        <v>6.7277617418747701E-2</v>
      </c>
      <c r="J81" s="50">
        <v>1.6712030638430599E-2</v>
      </c>
      <c r="K81" s="50">
        <v>1.5023019581037101E-2</v>
      </c>
      <c r="L81" s="6" t="s">
        <v>593</v>
      </c>
    </row>
    <row r="82" spans="1:12" ht="18" customHeight="1" x14ac:dyDescent="0.15">
      <c r="A82" s="5" t="s">
        <v>590</v>
      </c>
      <c r="B82" s="6" t="s">
        <v>646</v>
      </c>
      <c r="C82" s="6" t="s">
        <v>572</v>
      </c>
      <c r="D82" s="6" t="s">
        <v>572</v>
      </c>
      <c r="E82" s="6" t="s">
        <v>599</v>
      </c>
      <c r="F82" s="8">
        <v>897</v>
      </c>
      <c r="G82" s="50">
        <v>0.72021027375802105</v>
      </c>
      <c r="H82" s="50">
        <v>0.17906394959291</v>
      </c>
      <c r="I82" s="50">
        <v>7.14599867701316E-2</v>
      </c>
      <c r="J82" s="50">
        <v>1.7755394542228901E-2</v>
      </c>
      <c r="K82" s="50">
        <v>1.1510395336709099E-2</v>
      </c>
      <c r="L82" s="6" t="s">
        <v>593</v>
      </c>
    </row>
    <row r="83" spans="1:12" ht="18" customHeight="1" x14ac:dyDescent="0.15">
      <c r="A83" s="5" t="s">
        <v>590</v>
      </c>
      <c r="B83" s="6" t="s">
        <v>646</v>
      </c>
      <c r="C83" s="6" t="s">
        <v>572</v>
      </c>
      <c r="D83" s="6" t="s">
        <v>572</v>
      </c>
      <c r="E83" s="6" t="s">
        <v>600</v>
      </c>
      <c r="F83" s="8">
        <v>897</v>
      </c>
      <c r="G83" s="50">
        <v>0.73447715551500203</v>
      </c>
      <c r="H83" s="50">
        <v>0.18261108615686</v>
      </c>
      <c r="I83" s="50">
        <v>5.7339179761046397E-2</v>
      </c>
      <c r="J83" s="50">
        <v>1.4244758726740201E-2</v>
      </c>
      <c r="K83" s="50">
        <v>1.13278198403508E-2</v>
      </c>
      <c r="L83" s="6" t="s">
        <v>593</v>
      </c>
    </row>
    <row r="84" spans="1:12" ht="18" customHeight="1" x14ac:dyDescent="0.15">
      <c r="A84" s="5" t="s">
        <v>590</v>
      </c>
      <c r="B84" s="6" t="s">
        <v>646</v>
      </c>
      <c r="C84" s="6" t="s">
        <v>572</v>
      </c>
      <c r="D84" s="6" t="s">
        <v>572</v>
      </c>
      <c r="E84" s="6" t="s">
        <v>601</v>
      </c>
      <c r="F84" s="8">
        <v>897</v>
      </c>
      <c r="G84" s="50">
        <v>0.69533471513671097</v>
      </c>
      <c r="H84" s="50">
        <v>0.17287920614039101</v>
      </c>
      <c r="I84" s="50">
        <v>5.7446441201974598E-2</v>
      </c>
      <c r="J84" s="50">
        <v>1.42226376712376E-2</v>
      </c>
      <c r="K84" s="50">
        <v>6.0116999849686298E-2</v>
      </c>
      <c r="L84" s="6" t="s">
        <v>593</v>
      </c>
    </row>
    <row r="85" spans="1:12" ht="18" customHeight="1" x14ac:dyDescent="0.15">
      <c r="A85" s="5" t="s">
        <v>590</v>
      </c>
      <c r="B85" s="6" t="s">
        <v>646</v>
      </c>
      <c r="C85" s="6" t="s">
        <v>572</v>
      </c>
      <c r="D85" s="6" t="s">
        <v>572</v>
      </c>
      <c r="E85" s="6" t="s">
        <v>602</v>
      </c>
      <c r="F85" s="8">
        <v>897</v>
      </c>
      <c r="G85" s="50">
        <v>9.5281999999999997E-13</v>
      </c>
      <c r="H85" s="50">
        <v>2.3689000000000001E-13</v>
      </c>
      <c r="I85" s="50">
        <v>0.79497710020872803</v>
      </c>
      <c r="J85" s="50">
        <v>0.197645647963307</v>
      </c>
      <c r="K85" s="50">
        <v>7.3772518267762304E-3</v>
      </c>
      <c r="L85" s="6" t="s">
        <v>593</v>
      </c>
    </row>
    <row r="86" spans="1:12" ht="18" customHeight="1" x14ac:dyDescent="0.15">
      <c r="A86" s="5" t="s">
        <v>590</v>
      </c>
      <c r="B86" s="6" t="s">
        <v>646</v>
      </c>
      <c r="C86" s="6" t="s">
        <v>572</v>
      </c>
      <c r="D86" s="6" t="s">
        <v>572</v>
      </c>
      <c r="E86" s="6" t="s">
        <v>603</v>
      </c>
      <c r="F86" s="8">
        <v>859</v>
      </c>
      <c r="G86" s="50">
        <v>0.71860572986648696</v>
      </c>
      <c r="H86" s="50">
        <v>0.17791944593034201</v>
      </c>
      <c r="I86" s="50">
        <v>7.0122881967997597E-2</v>
      </c>
      <c r="J86" s="50">
        <v>1.73457037900888E-2</v>
      </c>
      <c r="K86" s="50">
        <v>1.60062384450846E-2</v>
      </c>
      <c r="L86" s="6" t="s">
        <v>593</v>
      </c>
    </row>
    <row r="87" spans="1:12" ht="18" customHeight="1" x14ac:dyDescent="0.15">
      <c r="A87" s="5" t="s">
        <v>590</v>
      </c>
      <c r="B87" s="6" t="s">
        <v>646</v>
      </c>
      <c r="C87" s="6" t="s">
        <v>572</v>
      </c>
      <c r="D87" s="6" t="s">
        <v>572</v>
      </c>
      <c r="E87" s="6" t="s">
        <v>604</v>
      </c>
      <c r="F87" s="8">
        <v>839</v>
      </c>
      <c r="G87" s="50">
        <v>0.72728585148804603</v>
      </c>
      <c r="H87" s="50">
        <v>0.176410740340221</v>
      </c>
      <c r="I87" s="50">
        <v>6.4112016719536299E-2</v>
      </c>
      <c r="J87" s="50">
        <v>1.5534378816065E-2</v>
      </c>
      <c r="K87" s="50">
        <v>1.6657012636132101E-2</v>
      </c>
      <c r="L87" s="6" t="s">
        <v>593</v>
      </c>
    </row>
    <row r="88" spans="1:12" ht="18" customHeight="1" x14ac:dyDescent="0.15">
      <c r="A88" s="5" t="s">
        <v>590</v>
      </c>
      <c r="B88" s="6" t="s">
        <v>646</v>
      </c>
      <c r="C88" s="6" t="s">
        <v>572</v>
      </c>
      <c r="D88" s="6" t="s">
        <v>572</v>
      </c>
      <c r="E88" s="6" t="s">
        <v>605</v>
      </c>
      <c r="F88" s="8">
        <v>896</v>
      </c>
      <c r="G88" s="50">
        <v>0.38904646793981701</v>
      </c>
      <c r="H88" s="50">
        <v>9.6791525074919602E-2</v>
      </c>
      <c r="I88" s="50">
        <v>0.398689004505832</v>
      </c>
      <c r="J88" s="50">
        <v>9.9174209171129707E-2</v>
      </c>
      <c r="K88" s="50">
        <v>1.6298793308302199E-2</v>
      </c>
      <c r="L88" s="6" t="s">
        <v>593</v>
      </c>
    </row>
    <row r="89" spans="1:12" ht="18" customHeight="1" x14ac:dyDescent="0.15">
      <c r="A89" s="5" t="s">
        <v>590</v>
      </c>
      <c r="B89" s="6" t="s">
        <v>646</v>
      </c>
      <c r="C89" s="6" t="s">
        <v>572</v>
      </c>
      <c r="D89" s="6" t="s">
        <v>572</v>
      </c>
      <c r="E89" s="6" t="s">
        <v>606</v>
      </c>
      <c r="F89" s="8">
        <v>898</v>
      </c>
      <c r="G89" s="50">
        <v>1.6703638343809201E-3</v>
      </c>
      <c r="H89" s="50">
        <v>4.1563932162377003E-4</v>
      </c>
      <c r="I89" s="50">
        <v>0.79561414284527898</v>
      </c>
      <c r="J89" s="50">
        <v>0.19796961759457901</v>
      </c>
      <c r="K89" s="50">
        <v>4.3302364041372101E-3</v>
      </c>
      <c r="L89" s="6" t="s">
        <v>593</v>
      </c>
    </row>
    <row r="90" spans="1:12" ht="18" customHeight="1" x14ac:dyDescent="0.15">
      <c r="A90" s="5" t="s">
        <v>590</v>
      </c>
      <c r="B90" s="6" t="s">
        <v>646</v>
      </c>
      <c r="C90" s="6" t="s">
        <v>572</v>
      </c>
      <c r="D90" s="6" t="s">
        <v>572</v>
      </c>
      <c r="E90" s="6" t="s">
        <v>607</v>
      </c>
      <c r="F90" s="8">
        <v>888</v>
      </c>
      <c r="G90" s="50">
        <v>0.70168115817131405</v>
      </c>
      <c r="H90" s="50">
        <v>0.17436121040483299</v>
      </c>
      <c r="I90" s="50">
        <v>8.9616626615072803E-2</v>
      </c>
      <c r="J90" s="50">
        <v>2.2256810027381901E-2</v>
      </c>
      <c r="K90" s="50">
        <v>1.20841947813987E-2</v>
      </c>
      <c r="L90" s="6" t="s">
        <v>593</v>
      </c>
    </row>
    <row r="91" spans="1:12" ht="18" customHeight="1" x14ac:dyDescent="0.15">
      <c r="A91" s="5" t="s">
        <v>590</v>
      </c>
      <c r="B91" s="6" t="s">
        <v>646</v>
      </c>
      <c r="C91" s="6" t="s">
        <v>572</v>
      </c>
      <c r="D91" s="6" t="s">
        <v>572</v>
      </c>
      <c r="E91" s="6" t="s">
        <v>608</v>
      </c>
      <c r="F91" s="8"/>
      <c r="G91" s="50"/>
      <c r="H91" s="50"/>
      <c r="I91" s="50"/>
      <c r="J91" s="50"/>
      <c r="K91" s="50"/>
      <c r="L91" s="6" t="s">
        <v>644</v>
      </c>
    </row>
    <row r="92" spans="1:12" ht="18" customHeight="1" x14ac:dyDescent="0.15">
      <c r="A92" s="5" t="s">
        <v>590</v>
      </c>
      <c r="B92" s="6" t="s">
        <v>646</v>
      </c>
      <c r="C92" s="6" t="s">
        <v>572</v>
      </c>
      <c r="D92" s="6" t="s">
        <v>572</v>
      </c>
      <c r="E92" s="6" t="s">
        <v>609</v>
      </c>
      <c r="F92" s="8"/>
      <c r="G92" s="50"/>
      <c r="H92" s="50"/>
      <c r="I92" s="50"/>
      <c r="J92" s="50"/>
      <c r="K92" s="50"/>
      <c r="L92" s="6" t="s">
        <v>644</v>
      </c>
    </row>
    <row r="93" spans="1:12" ht="18" customHeight="1" x14ac:dyDescent="0.15">
      <c r="A93" s="5" t="s">
        <v>590</v>
      </c>
      <c r="B93" s="6" t="s">
        <v>646</v>
      </c>
      <c r="C93" s="6" t="s">
        <v>572</v>
      </c>
      <c r="D93" s="6" t="s">
        <v>572</v>
      </c>
      <c r="E93" s="6" t="s">
        <v>610</v>
      </c>
      <c r="F93" s="8">
        <v>19</v>
      </c>
      <c r="G93" s="50">
        <v>0.408845585560691</v>
      </c>
      <c r="H93" s="50">
        <v>4.3830413281929999E-5</v>
      </c>
      <c r="I93" s="50">
        <v>0.58788824606308898</v>
      </c>
      <c r="J93" s="50">
        <v>5.9862259547689998E-5</v>
      </c>
      <c r="K93" s="50">
        <v>3.16247570339035E-3</v>
      </c>
      <c r="L93" s="6" t="s">
        <v>593</v>
      </c>
    </row>
    <row r="94" spans="1:12" ht="18" customHeight="1" x14ac:dyDescent="0.15">
      <c r="A94" s="5" t="s">
        <v>590</v>
      </c>
      <c r="B94" s="6" t="s">
        <v>646</v>
      </c>
      <c r="C94" s="6" t="s">
        <v>572</v>
      </c>
      <c r="D94" s="6" t="s">
        <v>572</v>
      </c>
      <c r="E94" s="6" t="s">
        <v>611</v>
      </c>
      <c r="F94" s="8"/>
      <c r="G94" s="50"/>
      <c r="H94" s="50"/>
      <c r="I94" s="50"/>
      <c r="J94" s="50"/>
      <c r="K94" s="50"/>
      <c r="L94" s="6" t="s">
        <v>644</v>
      </c>
    </row>
    <row r="95" spans="1:12" ht="18" customHeight="1" x14ac:dyDescent="0.15">
      <c r="A95" s="5" t="s">
        <v>590</v>
      </c>
      <c r="B95" s="6" t="s">
        <v>646</v>
      </c>
      <c r="C95" s="6" t="s">
        <v>572</v>
      </c>
      <c r="D95" s="6" t="s">
        <v>572</v>
      </c>
      <c r="E95" s="6" t="s">
        <v>612</v>
      </c>
      <c r="F95" s="8"/>
      <c r="G95" s="50"/>
      <c r="H95" s="50"/>
      <c r="I95" s="50"/>
      <c r="J95" s="50"/>
      <c r="K95" s="50"/>
      <c r="L95" s="6" t="s">
        <v>644</v>
      </c>
    </row>
    <row r="96" spans="1:12" ht="18" customHeight="1" x14ac:dyDescent="0.15">
      <c r="A96" s="5" t="s">
        <v>590</v>
      </c>
      <c r="B96" s="6" t="s">
        <v>646</v>
      </c>
      <c r="C96" s="6" t="s">
        <v>572</v>
      </c>
      <c r="D96" s="6" t="s">
        <v>572</v>
      </c>
      <c r="E96" s="6" t="s">
        <v>613</v>
      </c>
      <c r="F96" s="8"/>
      <c r="G96" s="50"/>
      <c r="H96" s="50"/>
      <c r="I96" s="50"/>
      <c r="J96" s="50"/>
      <c r="K96" s="50"/>
      <c r="L96" s="6" t="s">
        <v>644</v>
      </c>
    </row>
    <row r="97" spans="1:12" ht="18" customHeight="1" x14ac:dyDescent="0.15">
      <c r="A97" s="5" t="s">
        <v>590</v>
      </c>
      <c r="B97" s="6" t="s">
        <v>646</v>
      </c>
      <c r="C97" s="6" t="s">
        <v>572</v>
      </c>
      <c r="D97" s="6" t="s">
        <v>572</v>
      </c>
      <c r="E97" s="6" t="s">
        <v>614</v>
      </c>
      <c r="F97" s="8"/>
      <c r="G97" s="50"/>
      <c r="H97" s="50"/>
      <c r="I97" s="50"/>
      <c r="J97" s="50"/>
      <c r="K97" s="50"/>
      <c r="L97" s="6" t="s">
        <v>644</v>
      </c>
    </row>
    <row r="98" spans="1:12" ht="18" customHeight="1" x14ac:dyDescent="0.15">
      <c r="A98" s="5" t="s">
        <v>590</v>
      </c>
      <c r="B98" s="6" t="s">
        <v>647</v>
      </c>
      <c r="C98" s="6" t="s">
        <v>570</v>
      </c>
      <c r="D98" s="6" t="s">
        <v>570</v>
      </c>
      <c r="E98" s="6" t="s">
        <v>592</v>
      </c>
      <c r="F98" s="8">
        <v>717</v>
      </c>
      <c r="G98" s="50">
        <v>6.8642510921862996E-4</v>
      </c>
      <c r="H98" s="50">
        <v>0.85964811177535005</v>
      </c>
      <c r="I98" s="50">
        <v>5.2289837184789999E-5</v>
      </c>
      <c r="J98" s="50">
        <v>6.5411251913678498E-2</v>
      </c>
      <c r="K98" s="50">
        <v>7.4201921364568393E-2</v>
      </c>
      <c r="L98" s="6" t="s">
        <v>593</v>
      </c>
    </row>
    <row r="99" spans="1:12" ht="18" customHeight="1" x14ac:dyDescent="0.15">
      <c r="A99" s="5" t="s">
        <v>590</v>
      </c>
      <c r="B99" s="6" t="s">
        <v>647</v>
      </c>
      <c r="C99" s="6" t="s">
        <v>570</v>
      </c>
      <c r="D99" s="6" t="s">
        <v>570</v>
      </c>
      <c r="E99" s="6" t="s">
        <v>594</v>
      </c>
      <c r="F99" s="8">
        <v>717</v>
      </c>
      <c r="G99" s="50">
        <v>6.7762918396206998E-4</v>
      </c>
      <c r="H99" s="50">
        <v>0.84863248831319804</v>
      </c>
      <c r="I99" s="50">
        <v>4.7476911357990001E-5</v>
      </c>
      <c r="J99" s="50">
        <v>5.9366685029571001E-2</v>
      </c>
      <c r="K99" s="50">
        <v>9.12757205619108E-2</v>
      </c>
      <c r="L99" s="6" t="s">
        <v>593</v>
      </c>
    </row>
    <row r="100" spans="1:12" ht="18" customHeight="1" x14ac:dyDescent="0.15">
      <c r="A100" s="5" t="s">
        <v>590</v>
      </c>
      <c r="B100" s="6" t="s">
        <v>647</v>
      </c>
      <c r="C100" s="6" t="s">
        <v>570</v>
      </c>
      <c r="D100" s="6" t="s">
        <v>570</v>
      </c>
      <c r="E100" s="6" t="s">
        <v>595</v>
      </c>
      <c r="F100" s="8">
        <v>717</v>
      </c>
      <c r="G100" s="50">
        <v>6.6616909204307996E-4</v>
      </c>
      <c r="H100" s="50">
        <v>0.83428038165709995</v>
      </c>
      <c r="I100" s="50">
        <v>7.8325050766219997E-5</v>
      </c>
      <c r="J100" s="50">
        <v>9.8023839818149897E-2</v>
      </c>
      <c r="K100" s="50">
        <v>6.6951284381940701E-2</v>
      </c>
      <c r="L100" s="6" t="s">
        <v>593</v>
      </c>
    </row>
    <row r="101" spans="1:12" ht="18" customHeight="1" x14ac:dyDescent="0.15">
      <c r="A101" s="5" t="s">
        <v>590</v>
      </c>
      <c r="B101" s="6" t="s">
        <v>647</v>
      </c>
      <c r="C101" s="6" t="s">
        <v>570</v>
      </c>
      <c r="D101" s="6" t="s">
        <v>570</v>
      </c>
      <c r="E101" s="6" t="s">
        <v>596</v>
      </c>
      <c r="F101" s="8">
        <v>717</v>
      </c>
      <c r="G101" s="50">
        <v>6.6863798010821001E-4</v>
      </c>
      <c r="H101" s="50">
        <v>0.83737230666809304</v>
      </c>
      <c r="I101" s="50">
        <v>6.9693084098709996E-5</v>
      </c>
      <c r="J101" s="50">
        <v>8.7205818501761706E-2</v>
      </c>
      <c r="K101" s="50">
        <v>7.4683543765938706E-2</v>
      </c>
      <c r="L101" s="6" t="s">
        <v>593</v>
      </c>
    </row>
    <row r="102" spans="1:12" ht="18" customHeight="1" x14ac:dyDescent="0.15">
      <c r="A102" s="5" t="s">
        <v>590</v>
      </c>
      <c r="B102" s="6" t="s">
        <v>647</v>
      </c>
      <c r="C102" s="6" t="s">
        <v>570</v>
      </c>
      <c r="D102" s="6" t="s">
        <v>570</v>
      </c>
      <c r="E102" s="6" t="s">
        <v>597</v>
      </c>
      <c r="F102" s="8">
        <v>717</v>
      </c>
      <c r="G102" s="50">
        <v>6.9245904911949003E-4</v>
      </c>
      <c r="H102" s="50">
        <v>0.86720474828628202</v>
      </c>
      <c r="I102" s="50">
        <v>4.7687665624230002E-5</v>
      </c>
      <c r="J102" s="50">
        <v>5.9649494358183001E-2</v>
      </c>
      <c r="K102" s="50">
        <v>7.2405610640791401E-2</v>
      </c>
      <c r="L102" s="6" t="s">
        <v>593</v>
      </c>
    </row>
    <row r="103" spans="1:12" ht="18" customHeight="1" x14ac:dyDescent="0.15">
      <c r="A103" s="5" t="s">
        <v>590</v>
      </c>
      <c r="B103" s="6" t="s">
        <v>647</v>
      </c>
      <c r="C103" s="6" t="s">
        <v>570</v>
      </c>
      <c r="D103" s="6" t="s">
        <v>570</v>
      </c>
      <c r="E103" s="6" t="s">
        <v>598</v>
      </c>
      <c r="F103" s="8">
        <v>717</v>
      </c>
      <c r="G103" s="50">
        <v>6.6866675446122998E-4</v>
      </c>
      <c r="H103" s="50">
        <v>0.83740834238110595</v>
      </c>
      <c r="I103" s="50">
        <v>5.591656914327E-5</v>
      </c>
      <c r="J103" s="50">
        <v>6.9935479167407194E-2</v>
      </c>
      <c r="K103" s="50">
        <v>9.1931595127882404E-2</v>
      </c>
      <c r="L103" s="6" t="s">
        <v>593</v>
      </c>
    </row>
    <row r="104" spans="1:12" ht="18" customHeight="1" x14ac:dyDescent="0.15">
      <c r="A104" s="5" t="s">
        <v>590</v>
      </c>
      <c r="B104" s="6" t="s">
        <v>647</v>
      </c>
      <c r="C104" s="6" t="s">
        <v>570</v>
      </c>
      <c r="D104" s="6" t="s">
        <v>570</v>
      </c>
      <c r="E104" s="6" t="s">
        <v>599</v>
      </c>
      <c r="F104" s="8">
        <v>717</v>
      </c>
      <c r="G104" s="50">
        <v>6.7311200944485995E-4</v>
      </c>
      <c r="H104" s="50">
        <v>0.84297538094324398</v>
      </c>
      <c r="I104" s="50">
        <v>6.8880949472239998E-5</v>
      </c>
      <c r="J104" s="50">
        <v>8.6193331661285594E-2</v>
      </c>
      <c r="K104" s="50">
        <v>7.0089294436554095E-2</v>
      </c>
      <c r="L104" s="6" t="s">
        <v>593</v>
      </c>
    </row>
    <row r="105" spans="1:12" ht="18" customHeight="1" x14ac:dyDescent="0.15">
      <c r="A105" s="5" t="s">
        <v>590</v>
      </c>
      <c r="B105" s="6" t="s">
        <v>647</v>
      </c>
      <c r="C105" s="6" t="s">
        <v>570</v>
      </c>
      <c r="D105" s="6" t="s">
        <v>570</v>
      </c>
      <c r="E105" s="6" t="s">
        <v>616</v>
      </c>
      <c r="F105" s="8">
        <v>717</v>
      </c>
      <c r="G105" s="50">
        <v>6.6934536902850004E-4</v>
      </c>
      <c r="H105" s="50">
        <v>0.83825820891941505</v>
      </c>
      <c r="I105" s="50">
        <v>4.7748889553180002E-5</v>
      </c>
      <c r="J105" s="50">
        <v>5.9697246629492301E-2</v>
      </c>
      <c r="K105" s="50">
        <v>0.10132745019251101</v>
      </c>
      <c r="L105" s="6" t="s">
        <v>593</v>
      </c>
    </row>
    <row r="106" spans="1:12" ht="18" customHeight="1" x14ac:dyDescent="0.15">
      <c r="A106" s="5" t="s">
        <v>590</v>
      </c>
      <c r="B106" s="6" t="s">
        <v>647</v>
      </c>
      <c r="C106" s="6" t="s">
        <v>570</v>
      </c>
      <c r="D106" s="6" t="s">
        <v>570</v>
      </c>
      <c r="E106" s="6" t="s">
        <v>600</v>
      </c>
      <c r="F106" s="8">
        <v>717</v>
      </c>
      <c r="G106" s="50">
        <v>6.8514133959608997E-4</v>
      </c>
      <c r="H106" s="50">
        <v>0.85804037610666695</v>
      </c>
      <c r="I106" s="50">
        <v>5.1623492305149999E-5</v>
      </c>
      <c r="J106" s="50">
        <v>6.4574304750542599E-2</v>
      </c>
      <c r="K106" s="50">
        <v>7.6648554310889003E-2</v>
      </c>
      <c r="L106" s="6" t="s">
        <v>593</v>
      </c>
    </row>
    <row r="107" spans="1:12" ht="18" customHeight="1" x14ac:dyDescent="0.15">
      <c r="A107" s="5" t="s">
        <v>590</v>
      </c>
      <c r="B107" s="6" t="s">
        <v>647</v>
      </c>
      <c r="C107" s="6" t="s">
        <v>570</v>
      </c>
      <c r="D107" s="6" t="s">
        <v>570</v>
      </c>
      <c r="E107" s="6" t="s">
        <v>601</v>
      </c>
      <c r="F107" s="8">
        <v>717</v>
      </c>
      <c r="G107" s="50">
        <v>6.0487748930317001E-4</v>
      </c>
      <c r="H107" s="50">
        <v>0.75752151917459598</v>
      </c>
      <c r="I107" s="50">
        <v>5.2016821379220002E-5</v>
      </c>
      <c r="J107" s="50">
        <v>6.4966686148285199E-2</v>
      </c>
      <c r="K107" s="50">
        <v>0.176854900366436</v>
      </c>
      <c r="L107" s="6" t="s">
        <v>593</v>
      </c>
    </row>
    <row r="108" spans="1:12" ht="18" customHeight="1" x14ac:dyDescent="0.15">
      <c r="A108" s="5" t="s">
        <v>590</v>
      </c>
      <c r="B108" s="6" t="s">
        <v>647</v>
      </c>
      <c r="C108" s="6" t="s">
        <v>570</v>
      </c>
      <c r="D108" s="6" t="s">
        <v>570</v>
      </c>
      <c r="E108" s="6" t="s">
        <v>602</v>
      </c>
      <c r="F108" s="8">
        <v>717</v>
      </c>
      <c r="G108" s="50">
        <v>4.4840678209625998E-4</v>
      </c>
      <c r="H108" s="50">
        <v>0.56156460240082995</v>
      </c>
      <c r="I108" s="50">
        <v>3.1402779124132998E-4</v>
      </c>
      <c r="J108" s="50">
        <v>0.393229920263795</v>
      </c>
      <c r="K108" s="50">
        <v>4.4443042762036797E-2</v>
      </c>
      <c r="L108" s="6" t="s">
        <v>593</v>
      </c>
    </row>
    <row r="109" spans="1:12" ht="18" customHeight="1" x14ac:dyDescent="0.15">
      <c r="A109" s="5" t="s">
        <v>590</v>
      </c>
      <c r="B109" s="6" t="s">
        <v>647</v>
      </c>
      <c r="C109" s="6" t="s">
        <v>570</v>
      </c>
      <c r="D109" s="6" t="s">
        <v>570</v>
      </c>
      <c r="E109" s="6" t="s">
        <v>617</v>
      </c>
      <c r="F109" s="8">
        <v>717</v>
      </c>
      <c r="G109" s="50">
        <v>5.0997696774496E-4</v>
      </c>
      <c r="H109" s="50">
        <v>0.63867234966085895</v>
      </c>
      <c r="I109" s="50">
        <v>2.5545759332297002E-4</v>
      </c>
      <c r="J109" s="50">
        <v>0.31988298730048598</v>
      </c>
      <c r="K109" s="50">
        <v>4.0679228477586399E-2</v>
      </c>
      <c r="L109" s="6" t="s">
        <v>593</v>
      </c>
    </row>
    <row r="110" spans="1:12" ht="18" customHeight="1" x14ac:dyDescent="0.15">
      <c r="A110" s="5" t="s">
        <v>590</v>
      </c>
      <c r="B110" s="6" t="s">
        <v>647</v>
      </c>
      <c r="C110" s="6" t="s">
        <v>570</v>
      </c>
      <c r="D110" s="6" t="s">
        <v>570</v>
      </c>
      <c r="E110" s="6" t="s">
        <v>618</v>
      </c>
      <c r="F110" s="8">
        <v>710</v>
      </c>
      <c r="G110" s="50">
        <v>6.6539435339060002E-4</v>
      </c>
      <c r="H110" s="50">
        <v>0.83331187745461999</v>
      </c>
      <c r="I110" s="50">
        <v>7.9700801254200005E-5</v>
      </c>
      <c r="J110" s="50">
        <v>9.9747733076656395E-2</v>
      </c>
      <c r="K110" s="50">
        <v>6.6195294314079597E-2</v>
      </c>
      <c r="L110" s="6" t="s">
        <v>593</v>
      </c>
    </row>
    <row r="111" spans="1:12" ht="18" customHeight="1" x14ac:dyDescent="0.15">
      <c r="A111" s="5" t="s">
        <v>590</v>
      </c>
      <c r="B111" s="6" t="s">
        <v>647</v>
      </c>
      <c r="C111" s="6" t="s">
        <v>570</v>
      </c>
      <c r="D111" s="6" t="s">
        <v>570</v>
      </c>
      <c r="E111" s="6" t="s">
        <v>619</v>
      </c>
      <c r="F111" s="8">
        <v>711</v>
      </c>
      <c r="G111" s="50">
        <v>2.6790576233205998E-4</v>
      </c>
      <c r="H111" s="50">
        <v>0.33551383004415403</v>
      </c>
      <c r="I111" s="50">
        <v>3.0454809899120001E-5</v>
      </c>
      <c r="J111" s="50">
        <v>3.7513639885630799E-2</v>
      </c>
      <c r="K111" s="50">
        <v>0.62667416949798405</v>
      </c>
      <c r="L111" s="6" t="s">
        <v>593</v>
      </c>
    </row>
    <row r="112" spans="1:12" ht="18" customHeight="1" x14ac:dyDescent="0.15">
      <c r="A112" s="5" t="s">
        <v>590</v>
      </c>
      <c r="B112" s="6" t="s">
        <v>647</v>
      </c>
      <c r="C112" s="6" t="s">
        <v>570</v>
      </c>
      <c r="D112" s="6" t="s">
        <v>570</v>
      </c>
      <c r="E112" s="6" t="s">
        <v>620</v>
      </c>
      <c r="F112" s="8">
        <v>711</v>
      </c>
      <c r="G112" s="50">
        <v>5.3345968029779001E-4</v>
      </c>
      <c r="H112" s="50">
        <v>0.66808233917016402</v>
      </c>
      <c r="I112" s="50">
        <v>1.9275446694253E-4</v>
      </c>
      <c r="J112" s="50">
        <v>0.24130765742432</v>
      </c>
      <c r="K112" s="50">
        <v>8.9883789258275504E-2</v>
      </c>
      <c r="L112" s="6" t="s">
        <v>593</v>
      </c>
    </row>
    <row r="113" spans="1:12" ht="18" customHeight="1" x14ac:dyDescent="0.15">
      <c r="A113" s="5" t="s">
        <v>590</v>
      </c>
      <c r="B113" s="6" t="s">
        <v>647</v>
      </c>
      <c r="C113" s="6" t="s">
        <v>570</v>
      </c>
      <c r="D113" s="6" t="s">
        <v>570</v>
      </c>
      <c r="E113" s="6" t="s">
        <v>603</v>
      </c>
      <c r="F113" s="8">
        <v>699</v>
      </c>
      <c r="G113" s="50">
        <v>6.7245368127261996E-4</v>
      </c>
      <c r="H113" s="50">
        <v>0.84214718175379899</v>
      </c>
      <c r="I113" s="50">
        <v>4.8107718808560002E-5</v>
      </c>
      <c r="J113" s="50">
        <v>6.0150706794167702E-2</v>
      </c>
      <c r="K113" s="50">
        <v>9.6981550051952303E-2</v>
      </c>
      <c r="L113" s="6" t="s">
        <v>593</v>
      </c>
    </row>
    <row r="114" spans="1:12" ht="18" customHeight="1" x14ac:dyDescent="0.15">
      <c r="A114" s="5" t="s">
        <v>590</v>
      </c>
      <c r="B114" s="6" t="s">
        <v>647</v>
      </c>
      <c r="C114" s="6" t="s">
        <v>570</v>
      </c>
      <c r="D114" s="6" t="s">
        <v>570</v>
      </c>
      <c r="E114" s="6" t="s">
        <v>604</v>
      </c>
      <c r="F114" s="8">
        <v>674</v>
      </c>
      <c r="G114" s="50">
        <v>6.8335568150336E-4</v>
      </c>
      <c r="H114" s="50">
        <v>0.85579983324459497</v>
      </c>
      <c r="I114" s="50">
        <v>4.9484387827129998E-5</v>
      </c>
      <c r="J114" s="50">
        <v>6.1890148523314301E-2</v>
      </c>
      <c r="K114" s="50">
        <v>8.1577178162760597E-2</v>
      </c>
      <c r="L114" s="6" t="s">
        <v>593</v>
      </c>
    </row>
    <row r="115" spans="1:12" ht="18" customHeight="1" x14ac:dyDescent="0.15">
      <c r="A115" s="5" t="s">
        <v>590</v>
      </c>
      <c r="B115" s="6" t="s">
        <v>647</v>
      </c>
      <c r="C115" s="6" t="s">
        <v>570</v>
      </c>
      <c r="D115" s="6" t="s">
        <v>570</v>
      </c>
      <c r="E115" s="6" t="s">
        <v>605</v>
      </c>
      <c r="F115" s="8">
        <v>718</v>
      </c>
      <c r="G115" s="50">
        <v>6.4257106958152998E-4</v>
      </c>
      <c r="H115" s="50">
        <v>0.80472393492787198</v>
      </c>
      <c r="I115" s="50">
        <v>1.0301635071124E-4</v>
      </c>
      <c r="J115" s="50">
        <v>0.128946952255659</v>
      </c>
      <c r="K115" s="50">
        <v>6.5583525396176401E-2</v>
      </c>
      <c r="L115" s="6" t="s">
        <v>593</v>
      </c>
    </row>
    <row r="116" spans="1:12" ht="18" customHeight="1" x14ac:dyDescent="0.15">
      <c r="A116" s="5" t="s">
        <v>590</v>
      </c>
      <c r="B116" s="6" t="s">
        <v>647</v>
      </c>
      <c r="C116" s="6" t="s">
        <v>570</v>
      </c>
      <c r="D116" s="6" t="s">
        <v>570</v>
      </c>
      <c r="E116" s="6" t="s">
        <v>606</v>
      </c>
      <c r="F116" s="8">
        <v>718</v>
      </c>
      <c r="G116" s="50">
        <v>6.6299529507645003E-4</v>
      </c>
      <c r="H116" s="50">
        <v>0.83030221550441596</v>
      </c>
      <c r="I116" s="50">
        <v>7.5513167740950003E-5</v>
      </c>
      <c r="J116" s="50">
        <v>9.4494457375342594E-2</v>
      </c>
      <c r="K116" s="50">
        <v>7.4464818657423396E-2</v>
      </c>
      <c r="L116" s="6" t="s">
        <v>593</v>
      </c>
    </row>
    <row r="117" spans="1:12" ht="18" customHeight="1" x14ac:dyDescent="0.15">
      <c r="A117" s="5" t="s">
        <v>590</v>
      </c>
      <c r="B117" s="6" t="s">
        <v>647</v>
      </c>
      <c r="C117" s="6" t="s">
        <v>570</v>
      </c>
      <c r="D117" s="6" t="s">
        <v>570</v>
      </c>
      <c r="E117" s="6" t="s">
        <v>621</v>
      </c>
      <c r="F117" s="8"/>
      <c r="G117" s="50"/>
      <c r="H117" s="50"/>
      <c r="I117" s="50"/>
      <c r="J117" s="50"/>
      <c r="K117" s="50"/>
      <c r="L117" s="6" t="s">
        <v>644</v>
      </c>
    </row>
    <row r="118" spans="1:12" ht="18" customHeight="1" x14ac:dyDescent="0.15">
      <c r="A118" s="5" t="s">
        <v>590</v>
      </c>
      <c r="B118" s="6" t="s">
        <v>647</v>
      </c>
      <c r="C118" s="6" t="s">
        <v>570</v>
      </c>
      <c r="D118" s="6" t="s">
        <v>570</v>
      </c>
      <c r="E118" s="6" t="s">
        <v>622</v>
      </c>
      <c r="F118" s="8"/>
      <c r="G118" s="50"/>
      <c r="H118" s="50"/>
      <c r="I118" s="50"/>
      <c r="J118" s="50"/>
      <c r="K118" s="50"/>
      <c r="L118" s="6" t="s">
        <v>644</v>
      </c>
    </row>
    <row r="119" spans="1:12" ht="18" customHeight="1" x14ac:dyDescent="0.15">
      <c r="A119" s="5" t="s">
        <v>590</v>
      </c>
      <c r="B119" s="6" t="s">
        <v>647</v>
      </c>
      <c r="C119" s="6" t="s">
        <v>570</v>
      </c>
      <c r="D119" s="6" t="s">
        <v>570</v>
      </c>
      <c r="E119" s="6" t="s">
        <v>623</v>
      </c>
      <c r="F119" s="8"/>
      <c r="G119" s="50"/>
      <c r="H119" s="50"/>
      <c r="I119" s="50"/>
      <c r="J119" s="50"/>
      <c r="K119" s="50"/>
      <c r="L119" s="6" t="s">
        <v>644</v>
      </c>
    </row>
    <row r="120" spans="1:12" ht="18" customHeight="1" x14ac:dyDescent="0.15">
      <c r="A120" s="5" t="s">
        <v>590</v>
      </c>
      <c r="B120" s="6" t="s">
        <v>647</v>
      </c>
      <c r="C120" s="6" t="s">
        <v>570</v>
      </c>
      <c r="D120" s="6" t="s">
        <v>570</v>
      </c>
      <c r="E120" s="6" t="s">
        <v>624</v>
      </c>
      <c r="F120" s="8"/>
      <c r="G120" s="50"/>
      <c r="H120" s="50"/>
      <c r="I120" s="50"/>
      <c r="J120" s="50"/>
      <c r="K120" s="50"/>
      <c r="L120" s="6" t="s">
        <v>644</v>
      </c>
    </row>
    <row r="121" spans="1:12" ht="18" customHeight="1" x14ac:dyDescent="0.15">
      <c r="A121" s="5" t="s">
        <v>590</v>
      </c>
      <c r="B121" s="6" t="s">
        <v>647</v>
      </c>
      <c r="C121" s="6" t="s">
        <v>570</v>
      </c>
      <c r="D121" s="6" t="s">
        <v>570</v>
      </c>
      <c r="E121" s="6" t="s">
        <v>625</v>
      </c>
      <c r="F121" s="8"/>
      <c r="G121" s="50"/>
      <c r="H121" s="50"/>
      <c r="I121" s="50"/>
      <c r="J121" s="50"/>
      <c r="K121" s="50"/>
      <c r="L121" s="6" t="s">
        <v>644</v>
      </c>
    </row>
    <row r="122" spans="1:12" ht="18" customHeight="1" x14ac:dyDescent="0.15">
      <c r="A122" s="5" t="s">
        <v>590</v>
      </c>
      <c r="B122" s="6" t="s">
        <v>647</v>
      </c>
      <c r="C122" s="6" t="s">
        <v>570</v>
      </c>
      <c r="D122" s="6" t="s">
        <v>570</v>
      </c>
      <c r="E122" s="6" t="s">
        <v>626</v>
      </c>
      <c r="F122" s="8"/>
      <c r="G122" s="50"/>
      <c r="H122" s="50"/>
      <c r="I122" s="50"/>
      <c r="J122" s="50"/>
      <c r="K122" s="50"/>
      <c r="L122" s="6" t="s">
        <v>644</v>
      </c>
    </row>
    <row r="123" spans="1:12" ht="18" customHeight="1" x14ac:dyDescent="0.15">
      <c r="A123" s="5" t="s">
        <v>590</v>
      </c>
      <c r="B123" s="6" t="s">
        <v>647</v>
      </c>
      <c r="C123" s="6" t="s">
        <v>570</v>
      </c>
      <c r="D123" s="6" t="s">
        <v>570</v>
      </c>
      <c r="E123" s="6" t="s">
        <v>627</v>
      </c>
      <c r="F123" s="8"/>
      <c r="G123" s="50"/>
      <c r="H123" s="50"/>
      <c r="I123" s="50"/>
      <c r="J123" s="50"/>
      <c r="K123" s="50"/>
      <c r="L123" s="6" t="s">
        <v>644</v>
      </c>
    </row>
    <row r="124" spans="1:12" ht="18" customHeight="1" x14ac:dyDescent="0.15">
      <c r="A124" s="5" t="s">
        <v>590</v>
      </c>
      <c r="B124" s="6" t="s">
        <v>647</v>
      </c>
      <c r="C124" s="6" t="s">
        <v>570</v>
      </c>
      <c r="D124" s="6" t="s">
        <v>570</v>
      </c>
      <c r="E124" s="6" t="s">
        <v>628</v>
      </c>
      <c r="F124" s="8"/>
      <c r="G124" s="50"/>
      <c r="H124" s="50"/>
      <c r="I124" s="50"/>
      <c r="J124" s="50"/>
      <c r="K124" s="50"/>
      <c r="L124" s="6" t="s">
        <v>644</v>
      </c>
    </row>
    <row r="125" spans="1:12" ht="18" customHeight="1" x14ac:dyDescent="0.15">
      <c r="A125" s="5" t="s">
        <v>590</v>
      </c>
      <c r="B125" s="6" t="s">
        <v>647</v>
      </c>
      <c r="C125" s="6" t="s">
        <v>570</v>
      </c>
      <c r="D125" s="6" t="s">
        <v>570</v>
      </c>
      <c r="E125" s="6" t="s">
        <v>629</v>
      </c>
      <c r="F125" s="8"/>
      <c r="G125" s="50"/>
      <c r="H125" s="50"/>
      <c r="I125" s="50"/>
      <c r="J125" s="50"/>
      <c r="K125" s="50"/>
      <c r="L125" s="6" t="s">
        <v>644</v>
      </c>
    </row>
    <row r="126" spans="1:12" ht="18" customHeight="1" x14ac:dyDescent="0.15">
      <c r="A126" s="5" t="s">
        <v>590</v>
      </c>
      <c r="B126" s="6" t="s">
        <v>647</v>
      </c>
      <c r="C126" s="6" t="s">
        <v>570</v>
      </c>
      <c r="D126" s="6" t="s">
        <v>570</v>
      </c>
      <c r="E126" s="6" t="s">
        <v>630</v>
      </c>
      <c r="F126" s="8"/>
      <c r="G126" s="50"/>
      <c r="H126" s="50"/>
      <c r="I126" s="50"/>
      <c r="J126" s="50"/>
      <c r="K126" s="50"/>
      <c r="L126" s="6" t="s">
        <v>644</v>
      </c>
    </row>
    <row r="127" spans="1:12" ht="18" customHeight="1" x14ac:dyDescent="0.15">
      <c r="A127" s="5" t="s">
        <v>590</v>
      </c>
      <c r="B127" s="6" t="s">
        <v>647</v>
      </c>
      <c r="C127" s="6" t="s">
        <v>570</v>
      </c>
      <c r="D127" s="6" t="s">
        <v>570</v>
      </c>
      <c r="E127" s="6" t="s">
        <v>631</v>
      </c>
      <c r="F127" s="8"/>
      <c r="G127" s="50"/>
      <c r="H127" s="50"/>
      <c r="I127" s="50"/>
      <c r="J127" s="50"/>
      <c r="K127" s="50"/>
      <c r="L127" s="6" t="s">
        <v>644</v>
      </c>
    </row>
    <row r="128" spans="1:12" ht="18" customHeight="1" x14ac:dyDescent="0.15">
      <c r="A128" s="5" t="s">
        <v>590</v>
      </c>
      <c r="B128" s="6" t="s">
        <v>647</v>
      </c>
      <c r="C128" s="6" t="s">
        <v>570</v>
      </c>
      <c r="D128" s="6" t="s">
        <v>570</v>
      </c>
      <c r="E128" s="6" t="s">
        <v>632</v>
      </c>
      <c r="F128" s="8">
        <v>716</v>
      </c>
      <c r="G128" s="50">
        <v>6.8583834610335E-4</v>
      </c>
      <c r="H128" s="50">
        <v>0.85890948476752305</v>
      </c>
      <c r="I128" s="50">
        <v>4.8282544220369998E-5</v>
      </c>
      <c r="J128" s="50">
        <v>6.0386662697420497E-2</v>
      </c>
      <c r="K128" s="50">
        <v>7.99697316447327E-2</v>
      </c>
      <c r="L128" s="6" t="s">
        <v>593</v>
      </c>
    </row>
    <row r="129" spans="1:12" ht="18" customHeight="1" x14ac:dyDescent="0.15">
      <c r="A129" s="5" t="s">
        <v>590</v>
      </c>
      <c r="B129" s="6" t="s">
        <v>647</v>
      </c>
      <c r="C129" s="6" t="s">
        <v>570</v>
      </c>
      <c r="D129" s="6" t="s">
        <v>570</v>
      </c>
      <c r="E129" s="6" t="s">
        <v>633</v>
      </c>
      <c r="F129" s="8">
        <v>717</v>
      </c>
      <c r="G129" s="50">
        <v>6.7616310093169001E-4</v>
      </c>
      <c r="H129" s="50">
        <v>0.84679289813157499</v>
      </c>
      <c r="I129" s="50">
        <v>5.4552916964489998E-5</v>
      </c>
      <c r="J129" s="50">
        <v>6.8235107402720305E-2</v>
      </c>
      <c r="K129" s="50">
        <v>8.4241278447808404E-2</v>
      </c>
      <c r="L129" s="6" t="s">
        <v>593</v>
      </c>
    </row>
    <row r="130" spans="1:12" ht="18" customHeight="1" x14ac:dyDescent="0.15">
      <c r="A130" s="5" t="s">
        <v>590</v>
      </c>
      <c r="B130" s="6" t="s">
        <v>647</v>
      </c>
      <c r="C130" s="6" t="s">
        <v>570</v>
      </c>
      <c r="D130" s="6" t="s">
        <v>570</v>
      </c>
      <c r="E130" s="6" t="s">
        <v>634</v>
      </c>
      <c r="F130" s="8">
        <v>718</v>
      </c>
      <c r="G130" s="50">
        <v>7.1789882870269004E-4</v>
      </c>
      <c r="H130" s="50">
        <v>0.89906066062072698</v>
      </c>
      <c r="I130" s="50">
        <v>3.7949270274100001E-5</v>
      </c>
      <c r="J130" s="50">
        <v>4.7473061501582099E-2</v>
      </c>
      <c r="K130" s="50">
        <v>5.27104297787135E-2</v>
      </c>
      <c r="L130" s="6" t="s">
        <v>593</v>
      </c>
    </row>
    <row r="131" spans="1:12" ht="18" customHeight="1" x14ac:dyDescent="0.15">
      <c r="A131" s="5" t="s">
        <v>590</v>
      </c>
      <c r="B131" s="6" t="s">
        <v>647</v>
      </c>
      <c r="C131" s="6" t="s">
        <v>570</v>
      </c>
      <c r="D131" s="6" t="s">
        <v>570</v>
      </c>
      <c r="E131" s="6" t="s">
        <v>635</v>
      </c>
      <c r="F131" s="8">
        <v>718</v>
      </c>
      <c r="G131" s="50">
        <v>4.3931208074671588E-36</v>
      </c>
      <c r="H131" s="50">
        <v>5.5017252256637897E-33</v>
      </c>
      <c r="I131" s="50">
        <v>7.9785848907382997E-4</v>
      </c>
      <c r="J131" s="50">
        <v>0.999198144249965</v>
      </c>
      <c r="K131" s="50">
        <v>3.9972609628000001E-6</v>
      </c>
      <c r="L131" s="6" t="s">
        <v>593</v>
      </c>
    </row>
    <row r="132" spans="1:12" ht="18" customHeight="1" x14ac:dyDescent="0.15">
      <c r="A132" s="5" t="s">
        <v>590</v>
      </c>
      <c r="B132" s="6" t="s">
        <v>647</v>
      </c>
      <c r="C132" s="6" t="s">
        <v>570</v>
      </c>
      <c r="D132" s="6" t="s">
        <v>570</v>
      </c>
      <c r="E132" s="6" t="s">
        <v>636</v>
      </c>
      <c r="F132" s="8">
        <v>718</v>
      </c>
      <c r="G132" s="50">
        <v>5.5504015268813199E-18</v>
      </c>
      <c r="H132" s="50">
        <v>6.9510458353663509E-15</v>
      </c>
      <c r="I132" s="50">
        <v>7.9784793708737999E-4</v>
      </c>
      <c r="J132" s="50">
        <v>0.99918491623023598</v>
      </c>
      <c r="K132" s="50">
        <v>1.723583266811E-5</v>
      </c>
      <c r="L132" s="6" t="s">
        <v>593</v>
      </c>
    </row>
    <row r="133" spans="1:12" ht="18" customHeight="1" x14ac:dyDescent="0.15">
      <c r="A133" s="5" t="s">
        <v>590</v>
      </c>
      <c r="B133" s="6" t="s">
        <v>647</v>
      </c>
      <c r="C133" s="6" t="s">
        <v>570</v>
      </c>
      <c r="D133" s="6" t="s">
        <v>570</v>
      </c>
      <c r="E133" s="6" t="s">
        <v>637</v>
      </c>
      <c r="F133" s="8">
        <v>718</v>
      </c>
      <c r="G133" s="50">
        <v>6.4968778410333004E-4</v>
      </c>
      <c r="H133" s="50">
        <v>0.81363655297877402</v>
      </c>
      <c r="I133" s="50">
        <v>5.5615864851979998E-5</v>
      </c>
      <c r="J133" s="50">
        <v>6.9534409454973606E-2</v>
      </c>
      <c r="K133" s="50">
        <v>0.11612373391729799</v>
      </c>
      <c r="L133" s="6" t="s">
        <v>593</v>
      </c>
    </row>
    <row r="134" spans="1:12" ht="18" customHeight="1" x14ac:dyDescent="0.15">
      <c r="A134" s="5" t="s">
        <v>590</v>
      </c>
      <c r="B134" s="6" t="s">
        <v>647</v>
      </c>
      <c r="C134" s="6" t="s">
        <v>570</v>
      </c>
      <c r="D134" s="6" t="s">
        <v>570</v>
      </c>
      <c r="E134" s="6" t="s">
        <v>638</v>
      </c>
      <c r="F134" s="8">
        <v>718</v>
      </c>
      <c r="G134" s="50">
        <v>6.8807217821269002E-4</v>
      </c>
      <c r="H134" s="50">
        <v>0.86170725228308898</v>
      </c>
      <c r="I134" s="50">
        <v>4.578114092034E-5</v>
      </c>
      <c r="J134" s="50">
        <v>5.7253710633187599E-2</v>
      </c>
      <c r="K134" s="50">
        <v>8.0305183764590601E-2</v>
      </c>
      <c r="L134" s="6" t="s">
        <v>593</v>
      </c>
    </row>
    <row r="135" spans="1:12" ht="18" customHeight="1" x14ac:dyDescent="0.15">
      <c r="A135" s="5" t="s">
        <v>590</v>
      </c>
      <c r="B135" s="6" t="s">
        <v>647</v>
      </c>
      <c r="C135" s="6" t="s">
        <v>570</v>
      </c>
      <c r="D135" s="6" t="s">
        <v>570</v>
      </c>
      <c r="E135" s="6" t="s">
        <v>639</v>
      </c>
      <c r="F135" s="8">
        <v>717</v>
      </c>
      <c r="G135" s="50">
        <v>6.6786722418215997E-4</v>
      </c>
      <c r="H135" s="50">
        <v>0.83640337457279201</v>
      </c>
      <c r="I135" s="50">
        <v>6.1193308409280002E-5</v>
      </c>
      <c r="J135" s="50">
        <v>7.6549108169386801E-2</v>
      </c>
      <c r="K135" s="50">
        <v>8.6318456725229697E-2</v>
      </c>
      <c r="L135" s="6" t="s">
        <v>593</v>
      </c>
    </row>
    <row r="136" spans="1:12" ht="18" customHeight="1" x14ac:dyDescent="0.15">
      <c r="A136" s="5" t="s">
        <v>590</v>
      </c>
      <c r="B136" s="6" t="s">
        <v>647</v>
      </c>
      <c r="C136" s="6" t="s">
        <v>570</v>
      </c>
      <c r="D136" s="6" t="s">
        <v>570</v>
      </c>
      <c r="E136" s="6" t="s">
        <v>640</v>
      </c>
      <c r="F136" s="8">
        <v>717</v>
      </c>
      <c r="G136" s="50">
        <v>6.8248152578107002E-4</v>
      </c>
      <c r="H136" s="50">
        <v>0.85470559203723095</v>
      </c>
      <c r="I136" s="50">
        <v>5.6275929747899999E-5</v>
      </c>
      <c r="J136" s="50">
        <v>7.0402995862419507E-2</v>
      </c>
      <c r="K136" s="50">
        <v>7.4152654644820903E-2</v>
      </c>
      <c r="L136" s="6" t="s">
        <v>593</v>
      </c>
    </row>
    <row r="137" spans="1:12" ht="18" customHeight="1" x14ac:dyDescent="0.15">
      <c r="A137" s="5" t="s">
        <v>590</v>
      </c>
      <c r="B137" s="6" t="s">
        <v>647</v>
      </c>
      <c r="C137" s="6" t="s">
        <v>570</v>
      </c>
      <c r="D137" s="6" t="s">
        <v>570</v>
      </c>
      <c r="E137" s="6" t="s">
        <v>607</v>
      </c>
      <c r="F137" s="8">
        <v>715</v>
      </c>
      <c r="G137" s="50">
        <v>2.3810684658573001E-4</v>
      </c>
      <c r="H137" s="50">
        <v>0.29819321222855699</v>
      </c>
      <c r="I137" s="50">
        <v>4.7648369372517999E-4</v>
      </c>
      <c r="J137" s="50">
        <v>0.59662008765767705</v>
      </c>
      <c r="K137" s="50">
        <v>0.104472109573455</v>
      </c>
      <c r="L137" s="6" t="s">
        <v>593</v>
      </c>
    </row>
    <row r="138" spans="1:12" ht="18" customHeight="1" x14ac:dyDescent="0.15">
      <c r="A138" s="5" t="s">
        <v>590</v>
      </c>
      <c r="B138" s="6" t="s">
        <v>647</v>
      </c>
      <c r="C138" s="6" t="s">
        <v>570</v>
      </c>
      <c r="D138" s="6" t="s">
        <v>570</v>
      </c>
      <c r="E138" s="6" t="s">
        <v>609</v>
      </c>
      <c r="F138" s="8">
        <v>11</v>
      </c>
      <c r="G138" s="50">
        <v>1.015574E-11</v>
      </c>
      <c r="H138" s="50">
        <v>5.7521362000000002E-10</v>
      </c>
      <c r="I138" s="50">
        <v>1.66511411711327E-2</v>
      </c>
      <c r="J138" s="50">
        <v>0.94306724127423103</v>
      </c>
      <c r="K138" s="50">
        <v>4.0281616969267998E-2</v>
      </c>
      <c r="L138" s="6" t="s">
        <v>593</v>
      </c>
    </row>
    <row r="139" spans="1:12" ht="18" customHeight="1" x14ac:dyDescent="0.15">
      <c r="A139" s="5" t="s">
        <v>590</v>
      </c>
      <c r="B139" s="6" t="s">
        <v>647</v>
      </c>
      <c r="C139" s="6" t="s">
        <v>570</v>
      </c>
      <c r="D139" s="6" t="s">
        <v>570</v>
      </c>
      <c r="E139" s="6" t="s">
        <v>610</v>
      </c>
      <c r="F139" s="8">
        <v>12</v>
      </c>
      <c r="G139" s="50">
        <v>6.38493575E-9</v>
      </c>
      <c r="H139" s="50">
        <v>1.581835106E-7</v>
      </c>
      <c r="I139" s="50">
        <v>3.5473459135352797E-2</v>
      </c>
      <c r="J139" s="50">
        <v>0.87875099206413498</v>
      </c>
      <c r="K139" s="50">
        <v>8.5775384232065405E-2</v>
      </c>
      <c r="L139" s="6" t="s">
        <v>593</v>
      </c>
    </row>
    <row r="140" spans="1:12" ht="18" customHeight="1" x14ac:dyDescent="0.15">
      <c r="A140" s="5" t="s">
        <v>590</v>
      </c>
      <c r="B140" s="6" t="s">
        <v>647</v>
      </c>
      <c r="C140" s="6" t="s">
        <v>570</v>
      </c>
      <c r="D140" s="6" t="s">
        <v>570</v>
      </c>
      <c r="E140" s="6" t="s">
        <v>611</v>
      </c>
      <c r="F140" s="8">
        <v>12</v>
      </c>
      <c r="G140" s="50">
        <v>1.416016E-11</v>
      </c>
      <c r="H140" s="50">
        <v>8.0241856E-10</v>
      </c>
      <c r="I140" s="50">
        <v>1.6643580695058099E-2</v>
      </c>
      <c r="J140" s="50">
        <v>0.94310686430559798</v>
      </c>
      <c r="K140" s="50">
        <v>4.0249554182766198E-2</v>
      </c>
      <c r="L140" s="6" t="s">
        <v>593</v>
      </c>
    </row>
    <row r="141" spans="1:12" ht="18" customHeight="1" x14ac:dyDescent="0.15">
      <c r="A141" s="5" t="s">
        <v>590</v>
      </c>
      <c r="B141" s="6" t="s">
        <v>647</v>
      </c>
      <c r="C141" s="6" t="s">
        <v>570</v>
      </c>
      <c r="D141" s="6" t="s">
        <v>570</v>
      </c>
      <c r="E141" s="6" t="s">
        <v>641</v>
      </c>
      <c r="F141" s="8">
        <v>12</v>
      </c>
      <c r="G141" s="50">
        <v>3.2006518E-10</v>
      </c>
      <c r="H141" s="50">
        <v>7.6302854200000008E-9</v>
      </c>
      <c r="I141" s="50">
        <v>3.6686347002006403E-2</v>
      </c>
      <c r="J141" s="50">
        <v>0.87450583086242695</v>
      </c>
      <c r="K141" s="50">
        <v>8.8807814185214495E-2</v>
      </c>
      <c r="L141" s="6" t="s">
        <v>593</v>
      </c>
    </row>
    <row r="142" spans="1:12" ht="18" customHeight="1" x14ac:dyDescent="0.15">
      <c r="A142" s="5" t="s">
        <v>590</v>
      </c>
      <c r="B142" s="6" t="s">
        <v>647</v>
      </c>
      <c r="C142" s="6" t="s">
        <v>570</v>
      </c>
      <c r="D142" s="6" t="s">
        <v>570</v>
      </c>
      <c r="E142" s="6" t="s">
        <v>612</v>
      </c>
      <c r="F142" s="8">
        <v>10</v>
      </c>
      <c r="G142" s="50">
        <v>1.2604762538808001E-4</v>
      </c>
      <c r="H142" s="50">
        <v>3.1270851632927699E-3</v>
      </c>
      <c r="I142" s="50">
        <v>1.6519840730438501E-3</v>
      </c>
      <c r="J142" s="50">
        <v>4.0028608498338399E-2</v>
      </c>
      <c r="K142" s="50">
        <v>0.95506627463993798</v>
      </c>
      <c r="L142" s="6" t="s">
        <v>593</v>
      </c>
    </row>
    <row r="143" spans="1:12" ht="18" customHeight="1" x14ac:dyDescent="0.15">
      <c r="A143" s="5" t="s">
        <v>590</v>
      </c>
      <c r="B143" s="6" t="s">
        <v>647</v>
      </c>
      <c r="C143" s="6" t="s">
        <v>570</v>
      </c>
      <c r="D143" s="6" t="s">
        <v>570</v>
      </c>
      <c r="E143" s="6" t="s">
        <v>642</v>
      </c>
      <c r="F143" s="8"/>
      <c r="G143" s="50"/>
      <c r="H143" s="50"/>
      <c r="I143" s="50"/>
      <c r="J143" s="50"/>
      <c r="K143" s="50"/>
      <c r="L143" s="6" t="s">
        <v>644</v>
      </c>
    </row>
    <row r="144" spans="1:12" ht="18" customHeight="1" x14ac:dyDescent="0.15">
      <c r="A144" s="5" t="s">
        <v>590</v>
      </c>
      <c r="B144" s="6" t="s">
        <v>647</v>
      </c>
      <c r="C144" s="6" t="s">
        <v>570</v>
      </c>
      <c r="D144" s="6" t="s">
        <v>570</v>
      </c>
      <c r="E144" s="6" t="s">
        <v>643</v>
      </c>
      <c r="F144" s="8"/>
      <c r="G144" s="50"/>
      <c r="H144" s="50"/>
      <c r="I144" s="50"/>
      <c r="J144" s="50"/>
      <c r="K144" s="50"/>
      <c r="L144" s="6" t="s">
        <v>644</v>
      </c>
    </row>
    <row r="145" spans="1:12" ht="18" customHeight="1" x14ac:dyDescent="0.15">
      <c r="A145" s="5" t="s">
        <v>590</v>
      </c>
      <c r="B145" s="6" t="s">
        <v>647</v>
      </c>
      <c r="C145" s="6" t="s">
        <v>570</v>
      </c>
      <c r="D145" s="6" t="s">
        <v>570</v>
      </c>
      <c r="E145" s="6" t="s">
        <v>645</v>
      </c>
      <c r="F145" s="8"/>
      <c r="G145" s="50"/>
      <c r="H145" s="50"/>
      <c r="I145" s="50"/>
      <c r="J145" s="50"/>
      <c r="K145" s="50"/>
      <c r="L145" s="6" t="s">
        <v>644</v>
      </c>
    </row>
    <row r="146" spans="1:12" ht="18" customHeight="1" x14ac:dyDescent="0.15">
      <c r="A146" s="5" t="s">
        <v>590</v>
      </c>
      <c r="B146" s="6" t="s">
        <v>647</v>
      </c>
      <c r="C146" s="6" t="s">
        <v>570</v>
      </c>
      <c r="D146" s="6" t="s">
        <v>570</v>
      </c>
      <c r="E146" s="6" t="s">
        <v>613</v>
      </c>
      <c r="F146" s="8"/>
      <c r="G146" s="50"/>
      <c r="H146" s="50"/>
      <c r="I146" s="50"/>
      <c r="J146" s="50"/>
      <c r="K146" s="50"/>
      <c r="L146" s="6" t="s">
        <v>644</v>
      </c>
    </row>
    <row r="147" spans="1:12" ht="18" customHeight="1" x14ac:dyDescent="0.15">
      <c r="A147" s="5" t="s">
        <v>590</v>
      </c>
      <c r="B147" s="6" t="s">
        <v>647</v>
      </c>
      <c r="C147" s="6" t="s">
        <v>570</v>
      </c>
      <c r="D147" s="6" t="s">
        <v>570</v>
      </c>
      <c r="E147" s="6" t="s">
        <v>614</v>
      </c>
      <c r="F147" s="8"/>
      <c r="G147" s="50"/>
      <c r="H147" s="50"/>
      <c r="I147" s="50"/>
      <c r="J147" s="50"/>
      <c r="K147" s="50"/>
      <c r="L147" s="6" t="s">
        <v>644</v>
      </c>
    </row>
    <row r="148" spans="1:12" ht="18" customHeight="1" x14ac:dyDescent="0.15">
      <c r="A148" s="5" t="s">
        <v>590</v>
      </c>
      <c r="B148" s="6" t="s">
        <v>648</v>
      </c>
      <c r="C148" s="6" t="s">
        <v>572</v>
      </c>
      <c r="D148" s="6" t="s">
        <v>572</v>
      </c>
      <c r="E148" s="6" t="s">
        <v>592</v>
      </c>
      <c r="F148" s="8">
        <v>6907</v>
      </c>
      <c r="G148" s="50">
        <v>1.00649760648299E-25</v>
      </c>
      <c r="H148" s="50">
        <v>0.526385541954419</v>
      </c>
      <c r="I148" s="50">
        <v>8.4046283945938403E-26</v>
      </c>
      <c r="J148" s="50">
        <v>0.43951735775839101</v>
      </c>
      <c r="K148" s="50">
        <v>3.40971002871895E-2</v>
      </c>
      <c r="L148" s="6" t="s">
        <v>593</v>
      </c>
    </row>
    <row r="149" spans="1:12" ht="18" customHeight="1" x14ac:dyDescent="0.15">
      <c r="A149" s="5" t="s">
        <v>590</v>
      </c>
      <c r="B149" s="6" t="s">
        <v>648</v>
      </c>
      <c r="C149" s="6" t="s">
        <v>572</v>
      </c>
      <c r="D149" s="6" t="s">
        <v>572</v>
      </c>
      <c r="E149" s="6" t="s">
        <v>594</v>
      </c>
      <c r="F149" s="8">
        <v>6917</v>
      </c>
      <c r="G149" s="50">
        <v>1.09884001023211E-25</v>
      </c>
      <c r="H149" s="50">
        <v>0.57467923403584398</v>
      </c>
      <c r="I149" s="50">
        <v>7.4628596634692494E-26</v>
      </c>
      <c r="J149" s="50">
        <v>0.39026293233635201</v>
      </c>
      <c r="K149" s="50">
        <v>3.5057833627804999E-2</v>
      </c>
      <c r="L149" s="6" t="s">
        <v>593</v>
      </c>
    </row>
    <row r="150" spans="1:12" ht="18" customHeight="1" x14ac:dyDescent="0.15">
      <c r="A150" s="5" t="s">
        <v>590</v>
      </c>
      <c r="B150" s="6" t="s">
        <v>648</v>
      </c>
      <c r="C150" s="6" t="s">
        <v>572</v>
      </c>
      <c r="D150" s="6" t="s">
        <v>572</v>
      </c>
      <c r="E150" s="6" t="s">
        <v>595</v>
      </c>
      <c r="F150" s="8">
        <v>6917</v>
      </c>
      <c r="G150" s="50">
        <v>3.3563013056630097E-26</v>
      </c>
      <c r="H150" s="50">
        <v>0.17553024505848899</v>
      </c>
      <c r="I150" s="50">
        <v>1.52721898824283E-25</v>
      </c>
      <c r="J150" s="50">
        <v>0.79869012472535905</v>
      </c>
      <c r="K150" s="50">
        <v>2.5779630216153499E-2</v>
      </c>
      <c r="L150" s="6" t="s">
        <v>593</v>
      </c>
    </row>
    <row r="151" spans="1:12" ht="18" customHeight="1" x14ac:dyDescent="0.15">
      <c r="A151" s="5" t="s">
        <v>590</v>
      </c>
      <c r="B151" s="6" t="s">
        <v>648</v>
      </c>
      <c r="C151" s="6" t="s">
        <v>572</v>
      </c>
      <c r="D151" s="6" t="s">
        <v>572</v>
      </c>
      <c r="E151" s="6" t="s">
        <v>596</v>
      </c>
      <c r="F151" s="8">
        <v>6917</v>
      </c>
      <c r="G151" s="50">
        <v>9.3375939643466894E-26</v>
      </c>
      <c r="H151" s="50">
        <v>0.48834415769029099</v>
      </c>
      <c r="I151" s="50">
        <v>8.4156340999647592E-26</v>
      </c>
      <c r="J151" s="50">
        <v>0.44005524167468701</v>
      </c>
      <c r="K151" s="50">
        <v>7.1600600635021106E-2</v>
      </c>
      <c r="L151" s="6" t="s">
        <v>593</v>
      </c>
    </row>
    <row r="152" spans="1:12" ht="18" customHeight="1" x14ac:dyDescent="0.15">
      <c r="A152" s="5" t="s">
        <v>590</v>
      </c>
      <c r="B152" s="6" t="s">
        <v>648</v>
      </c>
      <c r="C152" s="6" t="s">
        <v>572</v>
      </c>
      <c r="D152" s="6" t="s">
        <v>572</v>
      </c>
      <c r="E152" s="6" t="s">
        <v>597</v>
      </c>
      <c r="F152" s="8">
        <v>6908</v>
      </c>
      <c r="G152" s="50">
        <v>9.9472729136575196E-26</v>
      </c>
      <c r="H152" s="50">
        <v>0.520229711117426</v>
      </c>
      <c r="I152" s="50">
        <v>8.5326907004354898E-26</v>
      </c>
      <c r="J152" s="50">
        <v>0.44621530706027901</v>
      </c>
      <c r="K152" s="50">
        <v>3.3554981822292898E-2</v>
      </c>
      <c r="L152" s="6" t="s">
        <v>593</v>
      </c>
    </row>
    <row r="153" spans="1:12" ht="18" customHeight="1" x14ac:dyDescent="0.15">
      <c r="A153" s="5" t="s">
        <v>590</v>
      </c>
      <c r="B153" s="6" t="s">
        <v>648</v>
      </c>
      <c r="C153" s="6" t="s">
        <v>572</v>
      </c>
      <c r="D153" s="6" t="s">
        <v>572</v>
      </c>
      <c r="E153" s="6" t="s">
        <v>598</v>
      </c>
      <c r="F153" s="8">
        <v>6917</v>
      </c>
      <c r="G153" s="50">
        <v>1.00147579605101E-25</v>
      </c>
      <c r="H153" s="50">
        <v>0.52375897069301902</v>
      </c>
      <c r="I153" s="50">
        <v>8.5298313578743989E-26</v>
      </c>
      <c r="J153" s="50">
        <v>0.44606904577107098</v>
      </c>
      <c r="K153" s="50">
        <v>3.01719835359112E-2</v>
      </c>
      <c r="L153" s="6" t="s">
        <v>593</v>
      </c>
    </row>
    <row r="154" spans="1:12" ht="18" customHeight="1" x14ac:dyDescent="0.15">
      <c r="A154" s="5" t="s">
        <v>590</v>
      </c>
      <c r="B154" s="6" t="s">
        <v>648</v>
      </c>
      <c r="C154" s="6" t="s">
        <v>572</v>
      </c>
      <c r="D154" s="6" t="s">
        <v>572</v>
      </c>
      <c r="E154" s="6" t="s">
        <v>599</v>
      </c>
      <c r="F154" s="8">
        <v>6917</v>
      </c>
      <c r="G154" s="50">
        <v>1.06083670609548E-25</v>
      </c>
      <c r="H154" s="50">
        <v>0.554803987412268</v>
      </c>
      <c r="I154" s="50">
        <v>7.7458359420081989E-26</v>
      </c>
      <c r="J154" s="50">
        <v>0.40505714347177602</v>
      </c>
      <c r="K154" s="50">
        <v>4.0138869115953497E-2</v>
      </c>
      <c r="L154" s="6" t="s">
        <v>593</v>
      </c>
    </row>
    <row r="155" spans="1:12" ht="18" customHeight="1" x14ac:dyDescent="0.15">
      <c r="A155" s="5" t="s">
        <v>590</v>
      </c>
      <c r="B155" s="6" t="s">
        <v>648</v>
      </c>
      <c r="C155" s="6" t="s">
        <v>572</v>
      </c>
      <c r="D155" s="6" t="s">
        <v>572</v>
      </c>
      <c r="E155" s="6" t="s">
        <v>600</v>
      </c>
      <c r="F155" s="8">
        <v>6918</v>
      </c>
      <c r="G155" s="50">
        <v>1.13633924602736E-25</v>
      </c>
      <c r="H155" s="50">
        <v>0.59429080933940603</v>
      </c>
      <c r="I155" s="50">
        <v>7.11406799166623E-26</v>
      </c>
      <c r="J155" s="50">
        <v>0.37202291911662599</v>
      </c>
      <c r="K155" s="50">
        <v>3.3686271543968402E-2</v>
      </c>
      <c r="L155" s="6" t="s">
        <v>593</v>
      </c>
    </row>
    <row r="156" spans="1:12" ht="18" customHeight="1" x14ac:dyDescent="0.15">
      <c r="A156" s="5" t="s">
        <v>590</v>
      </c>
      <c r="B156" s="6" t="s">
        <v>648</v>
      </c>
      <c r="C156" s="6" t="s">
        <v>572</v>
      </c>
      <c r="D156" s="6" t="s">
        <v>572</v>
      </c>
      <c r="E156" s="6" t="s">
        <v>601</v>
      </c>
      <c r="F156" s="8">
        <v>6918</v>
      </c>
      <c r="G156" s="50">
        <v>8.9823098577157292E-26</v>
      </c>
      <c r="H156" s="50">
        <v>0.46976325192861401</v>
      </c>
      <c r="I156" s="50">
        <v>5.5733425478140399E-26</v>
      </c>
      <c r="J156" s="50">
        <v>0.29123964935704999</v>
      </c>
      <c r="K156" s="50">
        <v>0.238997098714337</v>
      </c>
      <c r="L156" s="6" t="s">
        <v>593</v>
      </c>
    </row>
    <row r="157" spans="1:12" ht="18" customHeight="1" x14ac:dyDescent="0.15">
      <c r="A157" s="5" t="s">
        <v>590</v>
      </c>
      <c r="B157" s="6" t="s">
        <v>648</v>
      </c>
      <c r="C157" s="6" t="s">
        <v>572</v>
      </c>
      <c r="D157" s="6" t="s">
        <v>572</v>
      </c>
      <c r="E157" s="6" t="s">
        <v>602</v>
      </c>
      <c r="F157" s="8">
        <v>6918</v>
      </c>
      <c r="G157" s="50">
        <v>8.3166377159294399E-38</v>
      </c>
      <c r="H157" s="50">
        <v>4.3494000000000001E-13</v>
      </c>
      <c r="I157" s="50">
        <v>1.91209291506622E-25</v>
      </c>
      <c r="J157" s="50">
        <v>0.99999999999954503</v>
      </c>
      <c r="K157" s="50">
        <v>2.3920000000000001E-14</v>
      </c>
      <c r="L157" s="6" t="s">
        <v>593</v>
      </c>
    </row>
    <row r="158" spans="1:12" ht="18" customHeight="1" x14ac:dyDescent="0.15">
      <c r="A158" s="5" t="s">
        <v>590</v>
      </c>
      <c r="B158" s="6" t="s">
        <v>648</v>
      </c>
      <c r="C158" s="6" t="s">
        <v>572</v>
      </c>
      <c r="D158" s="6" t="s">
        <v>572</v>
      </c>
      <c r="E158" s="6" t="s">
        <v>603</v>
      </c>
      <c r="F158" s="8">
        <v>5814</v>
      </c>
      <c r="G158" s="50">
        <v>1.13076399488807E-25</v>
      </c>
      <c r="H158" s="50">
        <v>0.59138692436151996</v>
      </c>
      <c r="I158" s="50">
        <v>7.0064958754706099E-26</v>
      </c>
      <c r="J158" s="50">
        <v>0.36639587820340203</v>
      </c>
      <c r="K158" s="50">
        <v>4.2217197435076202E-2</v>
      </c>
      <c r="L158" s="6" t="s">
        <v>593</v>
      </c>
    </row>
    <row r="159" spans="1:12" ht="18" customHeight="1" x14ac:dyDescent="0.15">
      <c r="A159" s="5" t="s">
        <v>590</v>
      </c>
      <c r="B159" s="6" t="s">
        <v>648</v>
      </c>
      <c r="C159" s="6" t="s">
        <v>572</v>
      </c>
      <c r="D159" s="6" t="s">
        <v>572</v>
      </c>
      <c r="E159" s="6" t="s">
        <v>604</v>
      </c>
      <c r="F159" s="8">
        <v>5455</v>
      </c>
      <c r="G159" s="50">
        <v>1.14502463116265E-25</v>
      </c>
      <c r="H159" s="50">
        <v>0.598851301616529</v>
      </c>
      <c r="I159" s="50">
        <v>6.7520253524010993E-26</v>
      </c>
      <c r="J159" s="50">
        <v>0.35308487854555998</v>
      </c>
      <c r="K159" s="50">
        <v>4.8063819837911199E-2</v>
      </c>
      <c r="L159" s="6" t="s">
        <v>593</v>
      </c>
    </row>
    <row r="160" spans="1:12" ht="18" customHeight="1" x14ac:dyDescent="0.15">
      <c r="A160" s="5" t="s">
        <v>590</v>
      </c>
      <c r="B160" s="6" t="s">
        <v>648</v>
      </c>
      <c r="C160" s="6" t="s">
        <v>572</v>
      </c>
      <c r="D160" s="6" t="s">
        <v>572</v>
      </c>
      <c r="E160" s="6" t="s">
        <v>605</v>
      </c>
      <c r="F160" s="8">
        <v>6559</v>
      </c>
      <c r="G160" s="50">
        <v>9.8521826991512399E-27</v>
      </c>
      <c r="H160" s="50">
        <v>5.1527932807596599E-2</v>
      </c>
      <c r="I160" s="50">
        <v>1.7727957657888001E-25</v>
      </c>
      <c r="J160" s="50">
        <v>0.92716918770111101</v>
      </c>
      <c r="K160" s="50">
        <v>2.1302879491292798E-2</v>
      </c>
      <c r="L160" s="6" t="s">
        <v>593</v>
      </c>
    </row>
    <row r="161" spans="1:12" ht="18" customHeight="1" x14ac:dyDescent="0.15">
      <c r="A161" s="5" t="s">
        <v>590</v>
      </c>
      <c r="B161" s="6" t="s">
        <v>648</v>
      </c>
      <c r="C161" s="6" t="s">
        <v>572</v>
      </c>
      <c r="D161" s="6" t="s">
        <v>572</v>
      </c>
      <c r="E161" s="6" t="s">
        <v>606</v>
      </c>
      <c r="F161" s="8">
        <v>6681</v>
      </c>
      <c r="G161" s="50">
        <v>1.21266578060553E-30</v>
      </c>
      <c r="H161" s="50">
        <v>6.3421886256700003E-6</v>
      </c>
      <c r="I161" s="50">
        <v>1.91204889626194E-25</v>
      </c>
      <c r="J161" s="50">
        <v>0.99999315140245404</v>
      </c>
      <c r="K161" s="50">
        <v>5.0640891921999996E-7</v>
      </c>
      <c r="L161" s="6" t="s">
        <v>593</v>
      </c>
    </row>
    <row r="162" spans="1:12" ht="18" customHeight="1" x14ac:dyDescent="0.15">
      <c r="A162" s="5" t="s">
        <v>590</v>
      </c>
      <c r="B162" s="6" t="s">
        <v>648</v>
      </c>
      <c r="C162" s="6" t="s">
        <v>572</v>
      </c>
      <c r="D162" s="6" t="s">
        <v>572</v>
      </c>
      <c r="E162" s="6" t="s">
        <v>607</v>
      </c>
      <c r="F162" s="8">
        <v>6425</v>
      </c>
      <c r="G162" s="50">
        <v>5.4209032546278799E-26</v>
      </c>
      <c r="H162" s="50">
        <v>0.28351383869269298</v>
      </c>
      <c r="I162" s="50">
        <v>1.3224535810543501E-25</v>
      </c>
      <c r="J162" s="50">
        <v>0.69161981655478599</v>
      </c>
      <c r="K162" s="50">
        <v>2.4866344752522501E-2</v>
      </c>
      <c r="L162" s="6" t="s">
        <v>593</v>
      </c>
    </row>
    <row r="163" spans="1:12" ht="18" customHeight="1" x14ac:dyDescent="0.15">
      <c r="A163" s="5" t="s">
        <v>590</v>
      </c>
      <c r="B163" s="6" t="s">
        <v>648</v>
      </c>
      <c r="C163" s="6" t="s">
        <v>572</v>
      </c>
      <c r="D163" s="6" t="s">
        <v>572</v>
      </c>
      <c r="E163" s="6" t="s">
        <v>608</v>
      </c>
      <c r="F163" s="8">
        <v>17</v>
      </c>
      <c r="G163" s="50">
        <v>4.9644738282798098E-2</v>
      </c>
      <c r="H163" s="50">
        <v>5.9016413041300004E-6</v>
      </c>
      <c r="I163" s="50">
        <v>0.94518308536525597</v>
      </c>
      <c r="J163" s="50">
        <v>1.0730200913677E-4</v>
      </c>
      <c r="K163" s="50">
        <v>5.0589727015053296E-3</v>
      </c>
      <c r="L163" s="6" t="s">
        <v>593</v>
      </c>
    </row>
    <row r="164" spans="1:12" ht="18" customHeight="1" x14ac:dyDescent="0.15">
      <c r="A164" s="5" t="s">
        <v>590</v>
      </c>
      <c r="B164" s="6" t="s">
        <v>648</v>
      </c>
      <c r="C164" s="6" t="s">
        <v>572</v>
      </c>
      <c r="D164" s="6" t="s">
        <v>572</v>
      </c>
      <c r="E164" s="6" t="s">
        <v>609</v>
      </c>
      <c r="F164" s="8">
        <v>61</v>
      </c>
      <c r="G164" s="50">
        <v>1.7194194392385E-4</v>
      </c>
      <c r="H164" s="50">
        <v>9.158172737E-8</v>
      </c>
      <c r="I164" s="50">
        <v>0.99258313177984103</v>
      </c>
      <c r="J164" s="50">
        <v>5.2195834998104999E-4</v>
      </c>
      <c r="K164" s="50">
        <v>6.7228763445262799E-3</v>
      </c>
      <c r="L164" s="6" t="s">
        <v>593</v>
      </c>
    </row>
    <row r="165" spans="1:12" ht="18" customHeight="1" x14ac:dyDescent="0.15">
      <c r="A165" s="5" t="s">
        <v>590</v>
      </c>
      <c r="B165" s="6" t="s">
        <v>648</v>
      </c>
      <c r="C165" s="6" t="s">
        <v>572</v>
      </c>
      <c r="D165" s="6" t="s">
        <v>572</v>
      </c>
      <c r="E165" s="6" t="s">
        <v>610</v>
      </c>
      <c r="F165" s="8">
        <v>142</v>
      </c>
      <c r="G165" s="50">
        <v>1.7491539700199999E-6</v>
      </c>
      <c r="H165" s="50">
        <v>2.5389622299999999E-9</v>
      </c>
      <c r="I165" s="50">
        <v>0.99191574569785501</v>
      </c>
      <c r="J165" s="50">
        <v>1.4331533549678901E-3</v>
      </c>
      <c r="K165" s="50">
        <v>6.6493492542444603E-3</v>
      </c>
      <c r="L165" s="6" t="s">
        <v>593</v>
      </c>
    </row>
    <row r="166" spans="1:12" ht="18" customHeight="1" x14ac:dyDescent="0.15">
      <c r="A166" s="5" t="s">
        <v>590</v>
      </c>
      <c r="B166" s="6" t="s">
        <v>648</v>
      </c>
      <c r="C166" s="6" t="s">
        <v>572</v>
      </c>
      <c r="D166" s="6" t="s">
        <v>572</v>
      </c>
      <c r="E166" s="6" t="s">
        <v>611</v>
      </c>
      <c r="F166" s="8">
        <v>82</v>
      </c>
      <c r="G166" s="50">
        <v>6.3628630800000002E-8</v>
      </c>
      <c r="H166" s="50">
        <v>4.3305209999999998E-11</v>
      </c>
      <c r="I166" s="50">
        <v>0.99262822022548103</v>
      </c>
      <c r="J166" s="50">
        <v>6.6887318479782001E-4</v>
      </c>
      <c r="K166" s="50">
        <v>6.7028429177840498E-3</v>
      </c>
      <c r="L166" s="6" t="s">
        <v>593</v>
      </c>
    </row>
    <row r="167" spans="1:12" ht="18" customHeight="1" x14ac:dyDescent="0.15">
      <c r="A167" s="5" t="s">
        <v>590</v>
      </c>
      <c r="B167" s="6" t="s">
        <v>648</v>
      </c>
      <c r="C167" s="6" t="s">
        <v>572</v>
      </c>
      <c r="D167" s="6" t="s">
        <v>572</v>
      </c>
      <c r="E167" s="6" t="s">
        <v>612</v>
      </c>
      <c r="F167" s="8">
        <v>63</v>
      </c>
      <c r="G167" s="50">
        <v>1.9516234794E-7</v>
      </c>
      <c r="H167" s="50">
        <v>1.082802E-10</v>
      </c>
      <c r="I167" s="50">
        <v>0.99271578141169003</v>
      </c>
      <c r="J167" s="50">
        <v>5.4403973672057003E-4</v>
      </c>
      <c r="K167" s="50">
        <v>6.7399835809613699E-3</v>
      </c>
      <c r="L167" s="6" t="s">
        <v>593</v>
      </c>
    </row>
    <row r="168" spans="1:12" ht="18" customHeight="1" x14ac:dyDescent="0.15">
      <c r="A168" s="5" t="s">
        <v>590</v>
      </c>
      <c r="B168" s="6" t="s">
        <v>648</v>
      </c>
      <c r="C168" s="6" t="s">
        <v>572</v>
      </c>
      <c r="D168" s="6" t="s">
        <v>572</v>
      </c>
      <c r="E168" s="6" t="s">
        <v>613</v>
      </c>
      <c r="F168" s="8">
        <v>31</v>
      </c>
      <c r="G168" s="50">
        <v>7.5607888206254706E-2</v>
      </c>
      <c r="H168" s="50">
        <v>1.603875473771E-5</v>
      </c>
      <c r="I168" s="50">
        <v>0.91787378090025096</v>
      </c>
      <c r="J168" s="50">
        <v>1.8839531674409E-4</v>
      </c>
      <c r="K168" s="50">
        <v>6.3138968220124202E-3</v>
      </c>
      <c r="L168" s="6" t="s">
        <v>593</v>
      </c>
    </row>
    <row r="169" spans="1:12" ht="18" customHeight="1" x14ac:dyDescent="0.15">
      <c r="A169" s="5" t="s">
        <v>590</v>
      </c>
      <c r="B169" s="6" t="s">
        <v>648</v>
      </c>
      <c r="C169" s="6" t="s">
        <v>572</v>
      </c>
      <c r="D169" s="6" t="s">
        <v>572</v>
      </c>
      <c r="E169" s="6" t="s">
        <v>614</v>
      </c>
      <c r="F169" s="8">
        <v>169</v>
      </c>
      <c r="G169" s="50">
        <v>1.0064200220000001E-8</v>
      </c>
      <c r="H169" s="50">
        <v>1.4891179999999999E-11</v>
      </c>
      <c r="I169" s="50">
        <v>0.98785472175831801</v>
      </c>
      <c r="J169" s="50">
        <v>1.4509543098713399E-3</v>
      </c>
      <c r="K169" s="50">
        <v>1.06943138527196E-2</v>
      </c>
      <c r="L169" s="6" t="s">
        <v>593</v>
      </c>
    </row>
    <row r="170" spans="1:12" ht="18" customHeight="1" x14ac:dyDescent="0.15">
      <c r="A170" s="5" t="s">
        <v>590</v>
      </c>
      <c r="B170" s="6" t="s">
        <v>649</v>
      </c>
      <c r="C170" s="6" t="s">
        <v>570</v>
      </c>
      <c r="D170" s="6" t="s">
        <v>570</v>
      </c>
      <c r="E170" s="6" t="s">
        <v>592</v>
      </c>
      <c r="F170" s="8">
        <v>5712</v>
      </c>
      <c r="G170" s="50">
        <v>1.8602999999999999E-13</v>
      </c>
      <c r="H170" s="50">
        <v>0.59216968245063895</v>
      </c>
      <c r="I170" s="50">
        <v>1.1196E-13</v>
      </c>
      <c r="J170" s="50">
        <v>0.35633739358977901</v>
      </c>
      <c r="K170" s="50">
        <v>5.1492923959285702E-2</v>
      </c>
      <c r="L170" s="6" t="s">
        <v>593</v>
      </c>
    </row>
    <row r="171" spans="1:12" ht="18" customHeight="1" x14ac:dyDescent="0.15">
      <c r="A171" s="5" t="s">
        <v>590</v>
      </c>
      <c r="B171" s="6" t="s">
        <v>649</v>
      </c>
      <c r="C171" s="6" t="s">
        <v>570</v>
      </c>
      <c r="D171" s="6" t="s">
        <v>570</v>
      </c>
      <c r="E171" s="6" t="s">
        <v>594</v>
      </c>
      <c r="F171" s="8">
        <v>5716</v>
      </c>
      <c r="G171" s="50">
        <v>1.9379E-13</v>
      </c>
      <c r="H171" s="50">
        <v>0.61686660531900805</v>
      </c>
      <c r="I171" s="50">
        <v>1.0593E-13</v>
      </c>
      <c r="J171" s="50">
        <v>0.33717084488545601</v>
      </c>
      <c r="K171" s="50">
        <v>4.59625497952377E-2</v>
      </c>
      <c r="L171" s="6" t="s">
        <v>593</v>
      </c>
    </row>
    <row r="172" spans="1:12" ht="18" customHeight="1" x14ac:dyDescent="0.15">
      <c r="A172" s="5" t="s">
        <v>590</v>
      </c>
      <c r="B172" s="6" t="s">
        <v>649</v>
      </c>
      <c r="C172" s="6" t="s">
        <v>570</v>
      </c>
      <c r="D172" s="6" t="s">
        <v>570</v>
      </c>
      <c r="E172" s="6" t="s">
        <v>595</v>
      </c>
      <c r="F172" s="8">
        <v>5716</v>
      </c>
      <c r="G172" s="50">
        <v>1.7035E-13</v>
      </c>
      <c r="H172" s="50">
        <v>0.54226437486137102</v>
      </c>
      <c r="I172" s="50">
        <v>1.3065E-13</v>
      </c>
      <c r="J172" s="50">
        <v>0.415839298503274</v>
      </c>
      <c r="K172" s="50">
        <v>4.1896326635055499E-2</v>
      </c>
      <c r="L172" s="6" t="s">
        <v>593</v>
      </c>
    </row>
    <row r="173" spans="1:12" ht="18" customHeight="1" x14ac:dyDescent="0.15">
      <c r="A173" s="5" t="s">
        <v>590</v>
      </c>
      <c r="B173" s="6" t="s">
        <v>649</v>
      </c>
      <c r="C173" s="6" t="s">
        <v>570</v>
      </c>
      <c r="D173" s="6" t="s">
        <v>570</v>
      </c>
      <c r="E173" s="6" t="s">
        <v>596</v>
      </c>
      <c r="F173" s="8">
        <v>5695</v>
      </c>
      <c r="G173" s="50">
        <v>1.6989999999999999E-13</v>
      </c>
      <c r="H173" s="50">
        <v>0.54083443847900403</v>
      </c>
      <c r="I173" s="50">
        <v>1.3058000000000001E-13</v>
      </c>
      <c r="J173" s="50">
        <v>0.415610580262056</v>
      </c>
      <c r="K173" s="50">
        <v>4.35549812586404E-2</v>
      </c>
      <c r="L173" s="6" t="s">
        <v>593</v>
      </c>
    </row>
    <row r="174" spans="1:12" ht="18" customHeight="1" x14ac:dyDescent="0.15">
      <c r="A174" s="5" t="s">
        <v>590</v>
      </c>
      <c r="B174" s="6" t="s">
        <v>649</v>
      </c>
      <c r="C174" s="6" t="s">
        <v>570</v>
      </c>
      <c r="D174" s="6" t="s">
        <v>570</v>
      </c>
      <c r="E174" s="6" t="s">
        <v>597</v>
      </c>
      <c r="F174" s="8">
        <v>5709</v>
      </c>
      <c r="G174" s="50">
        <v>1.9108E-13</v>
      </c>
      <c r="H174" s="50">
        <v>0.60824526133475099</v>
      </c>
      <c r="I174" s="50">
        <v>1.0745E-13</v>
      </c>
      <c r="J174" s="50">
        <v>0.341979275523629</v>
      </c>
      <c r="K174" s="50">
        <v>4.9775463141322501E-2</v>
      </c>
      <c r="L174" s="6" t="s">
        <v>593</v>
      </c>
    </row>
    <row r="175" spans="1:12" ht="18" customHeight="1" x14ac:dyDescent="0.15">
      <c r="A175" s="5" t="s">
        <v>590</v>
      </c>
      <c r="B175" s="6" t="s">
        <v>649</v>
      </c>
      <c r="C175" s="6" t="s">
        <v>570</v>
      </c>
      <c r="D175" s="6" t="s">
        <v>570</v>
      </c>
      <c r="E175" s="6" t="s">
        <v>598</v>
      </c>
      <c r="F175" s="8">
        <v>5694</v>
      </c>
      <c r="G175" s="50">
        <v>1.8241E-13</v>
      </c>
      <c r="H175" s="50">
        <v>0.58066218603263797</v>
      </c>
      <c r="I175" s="50">
        <v>1.1047E-13</v>
      </c>
      <c r="J175" s="50">
        <v>0.35160484046915103</v>
      </c>
      <c r="K175" s="50">
        <v>6.7732973497916293E-2</v>
      </c>
      <c r="L175" s="6" t="s">
        <v>593</v>
      </c>
    </row>
    <row r="176" spans="1:12" ht="18" customHeight="1" x14ac:dyDescent="0.15">
      <c r="A176" s="5" t="s">
        <v>590</v>
      </c>
      <c r="B176" s="6" t="s">
        <v>649</v>
      </c>
      <c r="C176" s="6" t="s">
        <v>570</v>
      </c>
      <c r="D176" s="6" t="s">
        <v>570</v>
      </c>
      <c r="E176" s="6" t="s">
        <v>599</v>
      </c>
      <c r="F176" s="8">
        <v>5696</v>
      </c>
      <c r="G176" s="50">
        <v>1.7681000000000001E-13</v>
      </c>
      <c r="H176" s="50">
        <v>0.56282119562979904</v>
      </c>
      <c r="I176" s="50">
        <v>1.2226999999999999E-13</v>
      </c>
      <c r="J176" s="50">
        <v>0.38917198758784199</v>
      </c>
      <c r="K176" s="50">
        <v>4.8006816782062103E-2</v>
      </c>
      <c r="L176" s="6" t="s">
        <v>593</v>
      </c>
    </row>
    <row r="177" spans="1:12" ht="18" customHeight="1" x14ac:dyDescent="0.15">
      <c r="A177" s="5" t="s">
        <v>590</v>
      </c>
      <c r="B177" s="6" t="s">
        <v>649</v>
      </c>
      <c r="C177" s="6" t="s">
        <v>570</v>
      </c>
      <c r="D177" s="6" t="s">
        <v>570</v>
      </c>
      <c r="E177" s="6" t="s">
        <v>616</v>
      </c>
      <c r="F177" s="8">
        <v>5709</v>
      </c>
      <c r="G177" s="50">
        <v>1.8077999999999999E-13</v>
      </c>
      <c r="H177" s="50">
        <v>0.57545154980664903</v>
      </c>
      <c r="I177" s="50">
        <v>1.0936E-13</v>
      </c>
      <c r="J177" s="50">
        <v>0.34803576987801599</v>
      </c>
      <c r="K177" s="50">
        <v>7.6512680315045198E-2</v>
      </c>
      <c r="L177" s="6" t="s">
        <v>593</v>
      </c>
    </row>
    <row r="178" spans="1:12" ht="18" customHeight="1" x14ac:dyDescent="0.15">
      <c r="A178" s="5" t="s">
        <v>590</v>
      </c>
      <c r="B178" s="6" t="s">
        <v>649</v>
      </c>
      <c r="C178" s="6" t="s">
        <v>570</v>
      </c>
      <c r="D178" s="6" t="s">
        <v>570</v>
      </c>
      <c r="E178" s="6" t="s">
        <v>600</v>
      </c>
      <c r="F178" s="8">
        <v>5717</v>
      </c>
      <c r="G178" s="50">
        <v>1.8932E-13</v>
      </c>
      <c r="H178" s="50">
        <v>0.602644831249598</v>
      </c>
      <c r="I178" s="50">
        <v>1.09E-13</v>
      </c>
      <c r="J178" s="50">
        <v>0.34692983365547603</v>
      </c>
      <c r="K178" s="50">
        <v>5.0425335094626399E-2</v>
      </c>
      <c r="L178" s="6" t="s">
        <v>593</v>
      </c>
    </row>
    <row r="179" spans="1:12" ht="18" customHeight="1" x14ac:dyDescent="0.15">
      <c r="A179" s="5" t="s">
        <v>590</v>
      </c>
      <c r="B179" s="6" t="s">
        <v>649</v>
      </c>
      <c r="C179" s="6" t="s">
        <v>570</v>
      </c>
      <c r="D179" s="6" t="s">
        <v>570</v>
      </c>
      <c r="E179" s="6" t="s">
        <v>601</v>
      </c>
      <c r="F179" s="8">
        <v>5717</v>
      </c>
      <c r="G179" s="50">
        <v>2.1589999999999999E-14</v>
      </c>
      <c r="H179" s="50">
        <v>6.8747717996689106E-2</v>
      </c>
      <c r="I179" s="50">
        <v>2.8808000000000002E-13</v>
      </c>
      <c r="J179" s="50">
        <v>0.917005009108803</v>
      </c>
      <c r="K179" s="50">
        <v>1.4247272894197501E-2</v>
      </c>
      <c r="L179" s="6" t="s">
        <v>593</v>
      </c>
    </row>
    <row r="180" spans="1:12" ht="18" customHeight="1" x14ac:dyDescent="0.15">
      <c r="A180" s="5" t="s">
        <v>590</v>
      </c>
      <c r="B180" s="6" t="s">
        <v>649</v>
      </c>
      <c r="C180" s="6" t="s">
        <v>570</v>
      </c>
      <c r="D180" s="6" t="s">
        <v>570</v>
      </c>
      <c r="E180" s="6" t="s">
        <v>602</v>
      </c>
      <c r="F180" s="8">
        <v>5716</v>
      </c>
      <c r="G180" s="50">
        <v>3.5590000000000003E-14</v>
      </c>
      <c r="H180" s="50">
        <v>0.11329608549416301</v>
      </c>
      <c r="I180" s="50">
        <v>2.7577E-13</v>
      </c>
      <c r="J180" s="50">
        <v>0.87782985798865698</v>
      </c>
      <c r="K180" s="50">
        <v>8.8740565168693199E-3</v>
      </c>
      <c r="L180" s="6" t="s">
        <v>593</v>
      </c>
    </row>
    <row r="181" spans="1:12" ht="18" customHeight="1" x14ac:dyDescent="0.15">
      <c r="A181" s="5" t="s">
        <v>590</v>
      </c>
      <c r="B181" s="6" t="s">
        <v>649</v>
      </c>
      <c r="C181" s="6" t="s">
        <v>570</v>
      </c>
      <c r="D181" s="6" t="s">
        <v>570</v>
      </c>
      <c r="E181" s="6" t="s">
        <v>617</v>
      </c>
      <c r="F181" s="8">
        <v>5717</v>
      </c>
      <c r="G181" s="50">
        <v>8.9949999999999998E-14</v>
      </c>
      <c r="H181" s="50">
        <v>0.28634956807933198</v>
      </c>
      <c r="I181" s="50">
        <v>2.1778000000000001E-13</v>
      </c>
      <c r="J181" s="50">
        <v>0.693226266888466</v>
      </c>
      <c r="K181" s="50">
        <v>2.0424165031894499E-2</v>
      </c>
      <c r="L181" s="6" t="s">
        <v>593</v>
      </c>
    </row>
    <row r="182" spans="1:12" ht="18" customHeight="1" x14ac:dyDescent="0.15">
      <c r="A182" s="5" t="s">
        <v>590</v>
      </c>
      <c r="B182" s="6" t="s">
        <v>649</v>
      </c>
      <c r="C182" s="6" t="s">
        <v>570</v>
      </c>
      <c r="D182" s="6" t="s">
        <v>570</v>
      </c>
      <c r="E182" s="6" t="s">
        <v>618</v>
      </c>
      <c r="F182" s="8">
        <v>5365</v>
      </c>
      <c r="G182" s="50">
        <v>1.5045000000000001E-13</v>
      </c>
      <c r="H182" s="50">
        <v>0.47895738752466699</v>
      </c>
      <c r="I182" s="50">
        <v>1.5229999999999999E-13</v>
      </c>
      <c r="J182" s="50">
        <v>0.48482146928428199</v>
      </c>
      <c r="K182" s="50">
        <v>3.6221143190748199E-2</v>
      </c>
      <c r="L182" s="6" t="s">
        <v>593</v>
      </c>
    </row>
    <row r="183" spans="1:12" ht="18" customHeight="1" x14ac:dyDescent="0.15">
      <c r="A183" s="5" t="s">
        <v>590</v>
      </c>
      <c r="B183" s="6" t="s">
        <v>649</v>
      </c>
      <c r="C183" s="6" t="s">
        <v>570</v>
      </c>
      <c r="D183" s="6" t="s">
        <v>570</v>
      </c>
      <c r="E183" s="6" t="s">
        <v>619</v>
      </c>
      <c r="F183" s="8">
        <v>5377</v>
      </c>
      <c r="G183" s="50">
        <v>9.1939999999999997E-14</v>
      </c>
      <c r="H183" s="50">
        <v>0.29269261163713201</v>
      </c>
      <c r="I183" s="50">
        <v>6.8960000000000004E-14</v>
      </c>
      <c r="J183" s="50">
        <v>0.219051344306293</v>
      </c>
      <c r="K183" s="50">
        <v>0.48825604405641498</v>
      </c>
      <c r="L183" s="6" t="s">
        <v>593</v>
      </c>
    </row>
    <row r="184" spans="1:12" ht="18" customHeight="1" x14ac:dyDescent="0.15">
      <c r="A184" s="5" t="s">
        <v>590</v>
      </c>
      <c r="B184" s="6" t="s">
        <v>649</v>
      </c>
      <c r="C184" s="6" t="s">
        <v>570</v>
      </c>
      <c r="D184" s="6" t="s">
        <v>570</v>
      </c>
      <c r="E184" s="6" t="s">
        <v>620</v>
      </c>
      <c r="F184" s="8">
        <v>5379</v>
      </c>
      <c r="G184" s="50">
        <v>1.162E-13</v>
      </c>
      <c r="H184" s="50">
        <v>0.369909987070768</v>
      </c>
      <c r="I184" s="50">
        <v>1.7962999999999999E-13</v>
      </c>
      <c r="J184" s="50">
        <v>0.571773263451681</v>
      </c>
      <c r="K184" s="50">
        <v>5.8316749477255202E-2</v>
      </c>
      <c r="L184" s="6" t="s">
        <v>593</v>
      </c>
    </row>
    <row r="185" spans="1:12" ht="18" customHeight="1" x14ac:dyDescent="0.15">
      <c r="A185" s="5" t="s">
        <v>590</v>
      </c>
      <c r="B185" s="6" t="s">
        <v>649</v>
      </c>
      <c r="C185" s="6" t="s">
        <v>570</v>
      </c>
      <c r="D185" s="6" t="s">
        <v>570</v>
      </c>
      <c r="E185" s="6" t="s">
        <v>603</v>
      </c>
      <c r="F185" s="8">
        <v>4731</v>
      </c>
      <c r="G185" s="50">
        <v>1.9873E-13</v>
      </c>
      <c r="H185" s="50">
        <v>0.63263263428274497</v>
      </c>
      <c r="I185" s="50">
        <v>9.4129999999999999E-14</v>
      </c>
      <c r="J185" s="50">
        <v>0.29957303747901998</v>
      </c>
      <c r="K185" s="50">
        <v>6.7794328237942098E-2</v>
      </c>
      <c r="L185" s="6" t="s">
        <v>593</v>
      </c>
    </row>
    <row r="186" spans="1:12" ht="18" customHeight="1" x14ac:dyDescent="0.15">
      <c r="A186" s="5" t="s">
        <v>590</v>
      </c>
      <c r="B186" s="6" t="s">
        <v>649</v>
      </c>
      <c r="C186" s="6" t="s">
        <v>570</v>
      </c>
      <c r="D186" s="6" t="s">
        <v>570</v>
      </c>
      <c r="E186" s="6" t="s">
        <v>604</v>
      </c>
      <c r="F186" s="8">
        <v>4296</v>
      </c>
      <c r="G186" s="50">
        <v>2.0278E-13</v>
      </c>
      <c r="H186" s="50">
        <v>0.64551997286109297</v>
      </c>
      <c r="I186" s="50">
        <v>9.1909999999999997E-14</v>
      </c>
      <c r="J186" s="50">
        <v>0.29252133325250201</v>
      </c>
      <c r="K186" s="50">
        <v>6.1958693886110403E-2</v>
      </c>
      <c r="L186" s="6" t="s">
        <v>593</v>
      </c>
    </row>
    <row r="187" spans="1:12" ht="18" customHeight="1" x14ac:dyDescent="0.15">
      <c r="A187" s="5" t="s">
        <v>590</v>
      </c>
      <c r="B187" s="6" t="s">
        <v>649</v>
      </c>
      <c r="C187" s="6" t="s">
        <v>570</v>
      </c>
      <c r="D187" s="6" t="s">
        <v>570</v>
      </c>
      <c r="E187" s="6" t="s">
        <v>605</v>
      </c>
      <c r="F187" s="8">
        <v>5351</v>
      </c>
      <c r="G187" s="50">
        <v>1.6428000000000001E-13</v>
      </c>
      <c r="H187" s="50">
        <v>0.52297616913798595</v>
      </c>
      <c r="I187" s="50">
        <v>1.3695000000000001E-13</v>
      </c>
      <c r="J187" s="50">
        <v>0.43591951487078301</v>
      </c>
      <c r="K187" s="50">
        <v>4.1104315990928397E-2</v>
      </c>
      <c r="L187" s="6" t="s">
        <v>593</v>
      </c>
    </row>
    <row r="188" spans="1:12" ht="18" customHeight="1" x14ac:dyDescent="0.15">
      <c r="A188" s="5" t="s">
        <v>590</v>
      </c>
      <c r="B188" s="6" t="s">
        <v>649</v>
      </c>
      <c r="C188" s="6" t="s">
        <v>570</v>
      </c>
      <c r="D188" s="6" t="s">
        <v>570</v>
      </c>
      <c r="E188" s="6" t="s">
        <v>606</v>
      </c>
      <c r="F188" s="8">
        <v>5521</v>
      </c>
      <c r="G188" s="50">
        <v>1.8629000000000001E-13</v>
      </c>
      <c r="H188" s="50">
        <v>0.59301154539223899</v>
      </c>
      <c r="I188" s="50">
        <v>1.1318E-13</v>
      </c>
      <c r="J188" s="50">
        <v>0.36023458695115801</v>
      </c>
      <c r="K188" s="50">
        <v>4.6753867656305403E-2</v>
      </c>
      <c r="L188" s="6" t="s">
        <v>593</v>
      </c>
    </row>
    <row r="189" spans="1:12" ht="18" customHeight="1" x14ac:dyDescent="0.15">
      <c r="A189" s="5" t="s">
        <v>590</v>
      </c>
      <c r="B189" s="6" t="s">
        <v>649</v>
      </c>
      <c r="C189" s="6" t="s">
        <v>570</v>
      </c>
      <c r="D189" s="6" t="s">
        <v>570</v>
      </c>
      <c r="E189" s="6" t="s">
        <v>621</v>
      </c>
      <c r="F189" s="8">
        <v>445</v>
      </c>
      <c r="G189" s="50">
        <v>0.92599072142572902</v>
      </c>
      <c r="H189" s="50">
        <v>2.7829368051369902E-2</v>
      </c>
      <c r="I189" s="50">
        <v>4.2411899398687697E-2</v>
      </c>
      <c r="J189" s="50">
        <v>1.2721349930707401E-3</v>
      </c>
      <c r="K189" s="50">
        <v>2.4958761311430801E-3</v>
      </c>
      <c r="L189" s="6" t="s">
        <v>593</v>
      </c>
    </row>
    <row r="190" spans="1:12" ht="18" customHeight="1" x14ac:dyDescent="0.15">
      <c r="A190" s="5" t="s">
        <v>590</v>
      </c>
      <c r="B190" s="6" t="s">
        <v>649</v>
      </c>
      <c r="C190" s="6" t="s">
        <v>570</v>
      </c>
      <c r="D190" s="6" t="s">
        <v>570</v>
      </c>
      <c r="E190" s="6" t="s">
        <v>622</v>
      </c>
      <c r="F190" s="8">
        <v>451</v>
      </c>
      <c r="G190" s="50">
        <v>0.92305884836067498</v>
      </c>
      <c r="H190" s="50">
        <v>2.7814248521892699E-2</v>
      </c>
      <c r="I190" s="50">
        <v>4.1930209811994398E-2</v>
      </c>
      <c r="J190" s="50">
        <v>1.25753096023382E-3</v>
      </c>
      <c r="K190" s="50">
        <v>5.9391623452044202E-3</v>
      </c>
      <c r="L190" s="6" t="s">
        <v>593</v>
      </c>
    </row>
    <row r="191" spans="1:12" ht="18" customHeight="1" x14ac:dyDescent="0.15">
      <c r="A191" s="5" t="s">
        <v>590</v>
      </c>
      <c r="B191" s="6" t="s">
        <v>649</v>
      </c>
      <c r="C191" s="6" t="s">
        <v>570</v>
      </c>
      <c r="D191" s="6" t="s">
        <v>570</v>
      </c>
      <c r="E191" s="6" t="s">
        <v>623</v>
      </c>
      <c r="F191" s="8">
        <v>445</v>
      </c>
      <c r="G191" s="50">
        <v>0.92797715833137495</v>
      </c>
      <c r="H191" s="50">
        <v>2.7767153894745902E-2</v>
      </c>
      <c r="I191" s="50">
        <v>4.0367760979955897E-2</v>
      </c>
      <c r="J191" s="50">
        <v>1.2052110577833301E-3</v>
      </c>
      <c r="K191" s="50">
        <v>2.68271573613937E-3</v>
      </c>
      <c r="L191" s="6" t="s">
        <v>593</v>
      </c>
    </row>
    <row r="192" spans="1:12" ht="18" customHeight="1" x14ac:dyDescent="0.15">
      <c r="A192" s="5" t="s">
        <v>590</v>
      </c>
      <c r="B192" s="6" t="s">
        <v>649</v>
      </c>
      <c r="C192" s="6" t="s">
        <v>570</v>
      </c>
      <c r="D192" s="6" t="s">
        <v>570</v>
      </c>
      <c r="E192" s="6" t="s">
        <v>624</v>
      </c>
      <c r="F192" s="8">
        <v>453</v>
      </c>
      <c r="G192" s="50">
        <v>0.91814988305304202</v>
      </c>
      <c r="H192" s="50">
        <v>2.7682736075607801E-2</v>
      </c>
      <c r="I192" s="50">
        <v>4.4468506340256599E-2</v>
      </c>
      <c r="J192" s="50">
        <v>1.33238402028864E-3</v>
      </c>
      <c r="K192" s="50">
        <v>8.3664905108049407E-3</v>
      </c>
      <c r="L192" s="6" t="s">
        <v>593</v>
      </c>
    </row>
    <row r="193" spans="1:12" ht="18" customHeight="1" x14ac:dyDescent="0.15">
      <c r="A193" s="5" t="s">
        <v>590</v>
      </c>
      <c r="B193" s="6" t="s">
        <v>649</v>
      </c>
      <c r="C193" s="6" t="s">
        <v>570</v>
      </c>
      <c r="D193" s="6" t="s">
        <v>570</v>
      </c>
      <c r="E193" s="6" t="s">
        <v>625</v>
      </c>
      <c r="F193" s="8">
        <v>448</v>
      </c>
      <c r="G193" s="50">
        <v>0.92605892122247502</v>
      </c>
      <c r="H193" s="50">
        <v>2.78553598591832E-2</v>
      </c>
      <c r="I193" s="50">
        <v>4.18156711087262E-2</v>
      </c>
      <c r="J193" s="50">
        <v>1.25477787885636E-3</v>
      </c>
      <c r="K193" s="50">
        <v>3.01526993075933E-3</v>
      </c>
      <c r="L193" s="6" t="s">
        <v>593</v>
      </c>
    </row>
    <row r="194" spans="1:12" ht="18" customHeight="1" x14ac:dyDescent="0.15">
      <c r="A194" s="5" t="s">
        <v>590</v>
      </c>
      <c r="B194" s="6" t="s">
        <v>649</v>
      </c>
      <c r="C194" s="6" t="s">
        <v>570</v>
      </c>
      <c r="D194" s="6" t="s">
        <v>570</v>
      </c>
      <c r="E194" s="6" t="s">
        <v>626</v>
      </c>
      <c r="F194" s="8">
        <v>435</v>
      </c>
      <c r="G194" s="50">
        <v>0.92804411275784204</v>
      </c>
      <c r="H194" s="50">
        <v>2.7698514104785601E-2</v>
      </c>
      <c r="I194" s="50">
        <v>4.0328109931482503E-2</v>
      </c>
      <c r="J194" s="50">
        <v>1.2009091739699201E-3</v>
      </c>
      <c r="K194" s="50">
        <v>2.72835403191989E-3</v>
      </c>
      <c r="L194" s="6" t="s">
        <v>593</v>
      </c>
    </row>
    <row r="195" spans="1:12" ht="18" customHeight="1" x14ac:dyDescent="0.15">
      <c r="A195" s="5" t="s">
        <v>590</v>
      </c>
      <c r="B195" s="6" t="s">
        <v>649</v>
      </c>
      <c r="C195" s="6" t="s">
        <v>570</v>
      </c>
      <c r="D195" s="6" t="s">
        <v>570</v>
      </c>
      <c r="E195" s="6" t="s">
        <v>627</v>
      </c>
      <c r="F195" s="8">
        <v>450</v>
      </c>
      <c r="G195" s="50">
        <v>0.923151005335622</v>
      </c>
      <c r="H195" s="50">
        <v>2.78027217011571E-2</v>
      </c>
      <c r="I195" s="50">
        <v>4.4603458235048098E-2</v>
      </c>
      <c r="J195" s="50">
        <v>1.34022860135032E-3</v>
      </c>
      <c r="K195" s="50">
        <v>3.1025861268221002E-3</v>
      </c>
      <c r="L195" s="6" t="s">
        <v>593</v>
      </c>
    </row>
    <row r="196" spans="1:12" ht="18" customHeight="1" x14ac:dyDescent="0.15">
      <c r="A196" s="5" t="s">
        <v>590</v>
      </c>
      <c r="B196" s="6" t="s">
        <v>649</v>
      </c>
      <c r="C196" s="6" t="s">
        <v>570</v>
      </c>
      <c r="D196" s="6" t="s">
        <v>570</v>
      </c>
      <c r="E196" s="6" t="s">
        <v>628</v>
      </c>
      <c r="F196" s="8">
        <v>449</v>
      </c>
      <c r="G196" s="50">
        <v>0.92936026890754697</v>
      </c>
      <c r="H196" s="50">
        <v>2.7980119874791501E-2</v>
      </c>
      <c r="I196" s="50">
        <v>3.9069987006511701E-2</v>
      </c>
      <c r="J196" s="50">
        <v>1.1738588791971999E-3</v>
      </c>
      <c r="K196" s="50">
        <v>2.4157653319524402E-3</v>
      </c>
      <c r="L196" s="6" t="s">
        <v>593</v>
      </c>
    </row>
    <row r="197" spans="1:12" ht="18" customHeight="1" x14ac:dyDescent="0.15">
      <c r="A197" s="5" t="s">
        <v>590</v>
      </c>
      <c r="B197" s="6" t="s">
        <v>649</v>
      </c>
      <c r="C197" s="6" t="s">
        <v>570</v>
      </c>
      <c r="D197" s="6" t="s">
        <v>570</v>
      </c>
      <c r="E197" s="6" t="s">
        <v>629</v>
      </c>
      <c r="F197" s="8">
        <v>448</v>
      </c>
      <c r="G197" s="50">
        <v>0.923150393761763</v>
      </c>
      <c r="H197" s="50">
        <v>2.76976320490659E-2</v>
      </c>
      <c r="I197" s="50">
        <v>4.4021993123293801E-2</v>
      </c>
      <c r="J197" s="50">
        <v>1.3169956019938301E-3</v>
      </c>
      <c r="K197" s="50">
        <v>3.8129854638833901E-3</v>
      </c>
      <c r="L197" s="6" t="s">
        <v>593</v>
      </c>
    </row>
    <row r="198" spans="1:12" ht="18" customHeight="1" x14ac:dyDescent="0.15">
      <c r="A198" s="5" t="s">
        <v>590</v>
      </c>
      <c r="B198" s="6" t="s">
        <v>649</v>
      </c>
      <c r="C198" s="6" t="s">
        <v>570</v>
      </c>
      <c r="D198" s="6" t="s">
        <v>570</v>
      </c>
      <c r="E198" s="6" t="s">
        <v>630</v>
      </c>
      <c r="F198" s="8">
        <v>451</v>
      </c>
      <c r="G198" s="50">
        <v>0.92489851007607904</v>
      </c>
      <c r="H198" s="50">
        <v>2.78455948263653E-2</v>
      </c>
      <c r="I198" s="50">
        <v>4.1537827474000498E-2</v>
      </c>
      <c r="J198" s="50">
        <v>1.2460928182045799E-3</v>
      </c>
      <c r="K198" s="50">
        <v>4.4719748053501998E-3</v>
      </c>
      <c r="L198" s="6" t="s">
        <v>593</v>
      </c>
    </row>
    <row r="199" spans="1:12" ht="18" customHeight="1" x14ac:dyDescent="0.15">
      <c r="A199" s="5" t="s">
        <v>590</v>
      </c>
      <c r="B199" s="6" t="s">
        <v>649</v>
      </c>
      <c r="C199" s="6" t="s">
        <v>570</v>
      </c>
      <c r="D199" s="6" t="s">
        <v>570</v>
      </c>
      <c r="E199" s="6" t="s">
        <v>631</v>
      </c>
      <c r="F199" s="8">
        <v>446</v>
      </c>
      <c r="G199" s="50">
        <v>0.92562348381079196</v>
      </c>
      <c r="H199" s="50">
        <v>2.7848000930361799E-2</v>
      </c>
      <c r="I199" s="50">
        <v>4.2432712699809402E-2</v>
      </c>
      <c r="J199" s="50">
        <v>1.27379450331146E-3</v>
      </c>
      <c r="K199" s="50">
        <v>2.8220080557252E-3</v>
      </c>
      <c r="L199" s="6" t="s">
        <v>593</v>
      </c>
    </row>
    <row r="200" spans="1:12" ht="18" customHeight="1" x14ac:dyDescent="0.15">
      <c r="A200" s="5" t="s">
        <v>590</v>
      </c>
      <c r="B200" s="6" t="s">
        <v>649</v>
      </c>
      <c r="C200" s="6" t="s">
        <v>570</v>
      </c>
      <c r="D200" s="6" t="s">
        <v>570</v>
      </c>
      <c r="E200" s="6" t="s">
        <v>632</v>
      </c>
      <c r="F200" s="8">
        <v>5230</v>
      </c>
      <c r="G200" s="50">
        <v>1.9625999999999999E-13</v>
      </c>
      <c r="H200" s="50">
        <v>0.62474614283569796</v>
      </c>
      <c r="I200" s="50">
        <v>1.0004E-13</v>
      </c>
      <c r="J200" s="50">
        <v>0.318414205809532</v>
      </c>
      <c r="K200" s="50">
        <v>5.6839651354472401E-2</v>
      </c>
      <c r="L200" s="6" t="s">
        <v>593</v>
      </c>
    </row>
    <row r="201" spans="1:12" ht="18" customHeight="1" x14ac:dyDescent="0.15">
      <c r="A201" s="5" t="s">
        <v>590</v>
      </c>
      <c r="B201" s="6" t="s">
        <v>649</v>
      </c>
      <c r="C201" s="6" t="s">
        <v>570</v>
      </c>
      <c r="D201" s="6" t="s">
        <v>570</v>
      </c>
      <c r="E201" s="6" t="s">
        <v>633</v>
      </c>
      <c r="F201" s="8">
        <v>5355</v>
      </c>
      <c r="G201" s="50">
        <v>1.8975999999999999E-13</v>
      </c>
      <c r="H201" s="50">
        <v>0.60405665764459504</v>
      </c>
      <c r="I201" s="50">
        <v>1.0818E-13</v>
      </c>
      <c r="J201" s="50">
        <v>0.34432242771612098</v>
      </c>
      <c r="K201" s="50">
        <v>5.1620914638986999E-2</v>
      </c>
      <c r="L201" s="6" t="s">
        <v>593</v>
      </c>
    </row>
    <row r="202" spans="1:12" ht="18" customHeight="1" x14ac:dyDescent="0.15">
      <c r="A202" s="5" t="s">
        <v>590</v>
      </c>
      <c r="B202" s="6" t="s">
        <v>649</v>
      </c>
      <c r="C202" s="6" t="s">
        <v>570</v>
      </c>
      <c r="D202" s="6" t="s">
        <v>570</v>
      </c>
      <c r="E202" s="6" t="s">
        <v>634</v>
      </c>
      <c r="F202" s="8">
        <v>5526</v>
      </c>
      <c r="G202" s="50">
        <v>2.0993E-13</v>
      </c>
      <c r="H202" s="50">
        <v>0.66826268468250205</v>
      </c>
      <c r="I202" s="50">
        <v>9.175E-14</v>
      </c>
      <c r="J202" s="50">
        <v>0.292027332297503</v>
      </c>
      <c r="K202" s="50">
        <v>3.9709983019694597E-2</v>
      </c>
      <c r="L202" s="6" t="s">
        <v>593</v>
      </c>
    </row>
    <row r="203" spans="1:12" ht="18" customHeight="1" x14ac:dyDescent="0.15">
      <c r="A203" s="5" t="s">
        <v>590</v>
      </c>
      <c r="B203" s="6" t="s">
        <v>649</v>
      </c>
      <c r="C203" s="6" t="s">
        <v>570</v>
      </c>
      <c r="D203" s="6" t="s">
        <v>570</v>
      </c>
      <c r="E203" s="6" t="s">
        <v>635</v>
      </c>
      <c r="F203" s="8">
        <v>5534</v>
      </c>
      <c r="G203" s="50">
        <v>3.7952587467302099E-46</v>
      </c>
      <c r="H203" s="50">
        <v>1.2080808959456301E-33</v>
      </c>
      <c r="I203" s="50">
        <v>3.1414999999999998E-13</v>
      </c>
      <c r="J203" s="50">
        <v>0.99999999999968703</v>
      </c>
      <c r="K203" s="50">
        <v>2.91464388603507E-15</v>
      </c>
      <c r="L203" s="6" t="s">
        <v>593</v>
      </c>
    </row>
    <row r="204" spans="1:12" ht="18" customHeight="1" x14ac:dyDescent="0.15">
      <c r="A204" s="5" t="s">
        <v>590</v>
      </c>
      <c r="B204" s="6" t="s">
        <v>649</v>
      </c>
      <c r="C204" s="6" t="s">
        <v>570</v>
      </c>
      <c r="D204" s="6" t="s">
        <v>570</v>
      </c>
      <c r="E204" s="6" t="s">
        <v>636</v>
      </c>
      <c r="F204" s="8">
        <v>5534</v>
      </c>
      <c r="G204" s="50">
        <v>4.8774697536593201E-29</v>
      </c>
      <c r="H204" s="50">
        <v>1.55256292736958E-16</v>
      </c>
      <c r="I204" s="50">
        <v>3.1414999999999998E-13</v>
      </c>
      <c r="J204" s="50">
        <v>0.99999999999967304</v>
      </c>
      <c r="K204" s="50">
        <v>1.314E-14</v>
      </c>
      <c r="L204" s="6" t="s">
        <v>593</v>
      </c>
    </row>
    <row r="205" spans="1:12" ht="18" customHeight="1" x14ac:dyDescent="0.15">
      <c r="A205" s="5" t="s">
        <v>590</v>
      </c>
      <c r="B205" s="6" t="s">
        <v>649</v>
      </c>
      <c r="C205" s="6" t="s">
        <v>570</v>
      </c>
      <c r="D205" s="6" t="s">
        <v>570</v>
      </c>
      <c r="E205" s="6" t="s">
        <v>637</v>
      </c>
      <c r="F205" s="8">
        <v>5299</v>
      </c>
      <c r="G205" s="50">
        <v>1.8962E-13</v>
      </c>
      <c r="H205" s="50">
        <v>0.60360965355749996</v>
      </c>
      <c r="I205" s="50">
        <v>1.0869E-13</v>
      </c>
      <c r="J205" s="50">
        <v>0.34595109181915301</v>
      </c>
      <c r="K205" s="50">
        <v>5.0439254623048997E-2</v>
      </c>
      <c r="L205" s="6" t="s">
        <v>593</v>
      </c>
    </row>
    <row r="206" spans="1:12" ht="18" customHeight="1" x14ac:dyDescent="0.15">
      <c r="A206" s="5" t="s">
        <v>590</v>
      </c>
      <c r="B206" s="6" t="s">
        <v>649</v>
      </c>
      <c r="C206" s="6" t="s">
        <v>570</v>
      </c>
      <c r="D206" s="6" t="s">
        <v>570</v>
      </c>
      <c r="E206" s="6" t="s">
        <v>638</v>
      </c>
      <c r="F206" s="8">
        <v>5337</v>
      </c>
      <c r="G206" s="50">
        <v>1.9413E-13</v>
      </c>
      <c r="H206" s="50">
        <v>0.61797473627658694</v>
      </c>
      <c r="I206" s="50">
        <v>1.0221E-13</v>
      </c>
      <c r="J206" s="50">
        <v>0.32530667742063901</v>
      </c>
      <c r="K206" s="50">
        <v>5.6718586302478599E-2</v>
      </c>
      <c r="L206" s="6" t="s">
        <v>593</v>
      </c>
    </row>
    <row r="207" spans="1:12" ht="18" customHeight="1" x14ac:dyDescent="0.15">
      <c r="A207" s="5" t="s">
        <v>590</v>
      </c>
      <c r="B207" s="6" t="s">
        <v>649</v>
      </c>
      <c r="C207" s="6" t="s">
        <v>570</v>
      </c>
      <c r="D207" s="6" t="s">
        <v>570</v>
      </c>
      <c r="E207" s="6" t="s">
        <v>639</v>
      </c>
      <c r="F207" s="8">
        <v>5208</v>
      </c>
      <c r="G207" s="50">
        <v>1.8141000000000001E-13</v>
      </c>
      <c r="H207" s="50">
        <v>0.57747353164769</v>
      </c>
      <c r="I207" s="50">
        <v>1.1777000000000001E-13</v>
      </c>
      <c r="J207" s="50">
        <v>0.37485949454305001</v>
      </c>
      <c r="K207" s="50">
        <v>4.7666973808960497E-2</v>
      </c>
      <c r="L207" s="6" t="s">
        <v>593</v>
      </c>
    </row>
    <row r="208" spans="1:12" ht="18" customHeight="1" x14ac:dyDescent="0.15">
      <c r="A208" s="5" t="s">
        <v>590</v>
      </c>
      <c r="B208" s="6" t="s">
        <v>649</v>
      </c>
      <c r="C208" s="6" t="s">
        <v>570</v>
      </c>
      <c r="D208" s="6" t="s">
        <v>570</v>
      </c>
      <c r="E208" s="6" t="s">
        <v>640</v>
      </c>
      <c r="F208" s="8">
        <v>5202</v>
      </c>
      <c r="G208" s="50">
        <v>1.7526999999999999E-13</v>
      </c>
      <c r="H208" s="50">
        <v>0.55792818090485696</v>
      </c>
      <c r="I208" s="50">
        <v>1.2475E-13</v>
      </c>
      <c r="J208" s="50">
        <v>0.39706902131420602</v>
      </c>
      <c r="K208" s="50">
        <v>4.5002797780634901E-2</v>
      </c>
      <c r="L208" s="6" t="s">
        <v>593</v>
      </c>
    </row>
    <row r="209" spans="1:12" ht="18" customHeight="1" x14ac:dyDescent="0.15">
      <c r="A209" s="5" t="s">
        <v>590</v>
      </c>
      <c r="B209" s="6" t="s">
        <v>649</v>
      </c>
      <c r="C209" s="6" t="s">
        <v>570</v>
      </c>
      <c r="D209" s="6" t="s">
        <v>570</v>
      </c>
      <c r="E209" s="6" t="s">
        <v>607</v>
      </c>
      <c r="F209" s="8">
        <v>5285</v>
      </c>
      <c r="G209" s="50">
        <v>3.1440000000000003E-14</v>
      </c>
      <c r="H209" s="50">
        <v>0.100108081834816</v>
      </c>
      <c r="I209" s="50">
        <v>2.7973999999999998E-13</v>
      </c>
      <c r="J209" s="50">
        <v>0.89046997641577097</v>
      </c>
      <c r="K209" s="50">
        <v>9.4219417491020994E-3</v>
      </c>
      <c r="L209" s="6" t="s">
        <v>593</v>
      </c>
    </row>
    <row r="210" spans="1:12" ht="18" customHeight="1" x14ac:dyDescent="0.15">
      <c r="A210" s="5" t="s">
        <v>590</v>
      </c>
      <c r="B210" s="6" t="s">
        <v>649</v>
      </c>
      <c r="C210" s="6" t="s">
        <v>570</v>
      </c>
      <c r="D210" s="6" t="s">
        <v>570</v>
      </c>
      <c r="E210" s="6" t="s">
        <v>609</v>
      </c>
      <c r="F210" s="8">
        <v>75</v>
      </c>
      <c r="G210" s="50">
        <v>1.6521259999999999E-10</v>
      </c>
      <c r="H210" s="50">
        <v>1.4519060000000001E-11</v>
      </c>
      <c r="I210" s="50">
        <v>0.50775115472890098</v>
      </c>
      <c r="J210" s="50">
        <v>4.4173644488920902E-2</v>
      </c>
      <c r="K210" s="50">
        <v>0.44807520060244599</v>
      </c>
      <c r="L210" s="6" t="s">
        <v>593</v>
      </c>
    </row>
    <row r="211" spans="1:12" ht="18" customHeight="1" x14ac:dyDescent="0.15">
      <c r="A211" s="5" t="s">
        <v>590</v>
      </c>
      <c r="B211" s="6" t="s">
        <v>649</v>
      </c>
      <c r="C211" s="6" t="s">
        <v>570</v>
      </c>
      <c r="D211" s="6" t="s">
        <v>570</v>
      </c>
      <c r="E211" s="6" t="s">
        <v>610</v>
      </c>
      <c r="F211" s="8">
        <v>88</v>
      </c>
      <c r="G211" s="50">
        <v>2.6453855769999999E-8</v>
      </c>
      <c r="H211" s="50">
        <v>2.3171116800000001E-9</v>
      </c>
      <c r="I211" s="50">
        <v>0.48701085425023499</v>
      </c>
      <c r="J211" s="50">
        <v>4.21868182773385E-2</v>
      </c>
      <c r="K211" s="50">
        <v>0.47080229870145701</v>
      </c>
      <c r="L211" s="6" t="s">
        <v>593</v>
      </c>
    </row>
    <row r="212" spans="1:12" ht="18" customHeight="1" x14ac:dyDescent="0.15">
      <c r="A212" s="5" t="s">
        <v>590</v>
      </c>
      <c r="B212" s="6" t="s">
        <v>649</v>
      </c>
      <c r="C212" s="6" t="s">
        <v>570</v>
      </c>
      <c r="D212" s="6" t="s">
        <v>570</v>
      </c>
      <c r="E212" s="6" t="s">
        <v>611</v>
      </c>
      <c r="F212" s="8">
        <v>77</v>
      </c>
      <c r="G212" s="50">
        <v>1.2812306999999999E-10</v>
      </c>
      <c r="H212" s="50">
        <v>1.1206179999999999E-11</v>
      </c>
      <c r="I212" s="50">
        <v>0.49003335116771202</v>
      </c>
      <c r="J212" s="50">
        <v>4.2392817436567101E-2</v>
      </c>
      <c r="K212" s="50">
        <v>0.46757383125639301</v>
      </c>
      <c r="L212" s="6" t="s">
        <v>593</v>
      </c>
    </row>
    <row r="213" spans="1:12" ht="18" customHeight="1" x14ac:dyDescent="0.15">
      <c r="A213" s="5" t="s">
        <v>590</v>
      </c>
      <c r="B213" s="6" t="s">
        <v>649</v>
      </c>
      <c r="C213" s="6" t="s">
        <v>570</v>
      </c>
      <c r="D213" s="6" t="s">
        <v>570</v>
      </c>
      <c r="E213" s="6" t="s">
        <v>641</v>
      </c>
      <c r="F213" s="8">
        <v>90</v>
      </c>
      <c r="G213" s="50">
        <v>2.3259354000000001E-9</v>
      </c>
      <c r="H213" s="50">
        <v>2.0021844000000001E-10</v>
      </c>
      <c r="I213" s="50">
        <v>0.49313210364533899</v>
      </c>
      <c r="J213" s="50">
        <v>4.19843351667116E-2</v>
      </c>
      <c r="K213" s="50">
        <v>0.46488355866179498</v>
      </c>
      <c r="L213" s="6" t="s">
        <v>593</v>
      </c>
    </row>
    <row r="214" spans="1:12" ht="18" customHeight="1" x14ac:dyDescent="0.15">
      <c r="A214" s="5" t="s">
        <v>590</v>
      </c>
      <c r="B214" s="6" t="s">
        <v>649</v>
      </c>
      <c r="C214" s="6" t="s">
        <v>570</v>
      </c>
      <c r="D214" s="6" t="s">
        <v>570</v>
      </c>
      <c r="E214" s="6" t="s">
        <v>612</v>
      </c>
      <c r="F214" s="8">
        <v>61</v>
      </c>
      <c r="G214" s="50">
        <v>1.2593047174204E-4</v>
      </c>
      <c r="H214" s="50">
        <v>8.5832169225900004E-6</v>
      </c>
      <c r="I214" s="50">
        <v>0.16662545089320499</v>
      </c>
      <c r="J214" s="50">
        <v>1.0534214947450399E-2</v>
      </c>
      <c r="K214" s="50">
        <v>0.82270582047067997</v>
      </c>
      <c r="L214" s="6" t="s">
        <v>593</v>
      </c>
    </row>
    <row r="215" spans="1:12" ht="18" customHeight="1" x14ac:dyDescent="0.15">
      <c r="A215" s="5" t="s">
        <v>590</v>
      </c>
      <c r="B215" s="6" t="s">
        <v>649</v>
      </c>
      <c r="C215" s="6" t="s">
        <v>570</v>
      </c>
      <c r="D215" s="6" t="s">
        <v>570</v>
      </c>
      <c r="E215" s="6" t="s">
        <v>642</v>
      </c>
      <c r="F215" s="8">
        <v>23</v>
      </c>
      <c r="G215" s="50">
        <v>6.44192186117209E-3</v>
      </c>
      <c r="H215" s="50">
        <v>2.0102947166264999E-4</v>
      </c>
      <c r="I215" s="50">
        <v>0.27246321973778698</v>
      </c>
      <c r="J215" s="50">
        <v>7.7895037927187098E-3</v>
      </c>
      <c r="K215" s="50">
        <v>0.71310432513666</v>
      </c>
      <c r="L215" s="6" t="s">
        <v>593</v>
      </c>
    </row>
    <row r="216" spans="1:12" ht="18" customHeight="1" x14ac:dyDescent="0.15">
      <c r="A216" s="5" t="s">
        <v>590</v>
      </c>
      <c r="B216" s="6" t="s">
        <v>649</v>
      </c>
      <c r="C216" s="6" t="s">
        <v>570</v>
      </c>
      <c r="D216" s="6" t="s">
        <v>570</v>
      </c>
      <c r="E216" s="6" t="s">
        <v>643</v>
      </c>
      <c r="F216" s="8"/>
      <c r="G216" s="50"/>
      <c r="H216" s="50"/>
      <c r="I216" s="50"/>
      <c r="J216" s="50"/>
      <c r="K216" s="50"/>
      <c r="L216" s="6" t="s">
        <v>644</v>
      </c>
    </row>
    <row r="217" spans="1:12" ht="18" customHeight="1" x14ac:dyDescent="0.15">
      <c r="A217" s="5" t="s">
        <v>590</v>
      </c>
      <c r="B217" s="6" t="s">
        <v>649</v>
      </c>
      <c r="C217" s="6" t="s">
        <v>570</v>
      </c>
      <c r="D217" s="6" t="s">
        <v>570</v>
      </c>
      <c r="E217" s="6" t="s">
        <v>645</v>
      </c>
      <c r="F217" s="8">
        <v>54</v>
      </c>
      <c r="G217" s="50">
        <v>8.2999670000000001E-10</v>
      </c>
      <c r="H217" s="50">
        <v>3.5721280000000003E-11</v>
      </c>
      <c r="I217" s="50">
        <v>0.511288581623215</v>
      </c>
      <c r="J217" s="50">
        <v>2.15375967000388E-2</v>
      </c>
      <c r="K217" s="50">
        <v>0.46717382081102998</v>
      </c>
      <c r="L217" s="6" t="s">
        <v>593</v>
      </c>
    </row>
    <row r="218" spans="1:12" ht="18" customHeight="1" x14ac:dyDescent="0.15">
      <c r="A218" s="5" t="s">
        <v>590</v>
      </c>
      <c r="B218" s="6" t="s">
        <v>649</v>
      </c>
      <c r="C218" s="6" t="s">
        <v>570</v>
      </c>
      <c r="D218" s="6" t="s">
        <v>570</v>
      </c>
      <c r="E218" s="6" t="s">
        <v>613</v>
      </c>
      <c r="F218" s="8">
        <v>40</v>
      </c>
      <c r="G218" s="50">
        <v>4.8391186020000002E-8</v>
      </c>
      <c r="H218" s="50">
        <v>9.903792E-10</v>
      </c>
      <c r="I218" s="50">
        <v>0.95739042014014997</v>
      </c>
      <c r="J218" s="50">
        <v>1.9571016558769801E-2</v>
      </c>
      <c r="K218" s="50">
        <v>2.3038513919514201E-2</v>
      </c>
      <c r="L218" s="6" t="s">
        <v>593</v>
      </c>
    </row>
    <row r="219" spans="1:12" ht="18" customHeight="1" x14ac:dyDescent="0.15">
      <c r="A219" s="5" t="s">
        <v>590</v>
      </c>
      <c r="B219" s="6" t="s">
        <v>649</v>
      </c>
      <c r="C219" s="6" t="s">
        <v>570</v>
      </c>
      <c r="D219" s="6" t="s">
        <v>570</v>
      </c>
      <c r="E219" s="6" t="s">
        <v>614</v>
      </c>
      <c r="F219" s="8">
        <v>72</v>
      </c>
      <c r="G219" s="50">
        <v>6.0354312000000001E-10</v>
      </c>
      <c r="H219" s="50">
        <v>6.3621630000000006E-11</v>
      </c>
      <c r="I219" s="50">
        <v>0.76447008028117003</v>
      </c>
      <c r="J219" s="50">
        <v>8.0430416189466697E-2</v>
      </c>
      <c r="K219" s="50">
        <v>0.15509950286219801</v>
      </c>
      <c r="L219" s="6" t="s">
        <v>593</v>
      </c>
    </row>
    <row r="220" spans="1:12" ht="18" customHeight="1" x14ac:dyDescent="0.15">
      <c r="A220" s="5" t="s">
        <v>590</v>
      </c>
      <c r="B220" s="6" t="s">
        <v>650</v>
      </c>
      <c r="C220" s="6" t="s">
        <v>572</v>
      </c>
      <c r="D220" s="6" t="s">
        <v>572</v>
      </c>
      <c r="E220" s="6" t="s">
        <v>592</v>
      </c>
      <c r="F220" s="8">
        <v>7265</v>
      </c>
      <c r="G220" s="50">
        <v>2.2517119471903699E-2</v>
      </c>
      <c r="H220" s="50">
        <v>0.49392638275812201</v>
      </c>
      <c r="I220" s="50">
        <v>1.96548151262077E-2</v>
      </c>
      <c r="J220" s="50">
        <v>0.43110724330753503</v>
      </c>
      <c r="K220" s="50">
        <v>3.2794439336232099E-2</v>
      </c>
      <c r="L220" s="6" t="s">
        <v>593</v>
      </c>
    </row>
    <row r="221" spans="1:12" ht="18" customHeight="1" x14ac:dyDescent="0.15">
      <c r="A221" s="5" t="s">
        <v>590</v>
      </c>
      <c r="B221" s="6" t="s">
        <v>650</v>
      </c>
      <c r="C221" s="6" t="s">
        <v>572</v>
      </c>
      <c r="D221" s="6" t="s">
        <v>572</v>
      </c>
      <c r="E221" s="6" t="s">
        <v>594</v>
      </c>
      <c r="F221" s="8">
        <v>7276</v>
      </c>
      <c r="G221" s="50">
        <v>2.45731541537705E-2</v>
      </c>
      <c r="H221" s="50">
        <v>0.53906268261544898</v>
      </c>
      <c r="I221" s="50">
        <v>1.75361052829466E-2</v>
      </c>
      <c r="J221" s="50">
        <v>0.384656368943186</v>
      </c>
      <c r="K221" s="50">
        <v>3.41716890046488E-2</v>
      </c>
      <c r="L221" s="6" t="s">
        <v>593</v>
      </c>
    </row>
    <row r="222" spans="1:12" ht="18" customHeight="1" x14ac:dyDescent="0.15">
      <c r="A222" s="5" t="s">
        <v>590</v>
      </c>
      <c r="B222" s="6" t="s">
        <v>650</v>
      </c>
      <c r="C222" s="6" t="s">
        <v>572</v>
      </c>
      <c r="D222" s="6" t="s">
        <v>572</v>
      </c>
      <c r="E222" s="6" t="s">
        <v>595</v>
      </c>
      <c r="F222" s="8">
        <v>7276</v>
      </c>
      <c r="G222" s="50">
        <v>6.8705805653892903E-3</v>
      </c>
      <c r="H222" s="50">
        <v>0.15072016168029001</v>
      </c>
      <c r="I222" s="50">
        <v>3.5916166082943797E-2</v>
      </c>
      <c r="J222" s="50">
        <v>0.787875550562674</v>
      </c>
      <c r="K222" s="50">
        <v>1.8617541108703398E-2</v>
      </c>
      <c r="L222" s="6" t="s">
        <v>593</v>
      </c>
    </row>
    <row r="223" spans="1:12" ht="18" customHeight="1" x14ac:dyDescent="0.15">
      <c r="A223" s="5" t="s">
        <v>590</v>
      </c>
      <c r="B223" s="6" t="s">
        <v>650</v>
      </c>
      <c r="C223" s="6" t="s">
        <v>572</v>
      </c>
      <c r="D223" s="6" t="s">
        <v>572</v>
      </c>
      <c r="E223" s="6" t="s">
        <v>596</v>
      </c>
      <c r="F223" s="8">
        <v>7276</v>
      </c>
      <c r="G223" s="50">
        <v>2.0046261904813199E-2</v>
      </c>
      <c r="H223" s="50">
        <v>0.43975571979142097</v>
      </c>
      <c r="I223" s="50">
        <v>2.1025083101096301E-2</v>
      </c>
      <c r="J223" s="50">
        <v>0.46117016019621798</v>
      </c>
      <c r="K223" s="50">
        <v>5.8002775006450902E-2</v>
      </c>
      <c r="L223" s="6" t="s">
        <v>593</v>
      </c>
    </row>
    <row r="224" spans="1:12" ht="18" customHeight="1" x14ac:dyDescent="0.15">
      <c r="A224" s="5" t="s">
        <v>590</v>
      </c>
      <c r="B224" s="6" t="s">
        <v>650</v>
      </c>
      <c r="C224" s="6" t="s">
        <v>572</v>
      </c>
      <c r="D224" s="6" t="s">
        <v>572</v>
      </c>
      <c r="E224" s="6" t="s">
        <v>597</v>
      </c>
      <c r="F224" s="8">
        <v>7267</v>
      </c>
      <c r="G224" s="50">
        <v>2.2177480452714199E-2</v>
      </c>
      <c r="H224" s="50">
        <v>0.48649742498250698</v>
      </c>
      <c r="I224" s="50">
        <v>2.0029031841796101E-2</v>
      </c>
      <c r="J224" s="50">
        <v>0.43933591289157697</v>
      </c>
      <c r="K224" s="50">
        <v>3.1960149831406499E-2</v>
      </c>
      <c r="L224" s="6" t="s">
        <v>593</v>
      </c>
    </row>
    <row r="225" spans="1:12" ht="18" customHeight="1" x14ac:dyDescent="0.15">
      <c r="A225" s="5" t="s">
        <v>590</v>
      </c>
      <c r="B225" s="6" t="s">
        <v>650</v>
      </c>
      <c r="C225" s="6" t="s">
        <v>572</v>
      </c>
      <c r="D225" s="6" t="s">
        <v>572</v>
      </c>
      <c r="E225" s="6" t="s">
        <v>598</v>
      </c>
      <c r="F225" s="8">
        <v>7276</v>
      </c>
      <c r="G225" s="50">
        <v>2.2205728850457501E-2</v>
      </c>
      <c r="H225" s="50">
        <v>0.48712691625019799</v>
      </c>
      <c r="I225" s="50">
        <v>2.0138631734233799E-2</v>
      </c>
      <c r="J225" s="50">
        <v>0.4417522449988</v>
      </c>
      <c r="K225" s="50">
        <v>2.8776478166311601E-2</v>
      </c>
      <c r="L225" s="6" t="s">
        <v>593</v>
      </c>
    </row>
    <row r="226" spans="1:12" ht="18" customHeight="1" x14ac:dyDescent="0.15">
      <c r="A226" s="5" t="s">
        <v>590</v>
      </c>
      <c r="B226" s="6" t="s">
        <v>650</v>
      </c>
      <c r="C226" s="6" t="s">
        <v>572</v>
      </c>
      <c r="D226" s="6" t="s">
        <v>572</v>
      </c>
      <c r="E226" s="6" t="s">
        <v>599</v>
      </c>
      <c r="F226" s="8">
        <v>7276</v>
      </c>
      <c r="G226" s="50">
        <v>2.3838931820975299E-2</v>
      </c>
      <c r="H226" s="50">
        <v>0.52292313081868702</v>
      </c>
      <c r="I226" s="50">
        <v>1.8225606463598502E-2</v>
      </c>
      <c r="J226" s="50">
        <v>0.39975577706238202</v>
      </c>
      <c r="K226" s="50">
        <v>3.52565538343576E-2</v>
      </c>
      <c r="L226" s="6" t="s">
        <v>593</v>
      </c>
    </row>
    <row r="227" spans="1:12" ht="18" customHeight="1" x14ac:dyDescent="0.15">
      <c r="A227" s="5" t="s">
        <v>590</v>
      </c>
      <c r="B227" s="6" t="s">
        <v>650</v>
      </c>
      <c r="C227" s="6" t="s">
        <v>572</v>
      </c>
      <c r="D227" s="6" t="s">
        <v>572</v>
      </c>
      <c r="E227" s="6" t="s">
        <v>600</v>
      </c>
      <c r="F227" s="8">
        <v>7277</v>
      </c>
      <c r="G227" s="50">
        <v>2.5392195683116001E-2</v>
      </c>
      <c r="H227" s="50">
        <v>0.55703077392782596</v>
      </c>
      <c r="I227" s="50">
        <v>1.6717865699221599E-2</v>
      </c>
      <c r="J227" s="50">
        <v>0.36670710123631101</v>
      </c>
      <c r="K227" s="50">
        <v>3.4152063453525498E-2</v>
      </c>
      <c r="L227" s="6" t="s">
        <v>593</v>
      </c>
    </row>
    <row r="228" spans="1:12" ht="18" customHeight="1" x14ac:dyDescent="0.15">
      <c r="A228" s="5" t="s">
        <v>590</v>
      </c>
      <c r="B228" s="6" t="s">
        <v>650</v>
      </c>
      <c r="C228" s="6" t="s">
        <v>572</v>
      </c>
      <c r="D228" s="6" t="s">
        <v>572</v>
      </c>
      <c r="E228" s="6" t="s">
        <v>601</v>
      </c>
      <c r="F228" s="8">
        <v>7277</v>
      </c>
      <c r="G228" s="50">
        <v>2.0878865592093801E-2</v>
      </c>
      <c r="H228" s="50">
        <v>0.45802146473029398</v>
      </c>
      <c r="I228" s="50">
        <v>1.35902922191414E-2</v>
      </c>
      <c r="J228" s="50">
        <v>0.29792181813740398</v>
      </c>
      <c r="K228" s="50">
        <v>0.20958755932106701</v>
      </c>
      <c r="L228" s="6" t="s">
        <v>593</v>
      </c>
    </row>
    <row r="229" spans="1:12" ht="18" customHeight="1" x14ac:dyDescent="0.15">
      <c r="A229" s="5" t="s">
        <v>590</v>
      </c>
      <c r="B229" s="6" t="s">
        <v>650</v>
      </c>
      <c r="C229" s="6" t="s">
        <v>572</v>
      </c>
      <c r="D229" s="6" t="s">
        <v>572</v>
      </c>
      <c r="E229" s="6" t="s">
        <v>602</v>
      </c>
      <c r="F229" s="8">
        <v>7277</v>
      </c>
      <c r="G229" s="50">
        <v>1.8959999999999999E-14</v>
      </c>
      <c r="H229" s="50">
        <v>4.1606E-13</v>
      </c>
      <c r="I229" s="50">
        <v>4.3576070994973702E-2</v>
      </c>
      <c r="J229" s="50">
        <v>0.95593151338582805</v>
      </c>
      <c r="K229" s="50">
        <v>4.9241561876304997E-4</v>
      </c>
      <c r="L229" s="6" t="s">
        <v>593</v>
      </c>
    </row>
    <row r="230" spans="1:12" ht="18" customHeight="1" x14ac:dyDescent="0.15">
      <c r="A230" s="5" t="s">
        <v>590</v>
      </c>
      <c r="B230" s="6" t="s">
        <v>650</v>
      </c>
      <c r="C230" s="6" t="s">
        <v>572</v>
      </c>
      <c r="D230" s="6" t="s">
        <v>572</v>
      </c>
      <c r="E230" s="6" t="s">
        <v>603</v>
      </c>
      <c r="F230" s="8">
        <v>6266</v>
      </c>
      <c r="G230" s="50">
        <v>2.51723764505495E-2</v>
      </c>
      <c r="H230" s="50">
        <v>0.54973518437313795</v>
      </c>
      <c r="I230" s="50">
        <v>1.6870181132686901E-2</v>
      </c>
      <c r="J230" s="50">
        <v>0.368385136722714</v>
      </c>
      <c r="K230" s="50">
        <v>3.9837121320910801E-2</v>
      </c>
      <c r="L230" s="6" t="s">
        <v>593</v>
      </c>
    </row>
    <row r="231" spans="1:12" ht="18" customHeight="1" x14ac:dyDescent="0.15">
      <c r="A231" s="5" t="s">
        <v>590</v>
      </c>
      <c r="B231" s="6" t="s">
        <v>650</v>
      </c>
      <c r="C231" s="6" t="s">
        <v>572</v>
      </c>
      <c r="D231" s="6" t="s">
        <v>572</v>
      </c>
      <c r="E231" s="6" t="s">
        <v>604</v>
      </c>
      <c r="F231" s="8">
        <v>5882</v>
      </c>
      <c r="G231" s="50">
        <v>2.56165068971013E-2</v>
      </c>
      <c r="H231" s="50">
        <v>0.55732277836469701</v>
      </c>
      <c r="I231" s="50">
        <v>1.6308435346835799E-2</v>
      </c>
      <c r="J231" s="50">
        <v>0.35476673481535898</v>
      </c>
      <c r="K231" s="50">
        <v>4.5985544576006301E-2</v>
      </c>
      <c r="L231" s="6" t="s">
        <v>593</v>
      </c>
    </row>
    <row r="232" spans="1:12" ht="18" customHeight="1" x14ac:dyDescent="0.15">
      <c r="A232" s="5" t="s">
        <v>590</v>
      </c>
      <c r="B232" s="6" t="s">
        <v>650</v>
      </c>
      <c r="C232" s="6" t="s">
        <v>572</v>
      </c>
      <c r="D232" s="6" t="s">
        <v>572</v>
      </c>
      <c r="E232" s="6" t="s">
        <v>605</v>
      </c>
      <c r="F232" s="8">
        <v>7073</v>
      </c>
      <c r="G232" s="50">
        <v>7.9141537067315998E-4</v>
      </c>
      <c r="H232" s="50">
        <v>1.7325190731947101E-2</v>
      </c>
      <c r="I232" s="50">
        <v>4.2593886587627999E-2</v>
      </c>
      <c r="J232" s="50">
        <v>0.93243296771842799</v>
      </c>
      <c r="K232" s="50">
        <v>6.8565395913236498E-3</v>
      </c>
      <c r="L232" s="6" t="s">
        <v>593</v>
      </c>
    </row>
    <row r="233" spans="1:12" ht="18" customHeight="1" x14ac:dyDescent="0.15">
      <c r="A233" s="5" t="s">
        <v>590</v>
      </c>
      <c r="B233" s="6" t="s">
        <v>650</v>
      </c>
      <c r="C233" s="6" t="s">
        <v>572</v>
      </c>
      <c r="D233" s="6" t="s">
        <v>572</v>
      </c>
      <c r="E233" s="6" t="s">
        <v>606</v>
      </c>
      <c r="F233" s="8">
        <v>7211</v>
      </c>
      <c r="G233" s="50">
        <v>2.4863136891000001E-7</v>
      </c>
      <c r="H233" s="50">
        <v>5.4463808465199997E-6</v>
      </c>
      <c r="I233" s="50">
        <v>4.3647671694361401E-2</v>
      </c>
      <c r="J233" s="50">
        <v>0.95612145868953802</v>
      </c>
      <c r="K233" s="50">
        <v>2.2517460388415001E-4</v>
      </c>
      <c r="L233" s="6" t="s">
        <v>593</v>
      </c>
    </row>
    <row r="234" spans="1:12" ht="18" customHeight="1" x14ac:dyDescent="0.15">
      <c r="A234" s="5" t="s">
        <v>590</v>
      </c>
      <c r="B234" s="6" t="s">
        <v>650</v>
      </c>
      <c r="C234" s="6" t="s">
        <v>572</v>
      </c>
      <c r="D234" s="6" t="s">
        <v>572</v>
      </c>
      <c r="E234" s="6" t="s">
        <v>607</v>
      </c>
      <c r="F234" s="8">
        <v>6928</v>
      </c>
      <c r="G234" s="50">
        <v>1.0946999324018899E-2</v>
      </c>
      <c r="H234" s="50">
        <v>0.23947074566684601</v>
      </c>
      <c r="I234" s="50">
        <v>3.2037791663700202E-2</v>
      </c>
      <c r="J234" s="50">
        <v>0.70082500274466697</v>
      </c>
      <c r="K234" s="50">
        <v>1.6719460600767701E-2</v>
      </c>
      <c r="L234" s="6" t="s">
        <v>593</v>
      </c>
    </row>
    <row r="235" spans="1:12" ht="18" customHeight="1" x14ac:dyDescent="0.15">
      <c r="A235" s="5" t="s">
        <v>590</v>
      </c>
      <c r="B235" s="6" t="s">
        <v>650</v>
      </c>
      <c r="C235" s="6" t="s">
        <v>572</v>
      </c>
      <c r="D235" s="6" t="s">
        <v>572</v>
      </c>
      <c r="E235" s="6" t="s">
        <v>608</v>
      </c>
      <c r="F235" s="8">
        <v>19</v>
      </c>
      <c r="G235" s="50">
        <v>4.8229848966514499E-2</v>
      </c>
      <c r="H235" s="50">
        <v>6.2516897590099997E-6</v>
      </c>
      <c r="I235" s="50">
        <v>0.944875181478677</v>
      </c>
      <c r="J235" s="50">
        <v>1.1570438635093E-4</v>
      </c>
      <c r="K235" s="50">
        <v>6.7730134786983202E-3</v>
      </c>
      <c r="L235" s="6" t="s">
        <v>593</v>
      </c>
    </row>
    <row r="236" spans="1:12" ht="18" customHeight="1" x14ac:dyDescent="0.15">
      <c r="A236" s="5" t="s">
        <v>590</v>
      </c>
      <c r="B236" s="6" t="s">
        <v>650</v>
      </c>
      <c r="C236" s="6" t="s">
        <v>572</v>
      </c>
      <c r="D236" s="6" t="s">
        <v>572</v>
      </c>
      <c r="E236" s="6" t="s">
        <v>609</v>
      </c>
      <c r="F236" s="8">
        <v>70</v>
      </c>
      <c r="G236" s="50">
        <v>1.6598162690273E-4</v>
      </c>
      <c r="H236" s="50">
        <v>6.1687834870000004E-8</v>
      </c>
      <c r="I236" s="50">
        <v>0.99431247863044303</v>
      </c>
      <c r="J236" s="50">
        <v>3.6438371048464E-4</v>
      </c>
      <c r="K236" s="50">
        <v>5.1570943443349096E-3</v>
      </c>
      <c r="L236" s="6" t="s">
        <v>593</v>
      </c>
    </row>
    <row r="237" spans="1:12" ht="18" customHeight="1" x14ac:dyDescent="0.15">
      <c r="A237" s="5" t="s">
        <v>590</v>
      </c>
      <c r="B237" s="6" t="s">
        <v>650</v>
      </c>
      <c r="C237" s="6" t="s">
        <v>572</v>
      </c>
      <c r="D237" s="6" t="s">
        <v>572</v>
      </c>
      <c r="E237" s="6" t="s">
        <v>610</v>
      </c>
      <c r="F237" s="8">
        <v>160</v>
      </c>
      <c r="G237" s="50">
        <v>1.7327918805000001E-6</v>
      </c>
      <c r="H237" s="50">
        <v>1.7631728599999999E-9</v>
      </c>
      <c r="I237" s="50">
        <v>0.99386214285891705</v>
      </c>
      <c r="J237" s="50">
        <v>1.0061575302483599E-3</v>
      </c>
      <c r="K237" s="50">
        <v>5.1299650557811603E-3</v>
      </c>
      <c r="L237" s="6" t="s">
        <v>593</v>
      </c>
    </row>
    <row r="238" spans="1:12" ht="18" customHeight="1" x14ac:dyDescent="0.15">
      <c r="A238" s="5" t="s">
        <v>590</v>
      </c>
      <c r="B238" s="6" t="s">
        <v>650</v>
      </c>
      <c r="C238" s="6" t="s">
        <v>572</v>
      </c>
      <c r="D238" s="6" t="s">
        <v>572</v>
      </c>
      <c r="E238" s="6" t="s">
        <v>611</v>
      </c>
      <c r="F238" s="8">
        <v>92</v>
      </c>
      <c r="G238" s="50">
        <v>6.2764844079999995E-8</v>
      </c>
      <c r="H238" s="50">
        <v>5.1976249999999998E-11</v>
      </c>
      <c r="I238" s="50">
        <v>0.99403553058487704</v>
      </c>
      <c r="J238" s="50">
        <v>8.1802537479026003E-4</v>
      </c>
      <c r="K238" s="50">
        <v>5.1463812235113199E-3</v>
      </c>
      <c r="L238" s="6" t="s">
        <v>593</v>
      </c>
    </row>
    <row r="239" spans="1:12" ht="18" customHeight="1" x14ac:dyDescent="0.15">
      <c r="A239" s="5" t="s">
        <v>590</v>
      </c>
      <c r="B239" s="6" t="s">
        <v>650</v>
      </c>
      <c r="C239" s="6" t="s">
        <v>572</v>
      </c>
      <c r="D239" s="6" t="s">
        <v>572</v>
      </c>
      <c r="E239" s="6" t="s">
        <v>612</v>
      </c>
      <c r="F239" s="8">
        <v>73</v>
      </c>
      <c r="G239" s="50">
        <v>1.8946866929999999E-7</v>
      </c>
      <c r="H239" s="50">
        <v>8.6970689999999996E-11</v>
      </c>
      <c r="I239" s="50">
        <v>0.99441245812838597</v>
      </c>
      <c r="J239" s="50">
        <v>4.5132328363159E-4</v>
      </c>
      <c r="K239" s="50">
        <v>5.1360290323425803E-3</v>
      </c>
      <c r="L239" s="6" t="s">
        <v>593</v>
      </c>
    </row>
    <row r="240" spans="1:12" ht="18" customHeight="1" x14ac:dyDescent="0.15">
      <c r="A240" s="5" t="s">
        <v>590</v>
      </c>
      <c r="B240" s="6" t="s">
        <v>650</v>
      </c>
      <c r="C240" s="6" t="s">
        <v>572</v>
      </c>
      <c r="D240" s="6" t="s">
        <v>572</v>
      </c>
      <c r="E240" s="6" t="s">
        <v>613</v>
      </c>
      <c r="F240" s="8">
        <v>34</v>
      </c>
      <c r="G240" s="50">
        <v>6.7831975320831198E-2</v>
      </c>
      <c r="H240" s="50">
        <v>1.194052322603E-5</v>
      </c>
      <c r="I240" s="50">
        <v>0.92719084299064602</v>
      </c>
      <c r="J240" s="50">
        <v>1.5840739880355E-4</v>
      </c>
      <c r="K240" s="50">
        <v>4.8068337664935899E-3</v>
      </c>
      <c r="L240" s="6" t="s">
        <v>593</v>
      </c>
    </row>
    <row r="241" spans="1:12" ht="18" customHeight="1" x14ac:dyDescent="0.15">
      <c r="A241" s="5" t="s">
        <v>590</v>
      </c>
      <c r="B241" s="6" t="s">
        <v>650</v>
      </c>
      <c r="C241" s="6" t="s">
        <v>572</v>
      </c>
      <c r="D241" s="6" t="s">
        <v>572</v>
      </c>
      <c r="E241" s="6" t="s">
        <v>614</v>
      </c>
      <c r="F241" s="8">
        <v>172</v>
      </c>
      <c r="G241" s="50">
        <v>1.0118161160000001E-8</v>
      </c>
      <c r="H241" s="50">
        <v>1.7488760000000001E-11</v>
      </c>
      <c r="I241" s="50">
        <v>0.99287619819163297</v>
      </c>
      <c r="J241" s="50">
        <v>1.71072701755099E-3</v>
      </c>
      <c r="K241" s="50">
        <v>5.4130646551669498E-3</v>
      </c>
      <c r="L241" s="6" t="s">
        <v>593</v>
      </c>
    </row>
    <row r="242" spans="1:12" ht="18" customHeight="1" x14ac:dyDescent="0.15">
      <c r="A242" s="5" t="s">
        <v>590</v>
      </c>
      <c r="B242" s="6" t="s">
        <v>651</v>
      </c>
      <c r="C242" s="6" t="s">
        <v>570</v>
      </c>
      <c r="D242" s="6" t="s">
        <v>570</v>
      </c>
      <c r="E242" s="6" t="s">
        <v>592</v>
      </c>
      <c r="F242" s="8">
        <v>6088</v>
      </c>
      <c r="G242" s="50">
        <v>6.5516976124189996E-5</v>
      </c>
      <c r="H242" s="50">
        <v>0.57548434692120598</v>
      </c>
      <c r="I242" s="50">
        <v>4.2483605827889997E-5</v>
      </c>
      <c r="J242" s="50">
        <v>0.37311382460454601</v>
      </c>
      <c r="K242" s="50">
        <v>5.1293827892295203E-2</v>
      </c>
      <c r="L242" s="6" t="s">
        <v>593</v>
      </c>
    </row>
    <row r="243" spans="1:12" ht="18" customHeight="1" x14ac:dyDescent="0.15">
      <c r="A243" s="5" t="s">
        <v>590</v>
      </c>
      <c r="B243" s="6" t="s">
        <v>651</v>
      </c>
      <c r="C243" s="6" t="s">
        <v>570</v>
      </c>
      <c r="D243" s="6" t="s">
        <v>570</v>
      </c>
      <c r="E243" s="6" t="s">
        <v>594</v>
      </c>
      <c r="F243" s="8">
        <v>6093</v>
      </c>
      <c r="G243" s="50">
        <v>6.8531354007570001E-5</v>
      </c>
      <c r="H243" s="50">
        <v>0.60196187562947401</v>
      </c>
      <c r="I243" s="50">
        <v>3.9956976452310002E-5</v>
      </c>
      <c r="J243" s="50">
        <v>0.35092485091556402</v>
      </c>
      <c r="K243" s="50">
        <v>4.7004785124503602E-2</v>
      </c>
      <c r="L243" s="6" t="s">
        <v>593</v>
      </c>
    </row>
    <row r="244" spans="1:12" ht="18" customHeight="1" x14ac:dyDescent="0.15">
      <c r="A244" s="5" t="s">
        <v>590</v>
      </c>
      <c r="B244" s="6" t="s">
        <v>651</v>
      </c>
      <c r="C244" s="6" t="s">
        <v>570</v>
      </c>
      <c r="D244" s="6" t="s">
        <v>570</v>
      </c>
      <c r="E244" s="6" t="s">
        <v>595</v>
      </c>
      <c r="F244" s="8">
        <v>6093</v>
      </c>
      <c r="G244" s="50">
        <v>6.0077852996090002E-5</v>
      </c>
      <c r="H244" s="50">
        <v>0.52770847004870602</v>
      </c>
      <c r="I244" s="50">
        <v>4.8883148544739998E-5</v>
      </c>
      <c r="J244" s="50">
        <v>0.42933420563006403</v>
      </c>
      <c r="K244" s="50">
        <v>4.2848363319689699E-2</v>
      </c>
      <c r="L244" s="6" t="s">
        <v>593</v>
      </c>
    </row>
    <row r="245" spans="1:12" ht="18" customHeight="1" x14ac:dyDescent="0.15">
      <c r="A245" s="5" t="s">
        <v>590</v>
      </c>
      <c r="B245" s="6" t="s">
        <v>651</v>
      </c>
      <c r="C245" s="6" t="s">
        <v>570</v>
      </c>
      <c r="D245" s="6" t="s">
        <v>570</v>
      </c>
      <c r="E245" s="6" t="s">
        <v>596</v>
      </c>
      <c r="F245" s="8">
        <v>6071</v>
      </c>
      <c r="G245" s="50">
        <v>5.9312873467050002E-5</v>
      </c>
      <c r="H245" s="50">
        <v>0.52098909491769196</v>
      </c>
      <c r="I245" s="50">
        <v>4.821285183256E-5</v>
      </c>
      <c r="J245" s="50">
        <v>0.423433877268516</v>
      </c>
      <c r="K245" s="50">
        <v>5.5469502088492599E-2</v>
      </c>
      <c r="L245" s="6" t="s">
        <v>593</v>
      </c>
    </row>
    <row r="246" spans="1:12" ht="18" customHeight="1" x14ac:dyDescent="0.15">
      <c r="A246" s="5" t="s">
        <v>590</v>
      </c>
      <c r="B246" s="6" t="s">
        <v>651</v>
      </c>
      <c r="C246" s="6" t="s">
        <v>570</v>
      </c>
      <c r="D246" s="6" t="s">
        <v>570</v>
      </c>
      <c r="E246" s="6" t="s">
        <v>597</v>
      </c>
      <c r="F246" s="8">
        <v>6086</v>
      </c>
      <c r="G246" s="50">
        <v>6.7681522320889995E-5</v>
      </c>
      <c r="H246" s="50">
        <v>0.59449717212339004</v>
      </c>
      <c r="I246" s="50">
        <v>4.0647902545419998E-5</v>
      </c>
      <c r="J246" s="50">
        <v>0.35699237188894001</v>
      </c>
      <c r="K246" s="50">
        <v>4.8402126562803599E-2</v>
      </c>
      <c r="L246" s="6" t="s">
        <v>593</v>
      </c>
    </row>
    <row r="247" spans="1:12" ht="18" customHeight="1" x14ac:dyDescent="0.15">
      <c r="A247" s="5" t="s">
        <v>590</v>
      </c>
      <c r="B247" s="6" t="s">
        <v>651</v>
      </c>
      <c r="C247" s="6" t="s">
        <v>570</v>
      </c>
      <c r="D247" s="6" t="s">
        <v>570</v>
      </c>
      <c r="E247" s="6" t="s">
        <v>598</v>
      </c>
      <c r="F247" s="8">
        <v>6071</v>
      </c>
      <c r="G247" s="50">
        <v>6.4944379342480002E-5</v>
      </c>
      <c r="H247" s="50">
        <v>0.57045477934913202</v>
      </c>
      <c r="I247" s="50">
        <v>4.1794418837549997E-5</v>
      </c>
      <c r="J247" s="50">
        <v>0.36704907146409799</v>
      </c>
      <c r="K247" s="50">
        <v>6.2389410388589903E-2</v>
      </c>
      <c r="L247" s="6" t="s">
        <v>593</v>
      </c>
    </row>
    <row r="248" spans="1:12" ht="18" customHeight="1" x14ac:dyDescent="0.15">
      <c r="A248" s="5" t="s">
        <v>590</v>
      </c>
      <c r="B248" s="6" t="s">
        <v>651</v>
      </c>
      <c r="C248" s="6" t="s">
        <v>570</v>
      </c>
      <c r="D248" s="6" t="s">
        <v>570</v>
      </c>
      <c r="E248" s="6" t="s">
        <v>599</v>
      </c>
      <c r="F248" s="8">
        <v>6072</v>
      </c>
      <c r="G248" s="50">
        <v>6.2637986955790006E-5</v>
      </c>
      <c r="H248" s="50">
        <v>0.55019600355296705</v>
      </c>
      <c r="I248" s="50">
        <v>4.5897726265190001E-5</v>
      </c>
      <c r="J248" s="50">
        <v>0.40310726125449198</v>
      </c>
      <c r="K248" s="50">
        <v>4.6588199479319498E-2</v>
      </c>
      <c r="L248" s="6" t="s">
        <v>593</v>
      </c>
    </row>
    <row r="249" spans="1:12" ht="18" customHeight="1" x14ac:dyDescent="0.15">
      <c r="A249" s="5" t="s">
        <v>590</v>
      </c>
      <c r="B249" s="6" t="s">
        <v>651</v>
      </c>
      <c r="C249" s="6" t="s">
        <v>570</v>
      </c>
      <c r="D249" s="6" t="s">
        <v>570</v>
      </c>
      <c r="E249" s="6" t="s">
        <v>616</v>
      </c>
      <c r="F249" s="8">
        <v>6086</v>
      </c>
      <c r="G249" s="50">
        <v>6.3862660617670003E-5</v>
      </c>
      <c r="H249" s="50">
        <v>0.56095312455399604</v>
      </c>
      <c r="I249" s="50">
        <v>4.0939802087589999E-5</v>
      </c>
      <c r="J249" s="50">
        <v>0.35952523598422698</v>
      </c>
      <c r="K249" s="50">
        <v>7.9416836999072704E-2</v>
      </c>
      <c r="L249" s="6" t="s">
        <v>593</v>
      </c>
    </row>
    <row r="250" spans="1:12" ht="18" customHeight="1" x14ac:dyDescent="0.15">
      <c r="A250" s="5" t="s">
        <v>590</v>
      </c>
      <c r="B250" s="6" t="s">
        <v>651</v>
      </c>
      <c r="C250" s="6" t="s">
        <v>570</v>
      </c>
      <c r="D250" s="6" t="s">
        <v>570</v>
      </c>
      <c r="E250" s="6" t="s">
        <v>600</v>
      </c>
      <c r="F250" s="8">
        <v>6094</v>
      </c>
      <c r="G250" s="50">
        <v>6.6582251720210005E-5</v>
      </c>
      <c r="H250" s="50">
        <v>0.58484143999909399</v>
      </c>
      <c r="I250" s="50">
        <v>4.1094673722830003E-5</v>
      </c>
      <c r="J250" s="50">
        <v>0.36091094513230898</v>
      </c>
      <c r="K250" s="50">
        <v>5.4139937943153499E-2</v>
      </c>
      <c r="L250" s="6" t="s">
        <v>593</v>
      </c>
    </row>
    <row r="251" spans="1:12" ht="18" customHeight="1" x14ac:dyDescent="0.15">
      <c r="A251" s="5" t="s">
        <v>590</v>
      </c>
      <c r="B251" s="6" t="s">
        <v>651</v>
      </c>
      <c r="C251" s="6" t="s">
        <v>570</v>
      </c>
      <c r="D251" s="6" t="s">
        <v>570</v>
      </c>
      <c r="E251" s="6" t="s">
        <v>601</v>
      </c>
      <c r="F251" s="8">
        <v>6094</v>
      </c>
      <c r="G251" s="50">
        <v>6.9556229272000004E-6</v>
      </c>
      <c r="H251" s="50">
        <v>6.1096409684875702E-2</v>
      </c>
      <c r="I251" s="50">
        <v>9.8318245405650001E-5</v>
      </c>
      <c r="J251" s="50">
        <v>0.863527006108191</v>
      </c>
      <c r="K251" s="50">
        <v>7.52713103386006E-2</v>
      </c>
      <c r="L251" s="6" t="s">
        <v>593</v>
      </c>
    </row>
    <row r="252" spans="1:12" ht="18" customHeight="1" x14ac:dyDescent="0.15">
      <c r="A252" s="5" t="s">
        <v>590</v>
      </c>
      <c r="B252" s="6" t="s">
        <v>651</v>
      </c>
      <c r="C252" s="6" t="s">
        <v>570</v>
      </c>
      <c r="D252" s="6" t="s">
        <v>570</v>
      </c>
      <c r="E252" s="6" t="s">
        <v>602</v>
      </c>
      <c r="F252" s="8">
        <v>6093</v>
      </c>
      <c r="G252" s="50">
        <v>1.2210573953089999E-5</v>
      </c>
      <c r="H252" s="50">
        <v>0.107254559418545</v>
      </c>
      <c r="I252" s="50">
        <v>1.0065663773718001E-4</v>
      </c>
      <c r="J252" s="50">
        <v>0.88413366955792805</v>
      </c>
      <c r="K252" s="50">
        <v>8.4989038118374102E-3</v>
      </c>
      <c r="L252" s="6" t="s">
        <v>593</v>
      </c>
    </row>
    <row r="253" spans="1:12" ht="18" customHeight="1" x14ac:dyDescent="0.15">
      <c r="A253" s="5" t="s">
        <v>590</v>
      </c>
      <c r="B253" s="6" t="s">
        <v>651</v>
      </c>
      <c r="C253" s="6" t="s">
        <v>570</v>
      </c>
      <c r="D253" s="6" t="s">
        <v>570</v>
      </c>
      <c r="E253" s="6" t="s">
        <v>617</v>
      </c>
      <c r="F253" s="8">
        <v>6094</v>
      </c>
      <c r="G253" s="50">
        <v>3.2080184837740001E-5</v>
      </c>
      <c r="H253" s="50">
        <v>0.28178412431563399</v>
      </c>
      <c r="I253" s="50">
        <v>7.9529922872899998E-5</v>
      </c>
      <c r="J253" s="50">
        <v>0.69855091271455205</v>
      </c>
      <c r="K253" s="50">
        <v>1.95533528621037E-2</v>
      </c>
      <c r="L253" s="6" t="s">
        <v>593</v>
      </c>
    </row>
    <row r="254" spans="1:12" ht="18" customHeight="1" x14ac:dyDescent="0.15">
      <c r="A254" s="5" t="s">
        <v>590</v>
      </c>
      <c r="B254" s="6" t="s">
        <v>651</v>
      </c>
      <c r="C254" s="6" t="s">
        <v>570</v>
      </c>
      <c r="D254" s="6" t="s">
        <v>570</v>
      </c>
      <c r="E254" s="6" t="s">
        <v>618</v>
      </c>
      <c r="F254" s="8">
        <v>5861</v>
      </c>
      <c r="G254" s="50">
        <v>5.2887302479289998E-5</v>
      </c>
      <c r="H254" s="50">
        <v>0.46470412026983299</v>
      </c>
      <c r="I254" s="50">
        <v>5.6706832082739999E-5</v>
      </c>
      <c r="J254" s="50">
        <v>0.498228169446711</v>
      </c>
      <c r="K254" s="50">
        <v>3.6958116148893598E-2</v>
      </c>
      <c r="L254" s="6" t="s">
        <v>593</v>
      </c>
    </row>
    <row r="255" spans="1:12" ht="18" customHeight="1" x14ac:dyDescent="0.15">
      <c r="A255" s="5" t="s">
        <v>590</v>
      </c>
      <c r="B255" s="6" t="s">
        <v>651</v>
      </c>
      <c r="C255" s="6" t="s">
        <v>570</v>
      </c>
      <c r="D255" s="6" t="s">
        <v>570</v>
      </c>
      <c r="E255" s="6" t="s">
        <v>619</v>
      </c>
      <c r="F255" s="8">
        <v>5875</v>
      </c>
      <c r="G255" s="50">
        <v>2.792296463579E-5</v>
      </c>
      <c r="H255" s="50">
        <v>0.24535023077406401</v>
      </c>
      <c r="I255" s="50">
        <v>2.3738334170879999E-5</v>
      </c>
      <c r="J255" s="50">
        <v>0.208034647130032</v>
      </c>
      <c r="K255" s="50">
        <v>0.54656346079709694</v>
      </c>
      <c r="L255" s="6" t="s">
        <v>593</v>
      </c>
    </row>
    <row r="256" spans="1:12" ht="18" customHeight="1" x14ac:dyDescent="0.15">
      <c r="A256" s="5" t="s">
        <v>590</v>
      </c>
      <c r="B256" s="6" t="s">
        <v>651</v>
      </c>
      <c r="C256" s="6" t="s">
        <v>570</v>
      </c>
      <c r="D256" s="6" t="s">
        <v>570</v>
      </c>
      <c r="E256" s="6" t="s">
        <v>620</v>
      </c>
      <c r="F256" s="8">
        <v>5879</v>
      </c>
      <c r="G256" s="50">
        <v>3.9129831518169997E-5</v>
      </c>
      <c r="H256" s="50">
        <v>0.34382140606800998</v>
      </c>
      <c r="I256" s="50">
        <v>6.9037202823960003E-5</v>
      </c>
      <c r="J256" s="50">
        <v>0.606558470367906</v>
      </c>
      <c r="K256" s="50">
        <v>4.95119565297426E-2</v>
      </c>
      <c r="L256" s="6" t="s">
        <v>593</v>
      </c>
    </row>
    <row r="257" spans="1:12" ht="18" customHeight="1" x14ac:dyDescent="0.15">
      <c r="A257" s="5" t="s">
        <v>590</v>
      </c>
      <c r="B257" s="6" t="s">
        <v>651</v>
      </c>
      <c r="C257" s="6" t="s">
        <v>570</v>
      </c>
      <c r="D257" s="6" t="s">
        <v>570</v>
      </c>
      <c r="E257" s="6" t="s">
        <v>603</v>
      </c>
      <c r="F257" s="8">
        <v>5165</v>
      </c>
      <c r="G257" s="50">
        <v>6.9851630565139999E-5</v>
      </c>
      <c r="H257" s="50">
        <v>0.61374274065124002</v>
      </c>
      <c r="I257" s="50">
        <v>3.5978899364460001E-5</v>
      </c>
      <c r="J257" s="50">
        <v>0.31605406642455403</v>
      </c>
      <c r="K257" s="50">
        <v>7.0097362394277093E-2</v>
      </c>
      <c r="L257" s="6" t="s">
        <v>593</v>
      </c>
    </row>
    <row r="258" spans="1:12" ht="18" customHeight="1" x14ac:dyDescent="0.15">
      <c r="A258" s="5" t="s">
        <v>590</v>
      </c>
      <c r="B258" s="6" t="s">
        <v>651</v>
      </c>
      <c r="C258" s="6" t="s">
        <v>570</v>
      </c>
      <c r="D258" s="6" t="s">
        <v>570</v>
      </c>
      <c r="E258" s="6" t="s">
        <v>604</v>
      </c>
      <c r="F258" s="8">
        <v>4707</v>
      </c>
      <c r="G258" s="50">
        <v>7.1376888742049995E-5</v>
      </c>
      <c r="H258" s="50">
        <v>0.62703739833975802</v>
      </c>
      <c r="I258" s="50">
        <v>3.5662288392260002E-5</v>
      </c>
      <c r="J258" s="50">
        <v>0.313229295769895</v>
      </c>
      <c r="K258" s="50">
        <v>5.9626266713212001E-2</v>
      </c>
      <c r="L258" s="6" t="s">
        <v>593</v>
      </c>
    </row>
    <row r="259" spans="1:12" ht="18" customHeight="1" x14ac:dyDescent="0.15">
      <c r="A259" s="5" t="s">
        <v>590</v>
      </c>
      <c r="B259" s="6" t="s">
        <v>651</v>
      </c>
      <c r="C259" s="6" t="s">
        <v>570</v>
      </c>
      <c r="D259" s="6" t="s">
        <v>570</v>
      </c>
      <c r="E259" s="6" t="s">
        <v>605</v>
      </c>
      <c r="F259" s="8">
        <v>5861</v>
      </c>
      <c r="G259" s="50">
        <v>5.796581578698E-5</v>
      </c>
      <c r="H259" s="50">
        <v>0.50931207070643503</v>
      </c>
      <c r="I259" s="50">
        <v>5.115639460958E-5</v>
      </c>
      <c r="J259" s="50">
        <v>0.44944049003144698</v>
      </c>
      <c r="K259" s="50">
        <v>4.11383170517211E-2</v>
      </c>
      <c r="L259" s="6" t="s">
        <v>593</v>
      </c>
    </row>
    <row r="260" spans="1:12" ht="18" customHeight="1" x14ac:dyDescent="0.15">
      <c r="A260" s="5" t="s">
        <v>590</v>
      </c>
      <c r="B260" s="6" t="s">
        <v>651</v>
      </c>
      <c r="C260" s="6" t="s">
        <v>570</v>
      </c>
      <c r="D260" s="6" t="s">
        <v>570</v>
      </c>
      <c r="E260" s="6" t="s">
        <v>606</v>
      </c>
      <c r="F260" s="8">
        <v>6045</v>
      </c>
      <c r="G260" s="50">
        <v>6.5985829445870005E-5</v>
      </c>
      <c r="H260" s="50">
        <v>0.57975272220997298</v>
      </c>
      <c r="I260" s="50">
        <v>4.270754864101E-5</v>
      </c>
      <c r="J260" s="50">
        <v>0.37518436078947498</v>
      </c>
      <c r="K260" s="50">
        <v>4.4954223622464498E-2</v>
      </c>
      <c r="L260" s="6" t="s">
        <v>593</v>
      </c>
    </row>
    <row r="261" spans="1:12" ht="18" customHeight="1" x14ac:dyDescent="0.15">
      <c r="A261" s="5" t="s">
        <v>590</v>
      </c>
      <c r="B261" s="6" t="s">
        <v>651</v>
      </c>
      <c r="C261" s="6" t="s">
        <v>570</v>
      </c>
      <c r="D261" s="6" t="s">
        <v>570</v>
      </c>
      <c r="E261" s="6" t="s">
        <v>621</v>
      </c>
      <c r="F261" s="8">
        <v>479</v>
      </c>
      <c r="G261" s="50">
        <v>0.86934673094660797</v>
      </c>
      <c r="H261" s="50">
        <v>7.6202396783752693E-2</v>
      </c>
      <c r="I261" s="50">
        <v>4.3254854139315999E-2</v>
      </c>
      <c r="J261" s="50">
        <v>3.7840828050511501E-3</v>
      </c>
      <c r="K261" s="50">
        <v>7.4119353252720104E-3</v>
      </c>
      <c r="L261" s="6" t="s">
        <v>593</v>
      </c>
    </row>
    <row r="262" spans="1:12" ht="18" customHeight="1" x14ac:dyDescent="0.15">
      <c r="A262" s="5" t="s">
        <v>590</v>
      </c>
      <c r="B262" s="6" t="s">
        <v>651</v>
      </c>
      <c r="C262" s="6" t="s">
        <v>570</v>
      </c>
      <c r="D262" s="6" t="s">
        <v>570</v>
      </c>
      <c r="E262" s="6" t="s">
        <v>622</v>
      </c>
      <c r="F262" s="8">
        <v>485</v>
      </c>
      <c r="G262" s="50">
        <v>0.859979853032667</v>
      </c>
      <c r="H262" s="50">
        <v>7.5464215256192499E-2</v>
      </c>
      <c r="I262" s="50">
        <v>4.2521789742438199E-2</v>
      </c>
      <c r="J262" s="50">
        <v>3.7130145345421299E-3</v>
      </c>
      <c r="K262" s="50">
        <v>1.83211274341601E-2</v>
      </c>
      <c r="L262" s="6" t="s">
        <v>593</v>
      </c>
    </row>
    <row r="263" spans="1:12" ht="18" customHeight="1" x14ac:dyDescent="0.15">
      <c r="A263" s="5" t="s">
        <v>590</v>
      </c>
      <c r="B263" s="6" t="s">
        <v>651</v>
      </c>
      <c r="C263" s="6" t="s">
        <v>570</v>
      </c>
      <c r="D263" s="6" t="s">
        <v>570</v>
      </c>
      <c r="E263" s="6" t="s">
        <v>623</v>
      </c>
      <c r="F263" s="8">
        <v>479</v>
      </c>
      <c r="G263" s="50">
        <v>0.87272491910737704</v>
      </c>
      <c r="H263" s="50">
        <v>7.6484943669739097E-2</v>
      </c>
      <c r="I263" s="50">
        <v>4.0853961822579103E-2</v>
      </c>
      <c r="J263" s="50">
        <v>3.5740478048739998E-3</v>
      </c>
      <c r="K263" s="50">
        <v>6.3621275954310096E-3</v>
      </c>
      <c r="L263" s="6" t="s">
        <v>593</v>
      </c>
    </row>
    <row r="264" spans="1:12" ht="18" customHeight="1" x14ac:dyDescent="0.15">
      <c r="A264" s="5" t="s">
        <v>590</v>
      </c>
      <c r="B264" s="6" t="s">
        <v>651</v>
      </c>
      <c r="C264" s="6" t="s">
        <v>570</v>
      </c>
      <c r="D264" s="6" t="s">
        <v>570</v>
      </c>
      <c r="E264" s="6" t="s">
        <v>624</v>
      </c>
      <c r="F264" s="8">
        <v>487</v>
      </c>
      <c r="G264" s="50">
        <v>0.85294016348538304</v>
      </c>
      <c r="H264" s="50">
        <v>7.4874559771670596E-2</v>
      </c>
      <c r="I264" s="50">
        <v>4.4066639079447599E-2</v>
      </c>
      <c r="J264" s="50">
        <v>3.84407440533544E-3</v>
      </c>
      <c r="K264" s="50">
        <v>2.4274563258163202E-2</v>
      </c>
      <c r="L264" s="6" t="s">
        <v>593</v>
      </c>
    </row>
    <row r="265" spans="1:12" ht="18" customHeight="1" x14ac:dyDescent="0.15">
      <c r="A265" s="5" t="s">
        <v>590</v>
      </c>
      <c r="B265" s="6" t="s">
        <v>651</v>
      </c>
      <c r="C265" s="6" t="s">
        <v>570</v>
      </c>
      <c r="D265" s="6" t="s">
        <v>570</v>
      </c>
      <c r="E265" s="6" t="s">
        <v>625</v>
      </c>
      <c r="F265" s="8">
        <v>482</v>
      </c>
      <c r="G265" s="50">
        <v>0.86762193409067001</v>
      </c>
      <c r="H265" s="50">
        <v>7.6097220962097201E-2</v>
      </c>
      <c r="I265" s="50">
        <v>4.2009039088854901E-2</v>
      </c>
      <c r="J265" s="50">
        <v>3.6739229946546898E-3</v>
      </c>
      <c r="K265" s="50">
        <v>1.05978828637232E-2</v>
      </c>
      <c r="L265" s="6" t="s">
        <v>593</v>
      </c>
    </row>
    <row r="266" spans="1:12" ht="18" customHeight="1" x14ac:dyDescent="0.15">
      <c r="A266" s="5" t="s">
        <v>590</v>
      </c>
      <c r="B266" s="6" t="s">
        <v>651</v>
      </c>
      <c r="C266" s="6" t="s">
        <v>570</v>
      </c>
      <c r="D266" s="6" t="s">
        <v>570</v>
      </c>
      <c r="E266" s="6" t="s">
        <v>626</v>
      </c>
      <c r="F266" s="8">
        <v>469</v>
      </c>
      <c r="G266" s="50">
        <v>0.86956231048750599</v>
      </c>
      <c r="H266" s="50">
        <v>7.6170524966870504E-2</v>
      </c>
      <c r="I266" s="50">
        <v>4.0998653445724099E-2</v>
      </c>
      <c r="J266" s="50">
        <v>3.5816474412341099E-3</v>
      </c>
      <c r="K266" s="50">
        <v>9.6868636586650899E-3</v>
      </c>
      <c r="L266" s="6" t="s">
        <v>593</v>
      </c>
    </row>
    <row r="267" spans="1:12" ht="18" customHeight="1" x14ac:dyDescent="0.15">
      <c r="A267" s="5" t="s">
        <v>590</v>
      </c>
      <c r="B267" s="6" t="s">
        <v>651</v>
      </c>
      <c r="C267" s="6" t="s">
        <v>570</v>
      </c>
      <c r="D267" s="6" t="s">
        <v>570</v>
      </c>
      <c r="E267" s="6" t="s">
        <v>627</v>
      </c>
      <c r="F267" s="8">
        <v>484</v>
      </c>
      <c r="G267" s="50">
        <v>0.86342103838159401</v>
      </c>
      <c r="H267" s="50">
        <v>7.5716465714241399E-2</v>
      </c>
      <c r="I267" s="50">
        <v>4.51693019547919E-2</v>
      </c>
      <c r="J267" s="50">
        <v>3.9493130667298598E-3</v>
      </c>
      <c r="K267" s="50">
        <v>1.17438808826433E-2</v>
      </c>
      <c r="L267" s="6" t="s">
        <v>593</v>
      </c>
    </row>
    <row r="268" spans="1:12" ht="18" customHeight="1" x14ac:dyDescent="0.15">
      <c r="A268" s="5" t="s">
        <v>590</v>
      </c>
      <c r="B268" s="6" t="s">
        <v>651</v>
      </c>
      <c r="C268" s="6" t="s">
        <v>570</v>
      </c>
      <c r="D268" s="6" t="s">
        <v>570</v>
      </c>
      <c r="E268" s="6" t="s">
        <v>628</v>
      </c>
      <c r="F268" s="8">
        <v>483</v>
      </c>
      <c r="G268" s="50">
        <v>0.87256722338881498</v>
      </c>
      <c r="H268" s="50">
        <v>7.6509960366209995E-2</v>
      </c>
      <c r="I268" s="50">
        <v>3.9482101258340001E-2</v>
      </c>
      <c r="J268" s="50">
        <v>3.4539516655812102E-3</v>
      </c>
      <c r="K268" s="50">
        <v>7.98676332105374E-3</v>
      </c>
      <c r="L268" s="6" t="s">
        <v>593</v>
      </c>
    </row>
    <row r="269" spans="1:12" ht="18" customHeight="1" x14ac:dyDescent="0.15">
      <c r="A269" s="5" t="s">
        <v>590</v>
      </c>
      <c r="B269" s="6" t="s">
        <v>651</v>
      </c>
      <c r="C269" s="6" t="s">
        <v>570</v>
      </c>
      <c r="D269" s="6" t="s">
        <v>570</v>
      </c>
      <c r="E269" s="6" t="s">
        <v>629</v>
      </c>
      <c r="F269" s="8">
        <v>482</v>
      </c>
      <c r="G269" s="50">
        <v>0.86764881479218003</v>
      </c>
      <c r="H269" s="50">
        <v>7.6078458089143E-2</v>
      </c>
      <c r="I269" s="50">
        <v>4.4389480258695803E-2</v>
      </c>
      <c r="J269" s="50">
        <v>3.8842246008076202E-3</v>
      </c>
      <c r="K269" s="50">
        <v>7.9990222591737603E-3</v>
      </c>
      <c r="L269" s="6" t="s">
        <v>593</v>
      </c>
    </row>
    <row r="270" spans="1:12" ht="18" customHeight="1" x14ac:dyDescent="0.15">
      <c r="A270" s="5" t="s">
        <v>590</v>
      </c>
      <c r="B270" s="6" t="s">
        <v>651</v>
      </c>
      <c r="C270" s="6" t="s">
        <v>570</v>
      </c>
      <c r="D270" s="6" t="s">
        <v>570</v>
      </c>
      <c r="E270" s="6" t="s">
        <v>630</v>
      </c>
      <c r="F270" s="8">
        <v>485</v>
      </c>
      <c r="G270" s="50">
        <v>0.86634282696720299</v>
      </c>
      <c r="H270" s="50">
        <v>7.6028882159644595E-2</v>
      </c>
      <c r="I270" s="50">
        <v>4.1885368985030598E-2</v>
      </c>
      <c r="J270" s="50">
        <v>3.66371481308677E-3</v>
      </c>
      <c r="K270" s="50">
        <v>1.20792070750352E-2</v>
      </c>
      <c r="L270" s="6" t="s">
        <v>593</v>
      </c>
    </row>
    <row r="271" spans="1:12" ht="18" customHeight="1" x14ac:dyDescent="0.15">
      <c r="A271" s="5" t="s">
        <v>590</v>
      </c>
      <c r="B271" s="6" t="s">
        <v>651</v>
      </c>
      <c r="C271" s="6" t="s">
        <v>570</v>
      </c>
      <c r="D271" s="6" t="s">
        <v>570</v>
      </c>
      <c r="E271" s="6" t="s">
        <v>631</v>
      </c>
      <c r="F271" s="8">
        <v>480</v>
      </c>
      <c r="G271" s="50">
        <v>0.86983610846821902</v>
      </c>
      <c r="H271" s="50">
        <v>7.6223976855964701E-2</v>
      </c>
      <c r="I271" s="50">
        <v>4.2933456475334801E-2</v>
      </c>
      <c r="J271" s="50">
        <v>3.7550191322068801E-3</v>
      </c>
      <c r="K271" s="50">
        <v>7.25143906827499E-3</v>
      </c>
      <c r="L271" s="6" t="s">
        <v>593</v>
      </c>
    </row>
    <row r="272" spans="1:12" ht="18" customHeight="1" x14ac:dyDescent="0.15">
      <c r="A272" s="5" t="s">
        <v>590</v>
      </c>
      <c r="B272" s="6" t="s">
        <v>651</v>
      </c>
      <c r="C272" s="6" t="s">
        <v>570</v>
      </c>
      <c r="D272" s="6" t="s">
        <v>570</v>
      </c>
      <c r="E272" s="6" t="s">
        <v>632</v>
      </c>
      <c r="F272" s="8">
        <v>5723</v>
      </c>
      <c r="G272" s="50">
        <v>6.9123339263340005E-5</v>
      </c>
      <c r="H272" s="50">
        <v>0.60731894162487199</v>
      </c>
      <c r="I272" s="50">
        <v>3.8312294173510003E-5</v>
      </c>
      <c r="J272" s="50">
        <v>0.33655651053250601</v>
      </c>
      <c r="K272" s="50">
        <v>5.6017112209185503E-2</v>
      </c>
      <c r="L272" s="6" t="s">
        <v>593</v>
      </c>
    </row>
    <row r="273" spans="1:12" ht="18" customHeight="1" x14ac:dyDescent="0.15">
      <c r="A273" s="5" t="s">
        <v>590</v>
      </c>
      <c r="B273" s="6" t="s">
        <v>651</v>
      </c>
      <c r="C273" s="6" t="s">
        <v>570</v>
      </c>
      <c r="D273" s="6" t="s">
        <v>570</v>
      </c>
      <c r="E273" s="6" t="s">
        <v>633</v>
      </c>
      <c r="F273" s="8">
        <v>5855</v>
      </c>
      <c r="G273" s="50">
        <v>6.6645146083650002E-5</v>
      </c>
      <c r="H273" s="50">
        <v>0.58556675821836401</v>
      </c>
      <c r="I273" s="50">
        <v>4.1382788475260002E-5</v>
      </c>
      <c r="J273" s="50">
        <v>0.36355238084718999</v>
      </c>
      <c r="K273" s="50">
        <v>5.0772832999886899E-2</v>
      </c>
      <c r="L273" s="6" t="s">
        <v>593</v>
      </c>
    </row>
    <row r="274" spans="1:12" ht="18" customHeight="1" x14ac:dyDescent="0.15">
      <c r="A274" s="5" t="s">
        <v>590</v>
      </c>
      <c r="B274" s="6" t="s">
        <v>651</v>
      </c>
      <c r="C274" s="6" t="s">
        <v>570</v>
      </c>
      <c r="D274" s="6" t="s">
        <v>570</v>
      </c>
      <c r="E274" s="6" t="s">
        <v>634</v>
      </c>
      <c r="F274" s="8">
        <v>6045</v>
      </c>
      <c r="G274" s="50">
        <v>7.410953377319E-5</v>
      </c>
      <c r="H274" s="50">
        <v>0.65115021575369103</v>
      </c>
      <c r="I274" s="50">
        <v>3.5043982884249999E-5</v>
      </c>
      <c r="J274" s="50">
        <v>0.30786683867293602</v>
      </c>
      <c r="K274" s="50">
        <v>4.0873792056715798E-2</v>
      </c>
      <c r="L274" s="6" t="s">
        <v>593</v>
      </c>
    </row>
    <row r="275" spans="1:12" ht="18" customHeight="1" x14ac:dyDescent="0.15">
      <c r="A275" s="5" t="s">
        <v>590</v>
      </c>
      <c r="B275" s="6" t="s">
        <v>651</v>
      </c>
      <c r="C275" s="6" t="s">
        <v>570</v>
      </c>
      <c r="D275" s="6" t="s">
        <v>570</v>
      </c>
      <c r="E275" s="6" t="s">
        <v>635</v>
      </c>
      <c r="F275" s="8">
        <v>6053</v>
      </c>
      <c r="G275" s="50">
        <v>1.15960715259401E-37</v>
      </c>
      <c r="H275" s="50">
        <v>1.0188682424632401E-33</v>
      </c>
      <c r="I275" s="50">
        <v>1.1380024246869E-4</v>
      </c>
      <c r="J275" s="50">
        <v>0.99988563118696505</v>
      </c>
      <c r="K275" s="50">
        <v>5.6857056184000002E-7</v>
      </c>
      <c r="L275" s="6" t="s">
        <v>593</v>
      </c>
    </row>
    <row r="276" spans="1:12" ht="18" customHeight="1" x14ac:dyDescent="0.15">
      <c r="A276" s="5" t="s">
        <v>590</v>
      </c>
      <c r="B276" s="6" t="s">
        <v>651</v>
      </c>
      <c r="C276" s="6" t="s">
        <v>570</v>
      </c>
      <c r="D276" s="6" t="s">
        <v>570</v>
      </c>
      <c r="E276" s="6" t="s">
        <v>636</v>
      </c>
      <c r="F276" s="8">
        <v>6053</v>
      </c>
      <c r="G276" s="50">
        <v>1.7635380397704701E-20</v>
      </c>
      <c r="H276" s="50">
        <v>1.54950139715731E-16</v>
      </c>
      <c r="I276" s="50">
        <v>1.1379956477171E-4</v>
      </c>
      <c r="J276" s="50">
        <v>0.99987967076164797</v>
      </c>
      <c r="K276" s="50">
        <v>6.52967358039E-6</v>
      </c>
      <c r="L276" s="6" t="s">
        <v>593</v>
      </c>
    </row>
    <row r="277" spans="1:12" ht="18" customHeight="1" x14ac:dyDescent="0.15">
      <c r="A277" s="5" t="s">
        <v>590</v>
      </c>
      <c r="B277" s="6" t="s">
        <v>651</v>
      </c>
      <c r="C277" s="6" t="s">
        <v>570</v>
      </c>
      <c r="D277" s="6" t="s">
        <v>570</v>
      </c>
      <c r="E277" s="6" t="s">
        <v>637</v>
      </c>
      <c r="F277" s="8">
        <v>5799</v>
      </c>
      <c r="G277" s="50">
        <v>6.4204841239849994E-5</v>
      </c>
      <c r="H277" s="50">
        <v>0.56412680234865498</v>
      </c>
      <c r="I277" s="50">
        <v>4.026492537937E-5</v>
      </c>
      <c r="J277" s="50">
        <v>0.35370003188138999</v>
      </c>
      <c r="K277" s="50">
        <v>8.2068696003337105E-2</v>
      </c>
      <c r="L277" s="6" t="s">
        <v>593</v>
      </c>
    </row>
    <row r="278" spans="1:12" ht="18" customHeight="1" x14ac:dyDescent="0.15">
      <c r="A278" s="5" t="s">
        <v>590</v>
      </c>
      <c r="B278" s="6" t="s">
        <v>651</v>
      </c>
      <c r="C278" s="6" t="s">
        <v>570</v>
      </c>
      <c r="D278" s="6" t="s">
        <v>570</v>
      </c>
      <c r="E278" s="6" t="s">
        <v>638</v>
      </c>
      <c r="F278" s="8">
        <v>5840</v>
      </c>
      <c r="G278" s="50">
        <v>6.7678307106219996E-5</v>
      </c>
      <c r="H278" s="50">
        <v>0.59464565978013795</v>
      </c>
      <c r="I278" s="50">
        <v>3.8865872450720001E-5</v>
      </c>
      <c r="J278" s="50">
        <v>0.34142554642091699</v>
      </c>
      <c r="K278" s="50">
        <v>6.3822249619387997E-2</v>
      </c>
      <c r="L278" s="6" t="s">
        <v>593</v>
      </c>
    </row>
    <row r="279" spans="1:12" ht="18" customHeight="1" x14ac:dyDescent="0.15">
      <c r="A279" s="5" t="s">
        <v>590</v>
      </c>
      <c r="B279" s="6" t="s">
        <v>651</v>
      </c>
      <c r="C279" s="6" t="s">
        <v>570</v>
      </c>
      <c r="D279" s="6" t="s">
        <v>570</v>
      </c>
      <c r="E279" s="6" t="s">
        <v>639</v>
      </c>
      <c r="F279" s="8">
        <v>5697</v>
      </c>
      <c r="G279" s="50">
        <v>6.2687754147060004E-5</v>
      </c>
      <c r="H279" s="50">
        <v>0.55077684668415905</v>
      </c>
      <c r="I279" s="50">
        <v>4.4865119529140002E-5</v>
      </c>
      <c r="J279" s="50">
        <v>0.39413155839492198</v>
      </c>
      <c r="K279" s="50">
        <v>5.4984042047242297E-2</v>
      </c>
      <c r="L279" s="6" t="s">
        <v>593</v>
      </c>
    </row>
    <row r="280" spans="1:12" ht="18" customHeight="1" x14ac:dyDescent="0.15">
      <c r="A280" s="5" t="s">
        <v>590</v>
      </c>
      <c r="B280" s="6" t="s">
        <v>651</v>
      </c>
      <c r="C280" s="6" t="s">
        <v>570</v>
      </c>
      <c r="D280" s="6" t="s">
        <v>570</v>
      </c>
      <c r="E280" s="6" t="s">
        <v>640</v>
      </c>
      <c r="F280" s="8">
        <v>5691</v>
      </c>
      <c r="G280" s="50">
        <v>6.0376964285719998E-5</v>
      </c>
      <c r="H280" s="50">
        <v>0.53047415642376605</v>
      </c>
      <c r="I280" s="50">
        <v>4.8406458582289997E-5</v>
      </c>
      <c r="J280" s="50">
        <v>0.42525670705028601</v>
      </c>
      <c r="K280" s="50">
        <v>4.41603531030796E-2</v>
      </c>
      <c r="L280" s="6" t="s">
        <v>593</v>
      </c>
    </row>
    <row r="281" spans="1:12" ht="18" customHeight="1" x14ac:dyDescent="0.15">
      <c r="A281" s="5" t="s">
        <v>590</v>
      </c>
      <c r="B281" s="6" t="s">
        <v>651</v>
      </c>
      <c r="C281" s="6" t="s">
        <v>570</v>
      </c>
      <c r="D281" s="6" t="s">
        <v>570</v>
      </c>
      <c r="E281" s="6" t="s">
        <v>607</v>
      </c>
      <c r="F281" s="8">
        <v>5792</v>
      </c>
      <c r="G281" s="50">
        <v>1.0941452452379999E-5</v>
      </c>
      <c r="H281" s="50">
        <v>9.6135728783485794E-2</v>
      </c>
      <c r="I281" s="50">
        <v>9.8563427937150002E-5</v>
      </c>
      <c r="J281" s="50">
        <v>0.86597768268911501</v>
      </c>
      <c r="K281" s="50">
        <v>3.77770836470094E-2</v>
      </c>
      <c r="L281" s="6" t="s">
        <v>593</v>
      </c>
    </row>
    <row r="282" spans="1:12" ht="18" customHeight="1" x14ac:dyDescent="0.15">
      <c r="A282" s="5" t="s">
        <v>590</v>
      </c>
      <c r="B282" s="6" t="s">
        <v>651</v>
      </c>
      <c r="C282" s="6" t="s">
        <v>570</v>
      </c>
      <c r="D282" s="6" t="s">
        <v>570</v>
      </c>
      <c r="E282" s="6" t="s">
        <v>609</v>
      </c>
      <c r="F282" s="8">
        <v>79</v>
      </c>
      <c r="G282" s="50">
        <v>2.0562499999999998E-12</v>
      </c>
      <c r="H282" s="50">
        <v>3.0695623999999999E-10</v>
      </c>
      <c r="I282" s="50">
        <v>6.5266311190541699E-3</v>
      </c>
      <c r="J282" s="50">
        <v>0.97427137714828105</v>
      </c>
      <c r="K282" s="50">
        <v>1.92019914236519E-2</v>
      </c>
      <c r="L282" s="6" t="s">
        <v>593</v>
      </c>
    </row>
    <row r="283" spans="1:12" ht="18" customHeight="1" x14ac:dyDescent="0.15">
      <c r="A283" s="5" t="s">
        <v>590</v>
      </c>
      <c r="B283" s="6" t="s">
        <v>651</v>
      </c>
      <c r="C283" s="6" t="s">
        <v>570</v>
      </c>
      <c r="D283" s="6" t="s">
        <v>570</v>
      </c>
      <c r="E283" s="6" t="s">
        <v>610</v>
      </c>
      <c r="F283" s="8">
        <v>93</v>
      </c>
      <c r="G283" s="50">
        <v>4.1850738E-10</v>
      </c>
      <c r="H283" s="50">
        <v>5.1889256560000002E-8</v>
      </c>
      <c r="I283" s="50">
        <v>7.8181103926830298E-3</v>
      </c>
      <c r="J283" s="50">
        <v>0.96931710888662603</v>
      </c>
      <c r="K283" s="50">
        <v>2.2864728412929001E-2</v>
      </c>
      <c r="L283" s="6" t="s">
        <v>593</v>
      </c>
    </row>
    <row r="284" spans="1:12" ht="18" customHeight="1" x14ac:dyDescent="0.15">
      <c r="A284" s="5" t="s">
        <v>590</v>
      </c>
      <c r="B284" s="6" t="s">
        <v>651</v>
      </c>
      <c r="C284" s="6" t="s">
        <v>570</v>
      </c>
      <c r="D284" s="6" t="s">
        <v>570</v>
      </c>
      <c r="E284" s="6" t="s">
        <v>611</v>
      </c>
      <c r="F284" s="8">
        <v>81</v>
      </c>
      <c r="G284" s="50">
        <v>1.6351600000000001E-12</v>
      </c>
      <c r="H284" s="50">
        <v>2.4410775E-10</v>
      </c>
      <c r="I284" s="50">
        <v>6.4849446046997897E-3</v>
      </c>
      <c r="J284" s="50">
        <v>0.96808690974111999</v>
      </c>
      <c r="K284" s="50">
        <v>2.5428145408436902E-2</v>
      </c>
      <c r="L284" s="6" t="s">
        <v>593</v>
      </c>
    </row>
    <row r="285" spans="1:12" ht="18" customHeight="1" x14ac:dyDescent="0.15">
      <c r="A285" s="5" t="s">
        <v>590</v>
      </c>
      <c r="B285" s="6" t="s">
        <v>651</v>
      </c>
      <c r="C285" s="6" t="s">
        <v>570</v>
      </c>
      <c r="D285" s="6" t="s">
        <v>570</v>
      </c>
      <c r="E285" s="6" t="s">
        <v>641</v>
      </c>
      <c r="F285" s="8">
        <v>95</v>
      </c>
      <c r="G285" s="50">
        <v>3.1405650000000001E-11</v>
      </c>
      <c r="H285" s="50">
        <v>3.8283557499999997E-9</v>
      </c>
      <c r="I285" s="50">
        <v>6.8978610096975101E-3</v>
      </c>
      <c r="J285" s="50">
        <v>0.84069833951491102</v>
      </c>
      <c r="K285" s="50">
        <v>0.152403795615631</v>
      </c>
      <c r="L285" s="6" t="s">
        <v>593</v>
      </c>
    </row>
    <row r="286" spans="1:12" ht="18" customHeight="1" x14ac:dyDescent="0.15">
      <c r="A286" s="5" t="s">
        <v>590</v>
      </c>
      <c r="B286" s="6" t="s">
        <v>651</v>
      </c>
      <c r="C286" s="6" t="s">
        <v>570</v>
      </c>
      <c r="D286" s="6" t="s">
        <v>570</v>
      </c>
      <c r="E286" s="6" t="s">
        <v>612</v>
      </c>
      <c r="F286" s="8">
        <v>65</v>
      </c>
      <c r="G286" s="50">
        <v>2.7330357828999999E-7</v>
      </c>
      <c r="H286" s="50">
        <v>3.2096459438320002E-5</v>
      </c>
      <c r="I286" s="50">
        <v>3.4588283971592E-4</v>
      </c>
      <c r="J286" s="50">
        <v>3.9660123208256903E-2</v>
      </c>
      <c r="K286" s="50">
        <v>0.95996162418901099</v>
      </c>
      <c r="L286" s="6" t="s">
        <v>593</v>
      </c>
    </row>
    <row r="287" spans="1:12" ht="18" customHeight="1" x14ac:dyDescent="0.15">
      <c r="A287" s="5" t="s">
        <v>590</v>
      </c>
      <c r="B287" s="6" t="s">
        <v>651</v>
      </c>
      <c r="C287" s="6" t="s">
        <v>570</v>
      </c>
      <c r="D287" s="6" t="s">
        <v>570</v>
      </c>
      <c r="E287" s="6" t="s">
        <v>642</v>
      </c>
      <c r="F287" s="8">
        <v>26</v>
      </c>
      <c r="G287" s="50">
        <v>1.133454014054E-5</v>
      </c>
      <c r="H287" s="50">
        <v>8.8791609652197996E-4</v>
      </c>
      <c r="I287" s="50">
        <v>5.1234777618233002E-4</v>
      </c>
      <c r="J287" s="50">
        <v>3.9176476416882398E-2</v>
      </c>
      <c r="K287" s="50">
        <v>0.95941192517027196</v>
      </c>
      <c r="L287" s="6" t="s">
        <v>593</v>
      </c>
    </row>
    <row r="288" spans="1:12" ht="18" customHeight="1" x14ac:dyDescent="0.15">
      <c r="A288" s="5" t="s">
        <v>590</v>
      </c>
      <c r="B288" s="6" t="s">
        <v>651</v>
      </c>
      <c r="C288" s="6" t="s">
        <v>570</v>
      </c>
      <c r="D288" s="6" t="s">
        <v>570</v>
      </c>
      <c r="E288" s="6" t="s">
        <v>643</v>
      </c>
      <c r="F288" s="8"/>
      <c r="G288" s="50"/>
      <c r="H288" s="50"/>
      <c r="I288" s="50"/>
      <c r="J288" s="50"/>
      <c r="K288" s="50"/>
      <c r="L288" s="6" t="s">
        <v>644</v>
      </c>
    </row>
    <row r="289" spans="1:12" ht="18" customHeight="1" x14ac:dyDescent="0.15">
      <c r="A289" s="5" t="s">
        <v>590</v>
      </c>
      <c r="B289" s="6" t="s">
        <v>651</v>
      </c>
      <c r="C289" s="6" t="s">
        <v>570</v>
      </c>
      <c r="D289" s="6" t="s">
        <v>570</v>
      </c>
      <c r="E289" s="6" t="s">
        <v>645</v>
      </c>
      <c r="F289" s="8">
        <v>57</v>
      </c>
      <c r="G289" s="50">
        <v>1.37955E-11</v>
      </c>
      <c r="H289" s="50">
        <v>1.5889677699999999E-9</v>
      </c>
      <c r="I289" s="50">
        <v>8.4670504979514408E-3</v>
      </c>
      <c r="J289" s="50">
        <v>0.97521921250251498</v>
      </c>
      <c r="K289" s="50">
        <v>1.6313735396769499E-2</v>
      </c>
      <c r="L289" s="6" t="s">
        <v>593</v>
      </c>
    </row>
    <row r="290" spans="1:12" ht="18" customHeight="1" x14ac:dyDescent="0.15">
      <c r="A290" s="5" t="s">
        <v>590</v>
      </c>
      <c r="B290" s="6" t="s">
        <v>651</v>
      </c>
      <c r="C290" s="6" t="s">
        <v>570</v>
      </c>
      <c r="D290" s="6" t="s">
        <v>570</v>
      </c>
      <c r="E290" s="6" t="s">
        <v>613</v>
      </c>
      <c r="F290" s="8">
        <v>42</v>
      </c>
      <c r="G290" s="50">
        <v>4.7080561850000003E-8</v>
      </c>
      <c r="H290" s="50">
        <v>5.5866151999999996E-10</v>
      </c>
      <c r="I290" s="50">
        <v>0.95330056661760998</v>
      </c>
      <c r="J290" s="50">
        <v>1.12765141478453E-2</v>
      </c>
      <c r="K290" s="50">
        <v>3.5422871595322501E-2</v>
      </c>
      <c r="L290" s="6" t="s">
        <v>593</v>
      </c>
    </row>
    <row r="291" spans="1:12" ht="18" customHeight="1" x14ac:dyDescent="0.15">
      <c r="A291" s="5" t="s">
        <v>590</v>
      </c>
      <c r="B291" s="6" t="s">
        <v>651</v>
      </c>
      <c r="C291" s="6" t="s">
        <v>570</v>
      </c>
      <c r="D291" s="6" t="s">
        <v>570</v>
      </c>
      <c r="E291" s="6" t="s">
        <v>614</v>
      </c>
      <c r="F291" s="8">
        <v>75</v>
      </c>
      <c r="G291" s="50">
        <v>1.36302E-12</v>
      </c>
      <c r="H291" s="50">
        <v>1.2324289000000001E-10</v>
      </c>
      <c r="I291" s="50">
        <v>1.79639293859914E-3</v>
      </c>
      <c r="J291" s="50">
        <v>0.16159060191733701</v>
      </c>
      <c r="K291" s="50">
        <v>0.83661300501945901</v>
      </c>
      <c r="L291" s="6" t="s">
        <v>593</v>
      </c>
    </row>
    <row r="292" spans="1:12" ht="18" customHeight="1" x14ac:dyDescent="0.15">
      <c r="A292" s="5" t="s">
        <v>590</v>
      </c>
      <c r="B292" s="6" t="s">
        <v>652</v>
      </c>
      <c r="C292" s="6" t="s">
        <v>572</v>
      </c>
      <c r="D292" s="6" t="s">
        <v>572</v>
      </c>
      <c r="E292" s="6" t="s">
        <v>592</v>
      </c>
      <c r="F292" s="8">
        <v>895</v>
      </c>
      <c r="G292" s="50">
        <v>1.8222058351418899E-22</v>
      </c>
      <c r="H292" s="50">
        <v>0.84743676018828795</v>
      </c>
      <c r="I292" s="50">
        <v>1.9938183240570201E-23</v>
      </c>
      <c r="J292" s="50">
        <v>9.2664804139510906E-2</v>
      </c>
      <c r="K292" s="50">
        <v>5.9898435672203203E-2</v>
      </c>
      <c r="L292" s="6" t="s">
        <v>593</v>
      </c>
    </row>
    <row r="293" spans="1:12" ht="18" customHeight="1" x14ac:dyDescent="0.15">
      <c r="A293" s="5" t="s">
        <v>590</v>
      </c>
      <c r="B293" s="6" t="s">
        <v>652</v>
      </c>
      <c r="C293" s="6" t="s">
        <v>572</v>
      </c>
      <c r="D293" s="6" t="s">
        <v>572</v>
      </c>
      <c r="E293" s="6" t="s">
        <v>594</v>
      </c>
      <c r="F293" s="8">
        <v>895</v>
      </c>
      <c r="G293" s="50">
        <v>1.8479229528522299E-22</v>
      </c>
      <c r="H293" s="50">
        <v>0.85939678714766299</v>
      </c>
      <c r="I293" s="50">
        <v>1.7396743103698201E-23</v>
      </c>
      <c r="J293" s="50">
        <v>8.0845699649258806E-2</v>
      </c>
      <c r="K293" s="50">
        <v>5.97575132030801E-2</v>
      </c>
      <c r="L293" s="6" t="s">
        <v>593</v>
      </c>
    </row>
    <row r="294" spans="1:12" ht="18" customHeight="1" x14ac:dyDescent="0.15">
      <c r="A294" s="5" t="s">
        <v>590</v>
      </c>
      <c r="B294" s="6" t="s">
        <v>652</v>
      </c>
      <c r="C294" s="6" t="s">
        <v>572</v>
      </c>
      <c r="D294" s="6" t="s">
        <v>572</v>
      </c>
      <c r="E294" s="6" t="s">
        <v>595</v>
      </c>
      <c r="F294" s="8">
        <v>895</v>
      </c>
      <c r="G294" s="50">
        <v>1.4887987175378601E-22</v>
      </c>
      <c r="H294" s="50">
        <v>0.692382132375578</v>
      </c>
      <c r="I294" s="50">
        <v>5.0895562200458701E-23</v>
      </c>
      <c r="J294" s="50">
        <v>0.23662438696059099</v>
      </c>
      <c r="K294" s="50">
        <v>7.0993480663831099E-2</v>
      </c>
      <c r="L294" s="6" t="s">
        <v>593</v>
      </c>
    </row>
    <row r="295" spans="1:12" ht="18" customHeight="1" x14ac:dyDescent="0.15">
      <c r="A295" s="5" t="s">
        <v>590</v>
      </c>
      <c r="B295" s="6" t="s">
        <v>652</v>
      </c>
      <c r="C295" s="6" t="s">
        <v>572</v>
      </c>
      <c r="D295" s="6" t="s">
        <v>572</v>
      </c>
      <c r="E295" s="6" t="s">
        <v>596</v>
      </c>
      <c r="F295" s="8">
        <v>895</v>
      </c>
      <c r="G295" s="50">
        <v>1.75023534649003E-22</v>
      </c>
      <c r="H295" s="50">
        <v>0.81396609701946199</v>
      </c>
      <c r="I295" s="50">
        <v>1.74590870804559E-23</v>
      </c>
      <c r="J295" s="50">
        <v>8.1090451195574995E-2</v>
      </c>
      <c r="K295" s="50">
        <v>0.104943451784965</v>
      </c>
      <c r="L295" s="6" t="s">
        <v>593</v>
      </c>
    </row>
    <row r="296" spans="1:12" ht="18" customHeight="1" x14ac:dyDescent="0.15">
      <c r="A296" s="5" t="s">
        <v>590</v>
      </c>
      <c r="B296" s="6" t="s">
        <v>652</v>
      </c>
      <c r="C296" s="6" t="s">
        <v>572</v>
      </c>
      <c r="D296" s="6" t="s">
        <v>572</v>
      </c>
      <c r="E296" s="6" t="s">
        <v>597</v>
      </c>
      <c r="F296" s="8">
        <v>895</v>
      </c>
      <c r="G296" s="50">
        <v>1.79151660787763E-22</v>
      </c>
      <c r="H296" s="50">
        <v>0.83316439928155195</v>
      </c>
      <c r="I296" s="50">
        <v>2.5108176662490699E-23</v>
      </c>
      <c r="J296" s="50">
        <v>0.116718205231686</v>
      </c>
      <c r="K296" s="50">
        <v>5.0117395486763E-2</v>
      </c>
      <c r="L296" s="6" t="s">
        <v>593</v>
      </c>
    </row>
    <row r="297" spans="1:12" ht="18" customHeight="1" x14ac:dyDescent="0.15">
      <c r="A297" s="5" t="s">
        <v>590</v>
      </c>
      <c r="B297" s="6" t="s">
        <v>652</v>
      </c>
      <c r="C297" s="6" t="s">
        <v>572</v>
      </c>
      <c r="D297" s="6" t="s">
        <v>572</v>
      </c>
      <c r="E297" s="6" t="s">
        <v>598</v>
      </c>
      <c r="F297" s="8">
        <v>895</v>
      </c>
      <c r="G297" s="50">
        <v>1.87069635087695E-22</v>
      </c>
      <c r="H297" s="50">
        <v>0.86998780506032802</v>
      </c>
      <c r="I297" s="50">
        <v>1.7419180819559499E-23</v>
      </c>
      <c r="J297" s="50">
        <v>8.0960754774795696E-2</v>
      </c>
      <c r="K297" s="50">
        <v>4.9051440164878897E-2</v>
      </c>
      <c r="L297" s="6" t="s">
        <v>593</v>
      </c>
    </row>
    <row r="298" spans="1:12" ht="18" customHeight="1" x14ac:dyDescent="0.15">
      <c r="A298" s="5" t="s">
        <v>590</v>
      </c>
      <c r="B298" s="6" t="s">
        <v>652</v>
      </c>
      <c r="C298" s="6" t="s">
        <v>572</v>
      </c>
      <c r="D298" s="6" t="s">
        <v>572</v>
      </c>
      <c r="E298" s="6" t="s">
        <v>599</v>
      </c>
      <c r="F298" s="8">
        <v>895</v>
      </c>
      <c r="G298" s="50">
        <v>1.8345014016445299E-22</v>
      </c>
      <c r="H298" s="50">
        <v>0.85315494791479496</v>
      </c>
      <c r="I298" s="50">
        <v>1.81387812610822E-23</v>
      </c>
      <c r="J298" s="50">
        <v>8.4293835582458301E-2</v>
      </c>
      <c r="K298" s="50">
        <v>6.2551216502744797E-2</v>
      </c>
      <c r="L298" s="6" t="s">
        <v>593</v>
      </c>
    </row>
    <row r="299" spans="1:12" ht="18" customHeight="1" x14ac:dyDescent="0.15">
      <c r="A299" s="5" t="s">
        <v>590</v>
      </c>
      <c r="B299" s="6" t="s">
        <v>652</v>
      </c>
      <c r="C299" s="6" t="s">
        <v>572</v>
      </c>
      <c r="D299" s="6" t="s">
        <v>572</v>
      </c>
      <c r="E299" s="6" t="s">
        <v>600</v>
      </c>
      <c r="F299" s="8">
        <v>895</v>
      </c>
      <c r="G299" s="50">
        <v>1.89546733271875E-22</v>
      </c>
      <c r="H299" s="50">
        <v>0.88150782118247095</v>
      </c>
      <c r="I299" s="50">
        <v>1.47754412900804E-23</v>
      </c>
      <c r="J299" s="50">
        <v>6.8664979084722605E-2</v>
      </c>
      <c r="K299" s="50">
        <v>4.9827199732804299E-2</v>
      </c>
      <c r="L299" s="6" t="s">
        <v>593</v>
      </c>
    </row>
    <row r="300" spans="1:12" ht="18" customHeight="1" x14ac:dyDescent="0.15">
      <c r="A300" s="5" t="s">
        <v>590</v>
      </c>
      <c r="B300" s="6" t="s">
        <v>652</v>
      </c>
      <c r="C300" s="6" t="s">
        <v>572</v>
      </c>
      <c r="D300" s="6" t="s">
        <v>572</v>
      </c>
      <c r="E300" s="6" t="s">
        <v>601</v>
      </c>
      <c r="F300" s="8">
        <v>895</v>
      </c>
      <c r="G300" s="50">
        <v>4.1424837737515401E-23</v>
      </c>
      <c r="H300" s="50">
        <v>0.192650740144689</v>
      </c>
      <c r="I300" s="50">
        <v>3.4188073860038997E-24</v>
      </c>
      <c r="J300" s="50">
        <v>1.5107295832580501E-2</v>
      </c>
      <c r="K300" s="50">
        <v>0.79224196402273295</v>
      </c>
      <c r="L300" s="6" t="s">
        <v>593</v>
      </c>
    </row>
    <row r="301" spans="1:12" ht="18" customHeight="1" x14ac:dyDescent="0.15">
      <c r="A301" s="5" t="s">
        <v>590</v>
      </c>
      <c r="B301" s="6" t="s">
        <v>652</v>
      </c>
      <c r="C301" s="6" t="s">
        <v>572</v>
      </c>
      <c r="D301" s="6" t="s">
        <v>572</v>
      </c>
      <c r="E301" s="6" t="s">
        <v>602</v>
      </c>
      <c r="F301" s="8">
        <v>895</v>
      </c>
      <c r="G301" s="50">
        <v>2.57703383279652E-34</v>
      </c>
      <c r="H301" s="50">
        <v>1.19847E-12</v>
      </c>
      <c r="I301" s="50">
        <v>2.1502558311663301E-22</v>
      </c>
      <c r="J301" s="50">
        <v>0.99999999999873501</v>
      </c>
      <c r="K301" s="50">
        <v>6.9679999999999999E-14</v>
      </c>
      <c r="L301" s="6" t="s">
        <v>593</v>
      </c>
    </row>
    <row r="302" spans="1:12" ht="18" customHeight="1" x14ac:dyDescent="0.15">
      <c r="A302" s="5" t="s">
        <v>590</v>
      </c>
      <c r="B302" s="6" t="s">
        <v>652</v>
      </c>
      <c r="C302" s="6" t="s">
        <v>572</v>
      </c>
      <c r="D302" s="6" t="s">
        <v>572</v>
      </c>
      <c r="E302" s="6" t="s">
        <v>603</v>
      </c>
      <c r="F302" s="8">
        <v>857</v>
      </c>
      <c r="G302" s="50">
        <v>1.8437830520531401E-22</v>
      </c>
      <c r="H302" s="50">
        <v>0.85744885228870404</v>
      </c>
      <c r="I302" s="50">
        <v>1.7946752176736101E-23</v>
      </c>
      <c r="J302" s="50">
        <v>8.3401982767668997E-2</v>
      </c>
      <c r="K302" s="50">
        <v>5.9149164943627999E-2</v>
      </c>
      <c r="L302" s="6" t="s">
        <v>593</v>
      </c>
    </row>
    <row r="303" spans="1:12" ht="18" customHeight="1" x14ac:dyDescent="0.15">
      <c r="A303" s="5" t="s">
        <v>590</v>
      </c>
      <c r="B303" s="6" t="s">
        <v>652</v>
      </c>
      <c r="C303" s="6" t="s">
        <v>572</v>
      </c>
      <c r="D303" s="6" t="s">
        <v>572</v>
      </c>
      <c r="E303" s="6" t="s">
        <v>604</v>
      </c>
      <c r="F303" s="8">
        <v>837</v>
      </c>
      <c r="G303" s="50">
        <v>1.8390134637109801E-22</v>
      </c>
      <c r="H303" s="50">
        <v>0.855216181904626</v>
      </c>
      <c r="I303" s="50">
        <v>1.61765315216203E-23</v>
      </c>
      <c r="J303" s="50">
        <v>7.5157835900891701E-2</v>
      </c>
      <c r="K303" s="50">
        <v>6.9625982194478603E-2</v>
      </c>
      <c r="L303" s="6" t="s">
        <v>593</v>
      </c>
    </row>
    <row r="304" spans="1:12" ht="18" customHeight="1" x14ac:dyDescent="0.15">
      <c r="A304" s="5" t="s">
        <v>590</v>
      </c>
      <c r="B304" s="6" t="s">
        <v>652</v>
      </c>
      <c r="C304" s="6" t="s">
        <v>572</v>
      </c>
      <c r="D304" s="6" t="s">
        <v>572</v>
      </c>
      <c r="E304" s="6" t="s">
        <v>605</v>
      </c>
      <c r="F304" s="8">
        <v>894</v>
      </c>
      <c r="G304" s="50">
        <v>1.02471035526099E-22</v>
      </c>
      <c r="H304" s="50">
        <v>0.476550593661897</v>
      </c>
      <c r="I304" s="50">
        <v>1.05002886713472E-22</v>
      </c>
      <c r="J304" s="50">
        <v>0.48829003166697998</v>
      </c>
      <c r="K304" s="50">
        <v>3.51593746711217E-2</v>
      </c>
      <c r="L304" s="6" t="s">
        <v>593</v>
      </c>
    </row>
    <row r="305" spans="1:12" ht="18" customHeight="1" x14ac:dyDescent="0.15">
      <c r="A305" s="5" t="s">
        <v>590</v>
      </c>
      <c r="B305" s="6" t="s">
        <v>652</v>
      </c>
      <c r="C305" s="6" t="s">
        <v>572</v>
      </c>
      <c r="D305" s="6" t="s">
        <v>572</v>
      </c>
      <c r="E305" s="6" t="s">
        <v>606</v>
      </c>
      <c r="F305" s="8">
        <v>896</v>
      </c>
      <c r="G305" s="50">
        <v>4.5000329923671793E-25</v>
      </c>
      <c r="H305" s="50">
        <v>2.0927759659555701E-3</v>
      </c>
      <c r="I305" s="50">
        <v>2.1447594441019201E-22</v>
      </c>
      <c r="J305" s="50">
        <v>0.99743688734179903</v>
      </c>
      <c r="K305" s="50">
        <v>4.7033669224549998E-4</v>
      </c>
      <c r="L305" s="6" t="s">
        <v>593</v>
      </c>
    </row>
    <row r="306" spans="1:12" ht="18" customHeight="1" x14ac:dyDescent="0.15">
      <c r="A306" s="5" t="s">
        <v>590</v>
      </c>
      <c r="B306" s="6" t="s">
        <v>652</v>
      </c>
      <c r="C306" s="6" t="s">
        <v>572</v>
      </c>
      <c r="D306" s="6" t="s">
        <v>572</v>
      </c>
      <c r="E306" s="6" t="s">
        <v>607</v>
      </c>
      <c r="F306" s="8">
        <v>886</v>
      </c>
      <c r="G306" s="50">
        <v>1.81463839985442E-22</v>
      </c>
      <c r="H306" s="50">
        <v>0.84390755681039997</v>
      </c>
      <c r="I306" s="50">
        <v>2.3159712812565899E-23</v>
      </c>
      <c r="J306" s="50">
        <v>0.107657081382747</v>
      </c>
      <c r="K306" s="50">
        <v>4.8435361806855003E-2</v>
      </c>
      <c r="L306" s="6" t="s">
        <v>593</v>
      </c>
    </row>
    <row r="307" spans="1:12" ht="18" customHeight="1" x14ac:dyDescent="0.15">
      <c r="A307" s="5" t="s">
        <v>590</v>
      </c>
      <c r="B307" s="6" t="s">
        <v>652</v>
      </c>
      <c r="C307" s="6" t="s">
        <v>572</v>
      </c>
      <c r="D307" s="6" t="s">
        <v>572</v>
      </c>
      <c r="E307" s="6" t="s">
        <v>608</v>
      </c>
      <c r="F307" s="8"/>
      <c r="G307" s="50"/>
      <c r="H307" s="50"/>
      <c r="I307" s="50"/>
      <c r="J307" s="50"/>
      <c r="K307" s="50"/>
      <c r="L307" s="6" t="s">
        <v>644</v>
      </c>
    </row>
    <row r="308" spans="1:12" ht="18" customHeight="1" x14ac:dyDescent="0.15">
      <c r="A308" s="5" t="s">
        <v>590</v>
      </c>
      <c r="B308" s="6" t="s">
        <v>652</v>
      </c>
      <c r="C308" s="6" t="s">
        <v>572</v>
      </c>
      <c r="D308" s="6" t="s">
        <v>572</v>
      </c>
      <c r="E308" s="6" t="s">
        <v>609</v>
      </c>
      <c r="F308" s="8"/>
      <c r="G308" s="50"/>
      <c r="H308" s="50"/>
      <c r="I308" s="50"/>
      <c r="J308" s="50"/>
      <c r="K308" s="50"/>
      <c r="L308" s="6" t="s">
        <v>644</v>
      </c>
    </row>
    <row r="309" spans="1:12" ht="18" customHeight="1" x14ac:dyDescent="0.15">
      <c r="A309" s="5" t="s">
        <v>590</v>
      </c>
      <c r="B309" s="6" t="s">
        <v>652</v>
      </c>
      <c r="C309" s="6" t="s">
        <v>572</v>
      </c>
      <c r="D309" s="6" t="s">
        <v>572</v>
      </c>
      <c r="E309" s="6" t="s">
        <v>610</v>
      </c>
      <c r="F309" s="8">
        <v>19</v>
      </c>
      <c r="G309" s="50">
        <v>0.40825915630534099</v>
      </c>
      <c r="H309" s="50">
        <v>4.7030523793460003E-5</v>
      </c>
      <c r="I309" s="50">
        <v>0.58704500627148204</v>
      </c>
      <c r="J309" s="50">
        <v>6.3040479578299998E-5</v>
      </c>
      <c r="K309" s="50">
        <v>4.5857664198044896E-3</v>
      </c>
      <c r="L309" s="6" t="s">
        <v>593</v>
      </c>
    </row>
    <row r="310" spans="1:12" ht="18" customHeight="1" x14ac:dyDescent="0.15">
      <c r="A310" s="5" t="s">
        <v>590</v>
      </c>
      <c r="B310" s="6" t="s">
        <v>652</v>
      </c>
      <c r="C310" s="6" t="s">
        <v>572</v>
      </c>
      <c r="D310" s="6" t="s">
        <v>572</v>
      </c>
      <c r="E310" s="6" t="s">
        <v>611</v>
      </c>
      <c r="F310" s="8"/>
      <c r="G310" s="50"/>
      <c r="H310" s="50"/>
      <c r="I310" s="50"/>
      <c r="J310" s="50"/>
      <c r="K310" s="50"/>
      <c r="L310" s="6" t="s">
        <v>644</v>
      </c>
    </row>
    <row r="311" spans="1:12" ht="18" customHeight="1" x14ac:dyDescent="0.15">
      <c r="A311" s="5" t="s">
        <v>590</v>
      </c>
      <c r="B311" s="6" t="s">
        <v>652</v>
      </c>
      <c r="C311" s="6" t="s">
        <v>572</v>
      </c>
      <c r="D311" s="6" t="s">
        <v>572</v>
      </c>
      <c r="E311" s="6" t="s">
        <v>612</v>
      </c>
      <c r="F311" s="8"/>
      <c r="G311" s="50"/>
      <c r="H311" s="50"/>
      <c r="I311" s="50"/>
      <c r="J311" s="50"/>
      <c r="K311" s="50"/>
      <c r="L311" s="6" t="s">
        <v>644</v>
      </c>
    </row>
    <row r="312" spans="1:12" ht="18" customHeight="1" x14ac:dyDescent="0.15">
      <c r="A312" s="5" t="s">
        <v>590</v>
      </c>
      <c r="B312" s="6" t="s">
        <v>652</v>
      </c>
      <c r="C312" s="6" t="s">
        <v>572</v>
      </c>
      <c r="D312" s="6" t="s">
        <v>572</v>
      </c>
      <c r="E312" s="6" t="s">
        <v>613</v>
      </c>
      <c r="F312" s="8"/>
      <c r="G312" s="50"/>
      <c r="H312" s="50"/>
      <c r="I312" s="50"/>
      <c r="J312" s="50"/>
      <c r="K312" s="50"/>
      <c r="L312" s="6" t="s">
        <v>644</v>
      </c>
    </row>
    <row r="313" spans="1:12" ht="18" customHeight="1" x14ac:dyDescent="0.15">
      <c r="A313" s="5" t="s">
        <v>590</v>
      </c>
      <c r="B313" s="6" t="s">
        <v>652</v>
      </c>
      <c r="C313" s="6" t="s">
        <v>572</v>
      </c>
      <c r="D313" s="6" t="s">
        <v>572</v>
      </c>
      <c r="E313" s="6" t="s">
        <v>614</v>
      </c>
      <c r="F313" s="8"/>
      <c r="G313" s="50"/>
      <c r="H313" s="50"/>
      <c r="I313" s="50"/>
      <c r="J313" s="50"/>
      <c r="K313" s="50"/>
      <c r="L313" s="6" t="s">
        <v>644</v>
      </c>
    </row>
    <row r="314" spans="1:12" ht="18" customHeight="1" x14ac:dyDescent="0.15">
      <c r="A314" s="5" t="s">
        <v>590</v>
      </c>
      <c r="B314" s="6" t="s">
        <v>653</v>
      </c>
      <c r="C314" s="6" t="s">
        <v>570</v>
      </c>
      <c r="D314" s="6" t="s">
        <v>570</v>
      </c>
      <c r="E314" s="6" t="s">
        <v>592</v>
      </c>
      <c r="F314" s="8">
        <v>714</v>
      </c>
      <c r="G314" s="50">
        <v>4.03352E-12</v>
      </c>
      <c r="H314" s="50">
        <v>0.86126988947685801</v>
      </c>
      <c r="I314" s="50">
        <v>3.0633999999999999E-13</v>
      </c>
      <c r="J314" s="50">
        <v>6.5338831577841497E-2</v>
      </c>
      <c r="K314" s="50">
        <v>7.3391278940959301E-2</v>
      </c>
      <c r="L314" s="6" t="s">
        <v>593</v>
      </c>
    </row>
    <row r="315" spans="1:12" ht="18" customHeight="1" x14ac:dyDescent="0.15">
      <c r="A315" s="5" t="s">
        <v>590</v>
      </c>
      <c r="B315" s="6" t="s">
        <v>653</v>
      </c>
      <c r="C315" s="6" t="s">
        <v>570</v>
      </c>
      <c r="D315" s="6" t="s">
        <v>570</v>
      </c>
      <c r="E315" s="6" t="s">
        <v>594</v>
      </c>
      <c r="F315" s="8">
        <v>714</v>
      </c>
      <c r="G315" s="50">
        <v>4.09201E-12</v>
      </c>
      <c r="H315" s="50">
        <v>0.873759751266318</v>
      </c>
      <c r="I315" s="50">
        <v>2.8560000000000001E-13</v>
      </c>
      <c r="J315" s="50">
        <v>6.0919752804278103E-2</v>
      </c>
      <c r="K315" s="50">
        <v>6.5320495925027602E-2</v>
      </c>
      <c r="L315" s="6" t="s">
        <v>593</v>
      </c>
    </row>
    <row r="316" spans="1:12" ht="18" customHeight="1" x14ac:dyDescent="0.15">
      <c r="A316" s="5" t="s">
        <v>590</v>
      </c>
      <c r="B316" s="6" t="s">
        <v>653</v>
      </c>
      <c r="C316" s="6" t="s">
        <v>570</v>
      </c>
      <c r="D316" s="6" t="s">
        <v>570</v>
      </c>
      <c r="E316" s="6" t="s">
        <v>595</v>
      </c>
      <c r="F316" s="8">
        <v>714</v>
      </c>
      <c r="G316" s="50">
        <v>3.9219100000000002E-12</v>
      </c>
      <c r="H316" s="50">
        <v>0.83743936655375495</v>
      </c>
      <c r="I316" s="50">
        <v>4.5980000000000002E-13</v>
      </c>
      <c r="J316" s="50">
        <v>9.8116666014362502E-2</v>
      </c>
      <c r="K316" s="50">
        <v>6.4443967427502594E-2</v>
      </c>
      <c r="L316" s="6" t="s">
        <v>593</v>
      </c>
    </row>
    <row r="317" spans="1:12" ht="18" customHeight="1" x14ac:dyDescent="0.15">
      <c r="A317" s="5" t="s">
        <v>590</v>
      </c>
      <c r="B317" s="6" t="s">
        <v>653</v>
      </c>
      <c r="C317" s="6" t="s">
        <v>570</v>
      </c>
      <c r="D317" s="6" t="s">
        <v>570</v>
      </c>
      <c r="E317" s="6" t="s">
        <v>596</v>
      </c>
      <c r="F317" s="8">
        <v>714</v>
      </c>
      <c r="G317" s="50">
        <v>3.9531800000000003E-12</v>
      </c>
      <c r="H317" s="50">
        <v>0.84411670492968005</v>
      </c>
      <c r="I317" s="50">
        <v>4.1112000000000002E-13</v>
      </c>
      <c r="J317" s="50">
        <v>8.7717664222116395E-2</v>
      </c>
      <c r="K317" s="50">
        <v>6.8165630843837796E-2</v>
      </c>
      <c r="L317" s="6" t="s">
        <v>593</v>
      </c>
    </row>
    <row r="318" spans="1:12" ht="18" customHeight="1" x14ac:dyDescent="0.15">
      <c r="A318" s="5" t="s">
        <v>590</v>
      </c>
      <c r="B318" s="6" t="s">
        <v>653</v>
      </c>
      <c r="C318" s="6" t="s">
        <v>570</v>
      </c>
      <c r="D318" s="6" t="s">
        <v>570</v>
      </c>
      <c r="E318" s="6" t="s">
        <v>597</v>
      </c>
      <c r="F318" s="8">
        <v>714</v>
      </c>
      <c r="G318" s="50">
        <v>4.0699599999999998E-12</v>
      </c>
      <c r="H318" s="50">
        <v>0.86905293796369598</v>
      </c>
      <c r="I318" s="50">
        <v>2.7866E-13</v>
      </c>
      <c r="J318" s="50">
        <v>5.9430770367720299E-2</v>
      </c>
      <c r="K318" s="50">
        <v>7.15162916642339E-2</v>
      </c>
      <c r="L318" s="6" t="s">
        <v>593</v>
      </c>
    </row>
    <row r="319" spans="1:12" ht="18" customHeight="1" x14ac:dyDescent="0.15">
      <c r="A319" s="5" t="s">
        <v>590</v>
      </c>
      <c r="B319" s="6" t="s">
        <v>653</v>
      </c>
      <c r="C319" s="6" t="s">
        <v>570</v>
      </c>
      <c r="D319" s="6" t="s">
        <v>570</v>
      </c>
      <c r="E319" s="6" t="s">
        <v>598</v>
      </c>
      <c r="F319" s="8">
        <v>714</v>
      </c>
      <c r="G319" s="50">
        <v>3.8962099999999996E-12</v>
      </c>
      <c r="H319" s="50">
        <v>0.83195115914368101</v>
      </c>
      <c r="I319" s="50">
        <v>3.2496000000000001E-13</v>
      </c>
      <c r="J319" s="50">
        <v>6.9290233304877602E-2</v>
      </c>
      <c r="K319" s="50">
        <v>9.87586075472216E-2</v>
      </c>
      <c r="L319" s="6" t="s">
        <v>593</v>
      </c>
    </row>
    <row r="320" spans="1:12" ht="18" customHeight="1" x14ac:dyDescent="0.15">
      <c r="A320" s="5" t="s">
        <v>590</v>
      </c>
      <c r="B320" s="6" t="s">
        <v>653</v>
      </c>
      <c r="C320" s="6" t="s">
        <v>570</v>
      </c>
      <c r="D320" s="6" t="s">
        <v>570</v>
      </c>
      <c r="E320" s="6" t="s">
        <v>599</v>
      </c>
      <c r="F320" s="8">
        <v>714</v>
      </c>
      <c r="G320" s="50">
        <v>3.94925E-12</v>
      </c>
      <c r="H320" s="50">
        <v>0.84327784053496402</v>
      </c>
      <c r="I320" s="50">
        <v>4.0268000000000001E-13</v>
      </c>
      <c r="J320" s="50">
        <v>8.5913346827838993E-2</v>
      </c>
      <c r="K320" s="50">
        <v>7.0808812632845497E-2</v>
      </c>
      <c r="L320" s="6" t="s">
        <v>593</v>
      </c>
    </row>
    <row r="321" spans="1:12" ht="18" customHeight="1" x14ac:dyDescent="0.15">
      <c r="A321" s="5" t="s">
        <v>590</v>
      </c>
      <c r="B321" s="6" t="s">
        <v>653</v>
      </c>
      <c r="C321" s="6" t="s">
        <v>570</v>
      </c>
      <c r="D321" s="6" t="s">
        <v>570</v>
      </c>
      <c r="E321" s="6" t="s">
        <v>616</v>
      </c>
      <c r="F321" s="8">
        <v>714</v>
      </c>
      <c r="G321" s="50">
        <v>3.9177300000000001E-12</v>
      </c>
      <c r="H321" s="50">
        <v>0.83654731589917897</v>
      </c>
      <c r="I321" s="50">
        <v>2.7844999999999999E-13</v>
      </c>
      <c r="J321" s="50">
        <v>5.9352914797922297E-2</v>
      </c>
      <c r="K321" s="50">
        <v>0.104099769298701</v>
      </c>
      <c r="L321" s="6" t="s">
        <v>593</v>
      </c>
    </row>
    <row r="322" spans="1:12" ht="18" customHeight="1" x14ac:dyDescent="0.15">
      <c r="A322" s="5" t="s">
        <v>590</v>
      </c>
      <c r="B322" s="6" t="s">
        <v>653</v>
      </c>
      <c r="C322" s="6" t="s">
        <v>570</v>
      </c>
      <c r="D322" s="6" t="s">
        <v>570</v>
      </c>
      <c r="E322" s="6" t="s">
        <v>600</v>
      </c>
      <c r="F322" s="8">
        <v>714</v>
      </c>
      <c r="G322" s="50">
        <v>4.0264499999999997E-12</v>
      </c>
      <c r="H322" s="50">
        <v>0.85976117082955905</v>
      </c>
      <c r="I322" s="50">
        <v>3.0249000000000001E-13</v>
      </c>
      <c r="J322" s="50">
        <v>6.4515352150493796E-2</v>
      </c>
      <c r="K322" s="50">
        <v>7.5723477015617296E-2</v>
      </c>
      <c r="L322" s="6" t="s">
        <v>593</v>
      </c>
    </row>
    <row r="323" spans="1:12" ht="18" customHeight="1" x14ac:dyDescent="0.15">
      <c r="A323" s="5" t="s">
        <v>590</v>
      </c>
      <c r="B323" s="6" t="s">
        <v>653</v>
      </c>
      <c r="C323" s="6" t="s">
        <v>570</v>
      </c>
      <c r="D323" s="6" t="s">
        <v>570</v>
      </c>
      <c r="E323" s="6" t="s">
        <v>601</v>
      </c>
      <c r="F323" s="8">
        <v>714</v>
      </c>
      <c r="G323" s="50">
        <v>3.60879E-12</v>
      </c>
      <c r="H323" s="50">
        <v>0.77058005950747699</v>
      </c>
      <c r="I323" s="50">
        <v>3.0981000000000002E-13</v>
      </c>
      <c r="J323" s="50">
        <v>6.5990634406364906E-2</v>
      </c>
      <c r="K323" s="50">
        <v>0.16342930608224099</v>
      </c>
      <c r="L323" s="6" t="s">
        <v>593</v>
      </c>
    </row>
    <row r="324" spans="1:12" ht="18" customHeight="1" x14ac:dyDescent="0.15">
      <c r="A324" s="5" t="s">
        <v>590</v>
      </c>
      <c r="B324" s="6" t="s">
        <v>653</v>
      </c>
      <c r="C324" s="6" t="s">
        <v>570</v>
      </c>
      <c r="D324" s="6" t="s">
        <v>570</v>
      </c>
      <c r="E324" s="6" t="s">
        <v>602</v>
      </c>
      <c r="F324" s="8">
        <v>714</v>
      </c>
      <c r="G324" s="50">
        <v>2.6342600000000001E-12</v>
      </c>
      <c r="H324" s="50">
        <v>0.56249036155888599</v>
      </c>
      <c r="I324" s="50">
        <v>1.8434500000000002E-12</v>
      </c>
      <c r="J324" s="50">
        <v>0.39358607881244301</v>
      </c>
      <c r="K324" s="50">
        <v>4.39235596241936E-2</v>
      </c>
      <c r="L324" s="6" t="s">
        <v>593</v>
      </c>
    </row>
    <row r="325" spans="1:12" ht="18" customHeight="1" x14ac:dyDescent="0.15">
      <c r="A325" s="5" t="s">
        <v>590</v>
      </c>
      <c r="B325" s="6" t="s">
        <v>653</v>
      </c>
      <c r="C325" s="6" t="s">
        <v>570</v>
      </c>
      <c r="D325" s="6" t="s">
        <v>570</v>
      </c>
      <c r="E325" s="6" t="s">
        <v>617</v>
      </c>
      <c r="F325" s="8">
        <v>714</v>
      </c>
      <c r="G325" s="50">
        <v>2.9891699999999999E-12</v>
      </c>
      <c r="H325" s="50">
        <v>0.63827249756777904</v>
      </c>
      <c r="I325" s="50">
        <v>1.4968599999999999E-12</v>
      </c>
      <c r="J325" s="50">
        <v>0.319579746527547</v>
      </c>
      <c r="K325" s="50">
        <v>4.21477559001881E-2</v>
      </c>
      <c r="L325" s="6" t="s">
        <v>593</v>
      </c>
    </row>
    <row r="326" spans="1:12" ht="18" customHeight="1" x14ac:dyDescent="0.15">
      <c r="A326" s="5" t="s">
        <v>590</v>
      </c>
      <c r="B326" s="6" t="s">
        <v>653</v>
      </c>
      <c r="C326" s="6" t="s">
        <v>570</v>
      </c>
      <c r="D326" s="6" t="s">
        <v>570</v>
      </c>
      <c r="E326" s="6" t="s">
        <v>618</v>
      </c>
      <c r="F326" s="8">
        <v>707</v>
      </c>
      <c r="G326" s="50">
        <v>3.9210100000000001E-12</v>
      </c>
      <c r="H326" s="50">
        <v>0.83726674525683198</v>
      </c>
      <c r="I326" s="50">
        <v>4.6866000000000004E-13</v>
      </c>
      <c r="J326" s="50">
        <v>0.10001365540127</v>
      </c>
      <c r="K326" s="50">
        <v>6.2719599337507301E-2</v>
      </c>
      <c r="L326" s="6" t="s">
        <v>593</v>
      </c>
    </row>
    <row r="327" spans="1:12" ht="18" customHeight="1" x14ac:dyDescent="0.15">
      <c r="A327" s="5" t="s">
        <v>590</v>
      </c>
      <c r="B327" s="6" t="s">
        <v>653</v>
      </c>
      <c r="C327" s="6" t="s">
        <v>570</v>
      </c>
      <c r="D327" s="6" t="s">
        <v>570</v>
      </c>
      <c r="E327" s="6" t="s">
        <v>619</v>
      </c>
      <c r="F327" s="8">
        <v>708</v>
      </c>
      <c r="G327" s="50">
        <v>1.7026399999999999E-12</v>
      </c>
      <c r="H327" s="50">
        <v>0.36357145139204999</v>
      </c>
      <c r="I327" s="50">
        <v>1.9273999999999999E-13</v>
      </c>
      <c r="J327" s="50">
        <v>4.0561327537175798E-2</v>
      </c>
      <c r="K327" s="50">
        <v>0.59586722106887702</v>
      </c>
      <c r="L327" s="6" t="s">
        <v>593</v>
      </c>
    </row>
    <row r="328" spans="1:12" ht="18" customHeight="1" x14ac:dyDescent="0.15">
      <c r="A328" s="5" t="s">
        <v>590</v>
      </c>
      <c r="B328" s="6" t="s">
        <v>653</v>
      </c>
      <c r="C328" s="6" t="s">
        <v>570</v>
      </c>
      <c r="D328" s="6" t="s">
        <v>570</v>
      </c>
      <c r="E328" s="6" t="s">
        <v>620</v>
      </c>
      <c r="F328" s="8">
        <v>708</v>
      </c>
      <c r="G328" s="50">
        <v>3.1211000000000001E-12</v>
      </c>
      <c r="H328" s="50">
        <v>0.66646083396189104</v>
      </c>
      <c r="I328" s="50">
        <v>1.1273200000000001E-12</v>
      </c>
      <c r="J328" s="50">
        <v>0.24062924866558899</v>
      </c>
      <c r="K328" s="50">
        <v>9.2909917368272504E-2</v>
      </c>
      <c r="L328" s="6" t="s">
        <v>593</v>
      </c>
    </row>
    <row r="329" spans="1:12" ht="18" customHeight="1" x14ac:dyDescent="0.15">
      <c r="A329" s="5" t="s">
        <v>590</v>
      </c>
      <c r="B329" s="6" t="s">
        <v>653</v>
      </c>
      <c r="C329" s="6" t="s">
        <v>570</v>
      </c>
      <c r="D329" s="6" t="s">
        <v>570</v>
      </c>
      <c r="E329" s="6" t="s">
        <v>603</v>
      </c>
      <c r="F329" s="8">
        <v>696</v>
      </c>
      <c r="G329" s="50">
        <v>3.97702E-12</v>
      </c>
      <c r="H329" s="50">
        <v>0.84920310469246396</v>
      </c>
      <c r="I329" s="50">
        <v>2.8059999999999999E-13</v>
      </c>
      <c r="J329" s="50">
        <v>5.9825744780668398E-2</v>
      </c>
      <c r="K329" s="50">
        <v>9.0971150522609401E-2</v>
      </c>
      <c r="L329" s="6" t="s">
        <v>593</v>
      </c>
    </row>
    <row r="330" spans="1:12" ht="18" customHeight="1" x14ac:dyDescent="0.15">
      <c r="A330" s="5" t="s">
        <v>590</v>
      </c>
      <c r="B330" s="6" t="s">
        <v>653</v>
      </c>
      <c r="C330" s="6" t="s">
        <v>570</v>
      </c>
      <c r="D330" s="6" t="s">
        <v>570</v>
      </c>
      <c r="E330" s="6" t="s">
        <v>604</v>
      </c>
      <c r="F330" s="8">
        <v>671</v>
      </c>
      <c r="G330" s="50">
        <v>4.0093599999999998E-12</v>
      </c>
      <c r="H330" s="50">
        <v>0.85607586272909597</v>
      </c>
      <c r="I330" s="50">
        <v>2.8923999999999999E-13</v>
      </c>
      <c r="J330" s="50">
        <v>6.1677229583117103E-2</v>
      </c>
      <c r="K330" s="50">
        <v>8.2246907683487802E-2</v>
      </c>
      <c r="L330" s="6" t="s">
        <v>593</v>
      </c>
    </row>
    <row r="331" spans="1:12" ht="18" customHeight="1" x14ac:dyDescent="0.15">
      <c r="A331" s="5" t="s">
        <v>590</v>
      </c>
      <c r="B331" s="6" t="s">
        <v>653</v>
      </c>
      <c r="C331" s="6" t="s">
        <v>570</v>
      </c>
      <c r="D331" s="6" t="s">
        <v>570</v>
      </c>
      <c r="E331" s="6" t="s">
        <v>605</v>
      </c>
      <c r="F331" s="8">
        <v>715</v>
      </c>
      <c r="G331" s="50">
        <v>3.8231099999999999E-12</v>
      </c>
      <c r="H331" s="50">
        <v>0.81634159248967098</v>
      </c>
      <c r="I331" s="50">
        <v>6.1146E-13</v>
      </c>
      <c r="J331" s="50">
        <v>0.130510933397572</v>
      </c>
      <c r="K331" s="50">
        <v>5.3147474108322101E-2</v>
      </c>
      <c r="L331" s="6" t="s">
        <v>593</v>
      </c>
    </row>
    <row r="332" spans="1:12" ht="18" customHeight="1" x14ac:dyDescent="0.15">
      <c r="A332" s="5" t="s">
        <v>590</v>
      </c>
      <c r="B332" s="6" t="s">
        <v>653</v>
      </c>
      <c r="C332" s="6" t="s">
        <v>570</v>
      </c>
      <c r="D332" s="6" t="s">
        <v>570</v>
      </c>
      <c r="E332" s="6" t="s">
        <v>606</v>
      </c>
      <c r="F332" s="8">
        <v>715</v>
      </c>
      <c r="G332" s="50">
        <v>3.9131999999999999E-12</v>
      </c>
      <c r="H332" s="50">
        <v>0.83557763467442303</v>
      </c>
      <c r="I332" s="50">
        <v>4.4485999999999998E-13</v>
      </c>
      <c r="J332" s="50">
        <v>9.4922404816101993E-2</v>
      </c>
      <c r="K332" s="50">
        <v>6.9499960505116601E-2</v>
      </c>
      <c r="L332" s="6" t="s">
        <v>593</v>
      </c>
    </row>
    <row r="333" spans="1:12" ht="18" customHeight="1" x14ac:dyDescent="0.15">
      <c r="A333" s="5" t="s">
        <v>590</v>
      </c>
      <c r="B333" s="6" t="s">
        <v>653</v>
      </c>
      <c r="C333" s="6" t="s">
        <v>570</v>
      </c>
      <c r="D333" s="6" t="s">
        <v>570</v>
      </c>
      <c r="E333" s="6" t="s">
        <v>621</v>
      </c>
      <c r="F333" s="8"/>
      <c r="G333" s="50"/>
      <c r="H333" s="50"/>
      <c r="I333" s="50"/>
      <c r="J333" s="50"/>
      <c r="K333" s="50"/>
      <c r="L333" s="6" t="s">
        <v>644</v>
      </c>
    </row>
    <row r="334" spans="1:12" ht="18" customHeight="1" x14ac:dyDescent="0.15">
      <c r="A334" s="5" t="s">
        <v>590</v>
      </c>
      <c r="B334" s="6" t="s">
        <v>653</v>
      </c>
      <c r="C334" s="6" t="s">
        <v>570</v>
      </c>
      <c r="D334" s="6" t="s">
        <v>570</v>
      </c>
      <c r="E334" s="6" t="s">
        <v>622</v>
      </c>
      <c r="F334" s="8"/>
      <c r="G334" s="50"/>
      <c r="H334" s="50"/>
      <c r="I334" s="50"/>
      <c r="J334" s="50"/>
      <c r="K334" s="50"/>
      <c r="L334" s="6" t="s">
        <v>644</v>
      </c>
    </row>
    <row r="335" spans="1:12" ht="18" customHeight="1" x14ac:dyDescent="0.15">
      <c r="A335" s="5" t="s">
        <v>590</v>
      </c>
      <c r="B335" s="6" t="s">
        <v>653</v>
      </c>
      <c r="C335" s="6" t="s">
        <v>570</v>
      </c>
      <c r="D335" s="6" t="s">
        <v>570</v>
      </c>
      <c r="E335" s="6" t="s">
        <v>623</v>
      </c>
      <c r="F335" s="8"/>
      <c r="G335" s="50"/>
      <c r="H335" s="50"/>
      <c r="I335" s="50"/>
      <c r="J335" s="50"/>
      <c r="K335" s="50"/>
      <c r="L335" s="6" t="s">
        <v>644</v>
      </c>
    </row>
    <row r="336" spans="1:12" ht="18" customHeight="1" x14ac:dyDescent="0.15">
      <c r="A336" s="5" t="s">
        <v>590</v>
      </c>
      <c r="B336" s="6" t="s">
        <v>653</v>
      </c>
      <c r="C336" s="6" t="s">
        <v>570</v>
      </c>
      <c r="D336" s="6" t="s">
        <v>570</v>
      </c>
      <c r="E336" s="6" t="s">
        <v>624</v>
      </c>
      <c r="F336" s="8"/>
      <c r="G336" s="50"/>
      <c r="H336" s="50"/>
      <c r="I336" s="50"/>
      <c r="J336" s="50"/>
      <c r="K336" s="50"/>
      <c r="L336" s="6" t="s">
        <v>644</v>
      </c>
    </row>
    <row r="337" spans="1:12" ht="18" customHeight="1" x14ac:dyDescent="0.15">
      <c r="A337" s="5" t="s">
        <v>590</v>
      </c>
      <c r="B337" s="6" t="s">
        <v>653</v>
      </c>
      <c r="C337" s="6" t="s">
        <v>570</v>
      </c>
      <c r="D337" s="6" t="s">
        <v>570</v>
      </c>
      <c r="E337" s="6" t="s">
        <v>625</v>
      </c>
      <c r="F337" s="8"/>
      <c r="G337" s="50"/>
      <c r="H337" s="50"/>
      <c r="I337" s="50"/>
      <c r="J337" s="50"/>
      <c r="K337" s="50"/>
      <c r="L337" s="6" t="s">
        <v>644</v>
      </c>
    </row>
    <row r="338" spans="1:12" ht="18" customHeight="1" x14ac:dyDescent="0.15">
      <c r="A338" s="5" t="s">
        <v>590</v>
      </c>
      <c r="B338" s="6" t="s">
        <v>653</v>
      </c>
      <c r="C338" s="6" t="s">
        <v>570</v>
      </c>
      <c r="D338" s="6" t="s">
        <v>570</v>
      </c>
      <c r="E338" s="6" t="s">
        <v>626</v>
      </c>
      <c r="F338" s="8"/>
      <c r="G338" s="50"/>
      <c r="H338" s="50"/>
      <c r="I338" s="50"/>
      <c r="J338" s="50"/>
      <c r="K338" s="50"/>
      <c r="L338" s="6" t="s">
        <v>644</v>
      </c>
    </row>
    <row r="339" spans="1:12" ht="18" customHeight="1" x14ac:dyDescent="0.15">
      <c r="A339" s="5" t="s">
        <v>590</v>
      </c>
      <c r="B339" s="6" t="s">
        <v>653</v>
      </c>
      <c r="C339" s="6" t="s">
        <v>570</v>
      </c>
      <c r="D339" s="6" t="s">
        <v>570</v>
      </c>
      <c r="E339" s="6" t="s">
        <v>627</v>
      </c>
      <c r="F339" s="8"/>
      <c r="G339" s="50"/>
      <c r="H339" s="50"/>
      <c r="I339" s="50"/>
      <c r="J339" s="50"/>
      <c r="K339" s="50"/>
      <c r="L339" s="6" t="s">
        <v>644</v>
      </c>
    </row>
    <row r="340" spans="1:12" ht="18" customHeight="1" x14ac:dyDescent="0.15">
      <c r="A340" s="5" t="s">
        <v>590</v>
      </c>
      <c r="B340" s="6" t="s">
        <v>653</v>
      </c>
      <c r="C340" s="6" t="s">
        <v>570</v>
      </c>
      <c r="D340" s="6" t="s">
        <v>570</v>
      </c>
      <c r="E340" s="6" t="s">
        <v>628</v>
      </c>
      <c r="F340" s="8"/>
      <c r="G340" s="50"/>
      <c r="H340" s="50"/>
      <c r="I340" s="50"/>
      <c r="J340" s="50"/>
      <c r="K340" s="50"/>
      <c r="L340" s="6" t="s">
        <v>644</v>
      </c>
    </row>
    <row r="341" spans="1:12" ht="18" customHeight="1" x14ac:dyDescent="0.15">
      <c r="A341" s="5" t="s">
        <v>590</v>
      </c>
      <c r="B341" s="6" t="s">
        <v>653</v>
      </c>
      <c r="C341" s="6" t="s">
        <v>570</v>
      </c>
      <c r="D341" s="6" t="s">
        <v>570</v>
      </c>
      <c r="E341" s="6" t="s">
        <v>629</v>
      </c>
      <c r="F341" s="8"/>
      <c r="G341" s="50"/>
      <c r="H341" s="50"/>
      <c r="I341" s="50"/>
      <c r="J341" s="50"/>
      <c r="K341" s="50"/>
      <c r="L341" s="6" t="s">
        <v>644</v>
      </c>
    </row>
    <row r="342" spans="1:12" ht="18" customHeight="1" x14ac:dyDescent="0.15">
      <c r="A342" s="5" t="s">
        <v>590</v>
      </c>
      <c r="B342" s="6" t="s">
        <v>653</v>
      </c>
      <c r="C342" s="6" t="s">
        <v>570</v>
      </c>
      <c r="D342" s="6" t="s">
        <v>570</v>
      </c>
      <c r="E342" s="6" t="s">
        <v>630</v>
      </c>
      <c r="F342" s="8"/>
      <c r="G342" s="50"/>
      <c r="H342" s="50"/>
      <c r="I342" s="50"/>
      <c r="J342" s="50"/>
      <c r="K342" s="50"/>
      <c r="L342" s="6" t="s">
        <v>644</v>
      </c>
    </row>
    <row r="343" spans="1:12" ht="18" customHeight="1" x14ac:dyDescent="0.15">
      <c r="A343" s="5" t="s">
        <v>590</v>
      </c>
      <c r="B343" s="6" t="s">
        <v>653</v>
      </c>
      <c r="C343" s="6" t="s">
        <v>570</v>
      </c>
      <c r="D343" s="6" t="s">
        <v>570</v>
      </c>
      <c r="E343" s="6" t="s">
        <v>631</v>
      </c>
      <c r="F343" s="8"/>
      <c r="G343" s="50"/>
      <c r="H343" s="50"/>
      <c r="I343" s="50"/>
      <c r="J343" s="50"/>
      <c r="K343" s="50"/>
      <c r="L343" s="6" t="s">
        <v>644</v>
      </c>
    </row>
    <row r="344" spans="1:12" ht="18" customHeight="1" x14ac:dyDescent="0.15">
      <c r="A344" s="5" t="s">
        <v>590</v>
      </c>
      <c r="B344" s="6" t="s">
        <v>653</v>
      </c>
      <c r="C344" s="6" t="s">
        <v>570</v>
      </c>
      <c r="D344" s="6" t="s">
        <v>570</v>
      </c>
      <c r="E344" s="6" t="s">
        <v>632</v>
      </c>
      <c r="F344" s="8">
        <v>713</v>
      </c>
      <c r="G344" s="50">
        <v>4.0404699999999996E-12</v>
      </c>
      <c r="H344" s="50">
        <v>0.86275606517243097</v>
      </c>
      <c r="I344" s="50">
        <v>2.8027999999999999E-13</v>
      </c>
      <c r="J344" s="50">
        <v>5.9771661962093402E-2</v>
      </c>
      <c r="K344" s="50">
        <v>7.7472272861153699E-2</v>
      </c>
      <c r="L344" s="6" t="s">
        <v>593</v>
      </c>
    </row>
    <row r="345" spans="1:12" ht="18" customHeight="1" x14ac:dyDescent="0.15">
      <c r="A345" s="5" t="s">
        <v>590</v>
      </c>
      <c r="B345" s="6" t="s">
        <v>653</v>
      </c>
      <c r="C345" s="6" t="s">
        <v>570</v>
      </c>
      <c r="D345" s="6" t="s">
        <v>570</v>
      </c>
      <c r="E345" s="6" t="s">
        <v>633</v>
      </c>
      <c r="F345" s="8">
        <v>714</v>
      </c>
      <c r="G345" s="50">
        <v>4.0231799999999998E-12</v>
      </c>
      <c r="H345" s="50">
        <v>0.85906368187262006</v>
      </c>
      <c r="I345" s="50">
        <v>3.2352999999999999E-13</v>
      </c>
      <c r="J345" s="50">
        <v>6.9011914963232598E-2</v>
      </c>
      <c r="K345" s="50">
        <v>7.1924403159799602E-2</v>
      </c>
      <c r="L345" s="6" t="s">
        <v>593</v>
      </c>
    </row>
    <row r="346" spans="1:12" ht="18" customHeight="1" x14ac:dyDescent="0.15">
      <c r="A346" s="5" t="s">
        <v>590</v>
      </c>
      <c r="B346" s="6" t="s">
        <v>653</v>
      </c>
      <c r="C346" s="6" t="s">
        <v>570</v>
      </c>
      <c r="D346" s="6" t="s">
        <v>570</v>
      </c>
      <c r="E346" s="6" t="s">
        <v>634</v>
      </c>
      <c r="F346" s="8">
        <v>715</v>
      </c>
      <c r="G346" s="50">
        <v>4.2192600000000003E-12</v>
      </c>
      <c r="H346" s="50">
        <v>0.90093029948278103</v>
      </c>
      <c r="I346" s="50">
        <v>2.2207000000000001E-13</v>
      </c>
      <c r="J346" s="50">
        <v>4.7367953416348002E-2</v>
      </c>
      <c r="K346" s="50">
        <v>5.1701747096429898E-2</v>
      </c>
      <c r="L346" s="6" t="s">
        <v>593</v>
      </c>
    </row>
    <row r="347" spans="1:12" ht="18" customHeight="1" x14ac:dyDescent="0.15">
      <c r="A347" s="5" t="s">
        <v>590</v>
      </c>
      <c r="B347" s="6" t="s">
        <v>653</v>
      </c>
      <c r="C347" s="6" t="s">
        <v>570</v>
      </c>
      <c r="D347" s="6" t="s">
        <v>570</v>
      </c>
      <c r="E347" s="6" t="s">
        <v>635</v>
      </c>
      <c r="F347" s="8">
        <v>715</v>
      </c>
      <c r="G347" s="50">
        <v>2.5783630250387701E-44</v>
      </c>
      <c r="H347" s="50">
        <v>5.5055199718841098E-33</v>
      </c>
      <c r="I347" s="50">
        <v>4.6832299999999996E-12</v>
      </c>
      <c r="J347" s="50">
        <v>0.99999999999526801</v>
      </c>
      <c r="K347" s="50">
        <v>4.4030000000000003E-14</v>
      </c>
      <c r="L347" s="6" t="s">
        <v>593</v>
      </c>
    </row>
    <row r="348" spans="1:12" ht="18" customHeight="1" x14ac:dyDescent="0.15">
      <c r="A348" s="5" t="s">
        <v>590</v>
      </c>
      <c r="B348" s="6" t="s">
        <v>653</v>
      </c>
      <c r="C348" s="6" t="s">
        <v>570</v>
      </c>
      <c r="D348" s="6" t="s">
        <v>570</v>
      </c>
      <c r="E348" s="6" t="s">
        <v>636</v>
      </c>
      <c r="F348" s="8">
        <v>715</v>
      </c>
      <c r="G348" s="50">
        <v>3.2578262137799398E-26</v>
      </c>
      <c r="H348" s="50">
        <v>6.9563622774273097E-15</v>
      </c>
      <c r="I348" s="50">
        <v>4.6832299999999996E-12</v>
      </c>
      <c r="J348" s="50">
        <v>0.99999999999520395</v>
      </c>
      <c r="K348" s="50">
        <v>1.0257E-13</v>
      </c>
      <c r="L348" s="6" t="s">
        <v>593</v>
      </c>
    </row>
    <row r="349" spans="1:12" ht="18" customHeight="1" x14ac:dyDescent="0.15">
      <c r="A349" s="5" t="s">
        <v>590</v>
      </c>
      <c r="B349" s="6" t="s">
        <v>653</v>
      </c>
      <c r="C349" s="6" t="s">
        <v>570</v>
      </c>
      <c r="D349" s="6" t="s">
        <v>570</v>
      </c>
      <c r="E349" s="6" t="s">
        <v>637</v>
      </c>
      <c r="F349" s="8">
        <v>715</v>
      </c>
      <c r="G349" s="50">
        <v>4.0006699999999998E-12</v>
      </c>
      <c r="H349" s="50">
        <v>0.85425542168294299</v>
      </c>
      <c r="I349" s="50">
        <v>3.4157999999999999E-13</v>
      </c>
      <c r="J349" s="50">
        <v>7.2865834355384504E-2</v>
      </c>
      <c r="K349" s="50">
        <v>7.2878743957329004E-2</v>
      </c>
      <c r="L349" s="6" t="s">
        <v>593</v>
      </c>
    </row>
    <row r="350" spans="1:12" ht="18" customHeight="1" x14ac:dyDescent="0.15">
      <c r="A350" s="5" t="s">
        <v>590</v>
      </c>
      <c r="B350" s="6" t="s">
        <v>653</v>
      </c>
      <c r="C350" s="6" t="s">
        <v>570</v>
      </c>
      <c r="D350" s="6" t="s">
        <v>570</v>
      </c>
      <c r="E350" s="6" t="s">
        <v>638</v>
      </c>
      <c r="F350" s="8">
        <v>715</v>
      </c>
      <c r="G350" s="50">
        <v>4.0735999999999999E-12</v>
      </c>
      <c r="H350" s="50">
        <v>0.86982859587831296</v>
      </c>
      <c r="I350" s="50">
        <v>2.6980000000000002E-13</v>
      </c>
      <c r="J350" s="50">
        <v>5.7538957946707499E-2</v>
      </c>
      <c r="K350" s="50">
        <v>7.26324461706358E-2</v>
      </c>
      <c r="L350" s="6" t="s">
        <v>593</v>
      </c>
    </row>
    <row r="351" spans="1:12" ht="18" customHeight="1" x14ac:dyDescent="0.15">
      <c r="A351" s="5" t="s">
        <v>590</v>
      </c>
      <c r="B351" s="6" t="s">
        <v>653</v>
      </c>
      <c r="C351" s="6" t="s">
        <v>570</v>
      </c>
      <c r="D351" s="6" t="s">
        <v>570</v>
      </c>
      <c r="E351" s="6" t="s">
        <v>639</v>
      </c>
      <c r="F351" s="8">
        <v>714</v>
      </c>
      <c r="G351" s="50">
        <v>3.9992700000000002E-12</v>
      </c>
      <c r="H351" s="50">
        <v>0.85395671513467697</v>
      </c>
      <c r="I351" s="50">
        <v>3.6557999999999999E-13</v>
      </c>
      <c r="J351" s="50">
        <v>7.7994365590536296E-2</v>
      </c>
      <c r="K351" s="50">
        <v>6.8048919270423197E-2</v>
      </c>
      <c r="L351" s="6" t="s">
        <v>593</v>
      </c>
    </row>
    <row r="352" spans="1:12" ht="18" customHeight="1" x14ac:dyDescent="0.15">
      <c r="A352" s="5" t="s">
        <v>590</v>
      </c>
      <c r="B352" s="6" t="s">
        <v>653</v>
      </c>
      <c r="C352" s="6" t="s">
        <v>570</v>
      </c>
      <c r="D352" s="6" t="s">
        <v>570</v>
      </c>
      <c r="E352" s="6" t="s">
        <v>640</v>
      </c>
      <c r="F352" s="8">
        <v>714</v>
      </c>
      <c r="G352" s="50">
        <v>4.03414E-12</v>
      </c>
      <c r="H352" s="50">
        <v>0.86140202531131704</v>
      </c>
      <c r="I352" s="50">
        <v>3.3186000000000001E-13</v>
      </c>
      <c r="J352" s="50">
        <v>7.0795027037124203E-2</v>
      </c>
      <c r="K352" s="50">
        <v>6.7802947647193301E-2</v>
      </c>
      <c r="L352" s="6" t="s">
        <v>593</v>
      </c>
    </row>
    <row r="353" spans="1:12" ht="18" customHeight="1" x14ac:dyDescent="0.15">
      <c r="A353" s="5" t="s">
        <v>590</v>
      </c>
      <c r="B353" s="6" t="s">
        <v>653</v>
      </c>
      <c r="C353" s="6" t="s">
        <v>570</v>
      </c>
      <c r="D353" s="6" t="s">
        <v>570</v>
      </c>
      <c r="E353" s="6" t="s">
        <v>607</v>
      </c>
      <c r="F353" s="8">
        <v>712</v>
      </c>
      <c r="G353" s="50">
        <v>1.51448E-12</v>
      </c>
      <c r="H353" s="50">
        <v>0.32338478016453398</v>
      </c>
      <c r="I353" s="50">
        <v>3.0302600000000001E-12</v>
      </c>
      <c r="J353" s="50">
        <v>0.64701530399765395</v>
      </c>
      <c r="K353" s="50">
        <v>2.9599915833268799E-2</v>
      </c>
      <c r="L353" s="6" t="s">
        <v>593</v>
      </c>
    </row>
    <row r="354" spans="1:12" ht="18" customHeight="1" x14ac:dyDescent="0.15">
      <c r="A354" s="5" t="s">
        <v>590</v>
      </c>
      <c r="B354" s="6" t="s">
        <v>653</v>
      </c>
      <c r="C354" s="6" t="s">
        <v>570</v>
      </c>
      <c r="D354" s="6" t="s">
        <v>570</v>
      </c>
      <c r="E354" s="6" t="s">
        <v>609</v>
      </c>
      <c r="F354" s="8">
        <v>11</v>
      </c>
      <c r="G354" s="50">
        <v>2.5847347999999998E-10</v>
      </c>
      <c r="H354" s="50">
        <v>2.3036100000000001E-12</v>
      </c>
      <c r="I354" s="50">
        <v>0.42378739591512898</v>
      </c>
      <c r="J354" s="50">
        <v>3.20394918658939E-3</v>
      </c>
      <c r="K354" s="50">
        <v>0.57300865463750505</v>
      </c>
      <c r="L354" s="6" t="s">
        <v>593</v>
      </c>
    </row>
    <row r="355" spans="1:12" ht="18" customHeight="1" x14ac:dyDescent="0.15">
      <c r="A355" s="5" t="s">
        <v>590</v>
      </c>
      <c r="B355" s="6" t="s">
        <v>653</v>
      </c>
      <c r="C355" s="6" t="s">
        <v>570</v>
      </c>
      <c r="D355" s="6" t="s">
        <v>570</v>
      </c>
      <c r="E355" s="6" t="s">
        <v>610</v>
      </c>
      <c r="F355" s="8">
        <v>12</v>
      </c>
      <c r="G355" s="50">
        <v>7.6280220920000001E-8</v>
      </c>
      <c r="H355" s="50">
        <v>6.4466485999999996E-10</v>
      </c>
      <c r="I355" s="50">
        <v>0.42379804649817798</v>
      </c>
      <c r="J355" s="50">
        <v>3.0084389686930802E-3</v>
      </c>
      <c r="K355" s="50">
        <v>0.57319343760824204</v>
      </c>
      <c r="L355" s="6" t="s">
        <v>593</v>
      </c>
    </row>
    <row r="356" spans="1:12" ht="18" customHeight="1" x14ac:dyDescent="0.15">
      <c r="A356" s="5" t="s">
        <v>590</v>
      </c>
      <c r="B356" s="6" t="s">
        <v>653</v>
      </c>
      <c r="C356" s="6" t="s">
        <v>570</v>
      </c>
      <c r="D356" s="6" t="s">
        <v>570</v>
      </c>
      <c r="E356" s="6" t="s">
        <v>611</v>
      </c>
      <c r="F356" s="8">
        <v>12</v>
      </c>
      <c r="G356" s="50">
        <v>3.6081669999999998E-10</v>
      </c>
      <c r="H356" s="50">
        <v>3.2133000000000001E-12</v>
      </c>
      <c r="I356" s="50">
        <v>0.424096910959114</v>
      </c>
      <c r="J356" s="50">
        <v>3.2041619882725199E-3</v>
      </c>
      <c r="K356" s="50">
        <v>0.57269892668858402</v>
      </c>
      <c r="L356" s="6" t="s">
        <v>593</v>
      </c>
    </row>
    <row r="357" spans="1:12" ht="18" customHeight="1" x14ac:dyDescent="0.15">
      <c r="A357" s="5" t="s">
        <v>590</v>
      </c>
      <c r="B357" s="6" t="s">
        <v>653</v>
      </c>
      <c r="C357" s="6" t="s">
        <v>570</v>
      </c>
      <c r="D357" s="6" t="s">
        <v>570</v>
      </c>
      <c r="E357" s="6" t="s">
        <v>641</v>
      </c>
      <c r="F357" s="8">
        <v>12</v>
      </c>
      <c r="G357" s="50">
        <v>3.6988513400000001E-9</v>
      </c>
      <c r="H357" s="50">
        <v>2.9542869999999998E-11</v>
      </c>
      <c r="I357" s="50">
        <v>0.42396783003202698</v>
      </c>
      <c r="J357" s="50">
        <v>2.8130294636548102E-3</v>
      </c>
      <c r="K357" s="50">
        <v>0.57321913677592495</v>
      </c>
      <c r="L357" s="6" t="s">
        <v>593</v>
      </c>
    </row>
    <row r="358" spans="1:12" ht="18" customHeight="1" x14ac:dyDescent="0.15">
      <c r="A358" s="5" t="s">
        <v>590</v>
      </c>
      <c r="B358" s="6" t="s">
        <v>653</v>
      </c>
      <c r="C358" s="6" t="s">
        <v>570</v>
      </c>
      <c r="D358" s="6" t="s">
        <v>570</v>
      </c>
      <c r="E358" s="6" t="s">
        <v>612</v>
      </c>
      <c r="F358" s="8">
        <v>10</v>
      </c>
      <c r="G358" s="50">
        <v>1.4619191279943799E-2</v>
      </c>
      <c r="H358" s="50">
        <v>1.2188625254287E-4</v>
      </c>
      <c r="I358" s="50">
        <v>0.19159957262893501</v>
      </c>
      <c r="J358" s="50">
        <v>8.0459023234732995E-4</v>
      </c>
      <c r="K358" s="50">
        <v>0.79285475960623097</v>
      </c>
      <c r="L358" s="6" t="s">
        <v>593</v>
      </c>
    </row>
    <row r="359" spans="1:12" ht="18" customHeight="1" x14ac:dyDescent="0.15">
      <c r="A359" s="5" t="s">
        <v>590</v>
      </c>
      <c r="B359" s="6" t="s">
        <v>653</v>
      </c>
      <c r="C359" s="6" t="s">
        <v>570</v>
      </c>
      <c r="D359" s="6" t="s">
        <v>570</v>
      </c>
      <c r="E359" s="6" t="s">
        <v>642</v>
      </c>
      <c r="F359" s="8"/>
      <c r="G359" s="50"/>
      <c r="H359" s="50"/>
      <c r="I359" s="50"/>
      <c r="J359" s="50"/>
      <c r="K359" s="50"/>
      <c r="L359" s="6" t="s">
        <v>644</v>
      </c>
    </row>
    <row r="360" spans="1:12" ht="18" customHeight="1" x14ac:dyDescent="0.15">
      <c r="A360" s="5" t="s">
        <v>590</v>
      </c>
      <c r="B360" s="6" t="s">
        <v>653</v>
      </c>
      <c r="C360" s="6" t="s">
        <v>570</v>
      </c>
      <c r="D360" s="6" t="s">
        <v>570</v>
      </c>
      <c r="E360" s="6" t="s">
        <v>643</v>
      </c>
      <c r="F360" s="8"/>
      <c r="G360" s="50"/>
      <c r="H360" s="50"/>
      <c r="I360" s="50"/>
      <c r="J360" s="50"/>
      <c r="K360" s="50"/>
      <c r="L360" s="6" t="s">
        <v>644</v>
      </c>
    </row>
    <row r="361" spans="1:12" ht="18" customHeight="1" x14ac:dyDescent="0.15">
      <c r="A361" s="5" t="s">
        <v>590</v>
      </c>
      <c r="B361" s="6" t="s">
        <v>653</v>
      </c>
      <c r="C361" s="6" t="s">
        <v>570</v>
      </c>
      <c r="D361" s="6" t="s">
        <v>570</v>
      </c>
      <c r="E361" s="6" t="s">
        <v>645</v>
      </c>
      <c r="F361" s="8"/>
      <c r="G361" s="50"/>
      <c r="H361" s="50"/>
      <c r="I361" s="50"/>
      <c r="J361" s="50"/>
      <c r="K361" s="50"/>
      <c r="L361" s="6" t="s">
        <v>644</v>
      </c>
    </row>
    <row r="362" spans="1:12" ht="18" customHeight="1" x14ac:dyDescent="0.15">
      <c r="A362" s="5" t="s">
        <v>590</v>
      </c>
      <c r="B362" s="6" t="s">
        <v>653</v>
      </c>
      <c r="C362" s="6" t="s">
        <v>570</v>
      </c>
      <c r="D362" s="6" t="s">
        <v>570</v>
      </c>
      <c r="E362" s="6" t="s">
        <v>613</v>
      </c>
      <c r="F362" s="8"/>
      <c r="G362" s="50"/>
      <c r="H362" s="50"/>
      <c r="I362" s="50"/>
      <c r="J362" s="50"/>
      <c r="K362" s="50"/>
      <c r="L362" s="6" t="s">
        <v>644</v>
      </c>
    </row>
    <row r="363" spans="1:12" ht="18" customHeight="1" x14ac:dyDescent="0.15">
      <c r="A363" s="5" t="s">
        <v>590</v>
      </c>
      <c r="B363" s="6" t="s">
        <v>653</v>
      </c>
      <c r="C363" s="6" t="s">
        <v>570</v>
      </c>
      <c r="D363" s="6" t="s">
        <v>570</v>
      </c>
      <c r="E363" s="6" t="s">
        <v>614</v>
      </c>
      <c r="F363" s="8"/>
      <c r="G363" s="50"/>
      <c r="H363" s="50"/>
      <c r="I363" s="50"/>
      <c r="J363" s="50"/>
      <c r="K363" s="50"/>
      <c r="L363" s="6" t="s">
        <v>644</v>
      </c>
    </row>
    <row r="364" spans="1:12" ht="18" customHeight="1" x14ac:dyDescent="0.15">
      <c r="A364" s="5" t="s">
        <v>654</v>
      </c>
      <c r="B364" s="6" t="s">
        <v>615</v>
      </c>
      <c r="C364" s="6" t="s">
        <v>570</v>
      </c>
      <c r="D364" s="6" t="s">
        <v>570</v>
      </c>
      <c r="E364" s="6" t="s">
        <v>655</v>
      </c>
      <c r="F364" s="8">
        <v>7680</v>
      </c>
      <c r="G364" s="50">
        <v>1.6288768728808801E-106</v>
      </c>
      <c r="H364" s="50">
        <v>1.3715654410751899E-106</v>
      </c>
      <c r="I364" s="50">
        <v>0.50393609181994603</v>
      </c>
      <c r="J364" s="50">
        <v>0.42425819710139501</v>
      </c>
      <c r="K364" s="50">
        <v>7.1805711078672896E-2</v>
      </c>
      <c r="L364" s="6" t="s">
        <v>593</v>
      </c>
    </row>
    <row r="365" spans="1:12" ht="18" customHeight="1" x14ac:dyDescent="0.15">
      <c r="A365" s="5" t="s">
        <v>654</v>
      </c>
      <c r="B365" s="6" t="s">
        <v>615</v>
      </c>
      <c r="C365" s="6" t="s">
        <v>570</v>
      </c>
      <c r="D365" s="6" t="s">
        <v>570</v>
      </c>
      <c r="E365" s="6" t="s">
        <v>656</v>
      </c>
      <c r="F365" s="8">
        <v>26</v>
      </c>
      <c r="G365" s="50">
        <v>0.99518382359909197</v>
      </c>
      <c r="H365" s="50">
        <v>2.5558684288349599E-3</v>
      </c>
      <c r="I365" s="50">
        <v>2.0666979510289602E-3</v>
      </c>
      <c r="J365" s="50">
        <v>5.1192804668200002E-6</v>
      </c>
      <c r="K365" s="50">
        <v>1.8849074057673999E-4</v>
      </c>
      <c r="L365" s="6" t="s">
        <v>657</v>
      </c>
    </row>
    <row r="366" spans="1:12" ht="18" customHeight="1" x14ac:dyDescent="0.15">
      <c r="A366" s="5" t="s">
        <v>654</v>
      </c>
      <c r="B366" s="6" t="s">
        <v>647</v>
      </c>
      <c r="C366" s="6" t="s">
        <v>570</v>
      </c>
      <c r="D366" s="6" t="s">
        <v>570</v>
      </c>
      <c r="E366" s="6" t="s">
        <v>655</v>
      </c>
      <c r="F366" s="8">
        <v>803</v>
      </c>
      <c r="G366" s="50">
        <v>2.5808204512619199E-109</v>
      </c>
      <c r="H366" s="50">
        <v>3.2321212397526802E-106</v>
      </c>
      <c r="I366" s="50">
        <v>7.9784946471088999E-4</v>
      </c>
      <c r="J366" s="50">
        <v>0.99919627674884304</v>
      </c>
      <c r="K366" s="50">
        <v>5.8737864488300003E-6</v>
      </c>
      <c r="L366" s="6" t="s">
        <v>593</v>
      </c>
    </row>
    <row r="367" spans="1:12" ht="18" customHeight="1" x14ac:dyDescent="0.15">
      <c r="A367" s="5" t="s">
        <v>654</v>
      </c>
      <c r="B367" s="6" t="s">
        <v>647</v>
      </c>
      <c r="C367" s="6" t="s">
        <v>570</v>
      </c>
      <c r="D367" s="6" t="s">
        <v>570</v>
      </c>
      <c r="E367" s="6" t="s">
        <v>656</v>
      </c>
      <c r="F367" s="8"/>
      <c r="G367" s="50"/>
      <c r="H367" s="50"/>
      <c r="I367" s="50"/>
      <c r="J367" s="50"/>
      <c r="K367" s="50"/>
      <c r="L367" s="6" t="s">
        <v>658</v>
      </c>
    </row>
    <row r="368" spans="1:12" ht="18" customHeight="1" x14ac:dyDescent="0.15">
      <c r="A368" s="5" t="s">
        <v>654</v>
      </c>
      <c r="B368" s="6" t="s">
        <v>649</v>
      </c>
      <c r="C368" s="6" t="s">
        <v>570</v>
      </c>
      <c r="D368" s="6" t="s">
        <v>570</v>
      </c>
      <c r="E368" s="6" t="s">
        <v>655</v>
      </c>
      <c r="F368" s="8">
        <v>7148</v>
      </c>
      <c r="G368" s="50">
        <v>1.01535108456986E-118</v>
      </c>
      <c r="H368" s="50">
        <v>3.2330059807871502E-106</v>
      </c>
      <c r="I368" s="50">
        <v>3.1405000000000001E-13</v>
      </c>
      <c r="J368" s="50">
        <v>0.99999999999965905</v>
      </c>
      <c r="K368" s="50">
        <v>1.2358153974293199E-15</v>
      </c>
      <c r="L368" s="6" t="s">
        <v>593</v>
      </c>
    </row>
    <row r="369" spans="1:12" ht="18" customHeight="1" x14ac:dyDescent="0.15">
      <c r="A369" s="5" t="s">
        <v>654</v>
      </c>
      <c r="B369" s="6" t="s">
        <v>649</v>
      </c>
      <c r="C369" s="6" t="s">
        <v>570</v>
      </c>
      <c r="D369" s="6" t="s">
        <v>570</v>
      </c>
      <c r="E369" s="6" t="s">
        <v>656</v>
      </c>
      <c r="F369" s="8">
        <v>25</v>
      </c>
      <c r="G369" s="50">
        <v>0.99738254312075603</v>
      </c>
      <c r="H369" s="50">
        <v>5.7033223550112002E-4</v>
      </c>
      <c r="I369" s="50">
        <v>2.0123502606346601E-3</v>
      </c>
      <c r="J369" s="50">
        <v>1.1170628629699999E-6</v>
      </c>
      <c r="K369" s="50">
        <v>3.3657320245139997E-5</v>
      </c>
      <c r="L369" s="6" t="s">
        <v>657</v>
      </c>
    </row>
    <row r="370" spans="1:12" ht="18" customHeight="1" x14ac:dyDescent="0.15">
      <c r="A370" s="5" t="s">
        <v>654</v>
      </c>
      <c r="B370" s="6" t="s">
        <v>651</v>
      </c>
      <c r="C370" s="6" t="s">
        <v>570</v>
      </c>
      <c r="D370" s="6" t="s">
        <v>570</v>
      </c>
      <c r="E370" s="6" t="s">
        <v>655</v>
      </c>
      <c r="F370" s="8">
        <v>7676</v>
      </c>
      <c r="G370" s="50">
        <v>3.6792404236989503E-110</v>
      </c>
      <c r="H370" s="50">
        <v>3.231864632887459E-106</v>
      </c>
      <c r="I370" s="50">
        <v>1.1382959442547E-4</v>
      </c>
      <c r="J370" s="50">
        <v>0.99988529618322197</v>
      </c>
      <c r="K370" s="50">
        <v>8.7422236064000003E-7</v>
      </c>
      <c r="L370" s="6" t="s">
        <v>593</v>
      </c>
    </row>
    <row r="371" spans="1:12" ht="18" customHeight="1" x14ac:dyDescent="0.15">
      <c r="A371" s="5" t="s">
        <v>654</v>
      </c>
      <c r="B371" s="6" t="s">
        <v>651</v>
      </c>
      <c r="C371" s="6" t="s">
        <v>570</v>
      </c>
      <c r="D371" s="6" t="s">
        <v>570</v>
      </c>
      <c r="E371" s="6" t="s">
        <v>656</v>
      </c>
      <c r="F371" s="8">
        <v>27</v>
      </c>
      <c r="G371" s="50">
        <v>0.99684027365775096</v>
      </c>
      <c r="H371" s="50">
        <v>9.9768093277744006E-4</v>
      </c>
      <c r="I371" s="50">
        <v>2.12216545416189E-3</v>
      </c>
      <c r="J371" s="50">
        <v>2.0861613328000001E-6</v>
      </c>
      <c r="K371" s="50">
        <v>3.7793793976649999E-5</v>
      </c>
      <c r="L371" s="6" t="s">
        <v>657</v>
      </c>
    </row>
    <row r="372" spans="1:12" ht="18" customHeight="1" x14ac:dyDescent="0.15">
      <c r="A372" s="5" t="s">
        <v>654</v>
      </c>
      <c r="B372" s="6" t="s">
        <v>653</v>
      </c>
      <c r="C372" s="6" t="s">
        <v>570</v>
      </c>
      <c r="D372" s="6" t="s">
        <v>570</v>
      </c>
      <c r="E372" s="6" t="s">
        <v>655</v>
      </c>
      <c r="F372" s="8">
        <v>800</v>
      </c>
      <c r="G372" s="50">
        <v>1.5145860430478199E-117</v>
      </c>
      <c r="H372" s="50">
        <v>3.23473429438286E-106</v>
      </c>
      <c r="I372" s="50">
        <v>4.6822500000000002E-12</v>
      </c>
      <c r="J372" s="50">
        <v>0.999999999995282</v>
      </c>
      <c r="K372" s="50">
        <v>1.8279999999999999E-14</v>
      </c>
      <c r="L372" s="6" t="s">
        <v>593</v>
      </c>
    </row>
    <row r="373" spans="1:12" ht="18" customHeight="1" x14ac:dyDescent="0.15">
      <c r="A373" s="23" t="s">
        <v>654</v>
      </c>
      <c r="B373" s="27" t="s">
        <v>653</v>
      </c>
      <c r="C373" s="27" t="s">
        <v>570</v>
      </c>
      <c r="D373" s="27" t="s">
        <v>570</v>
      </c>
      <c r="E373" s="27" t="s">
        <v>656</v>
      </c>
      <c r="F373" s="25"/>
      <c r="G373" s="52"/>
      <c r="H373" s="52"/>
      <c r="I373" s="52"/>
      <c r="J373" s="52"/>
      <c r="K373" s="52"/>
      <c r="L373" s="27" t="s">
        <v>658</v>
      </c>
    </row>
    <row r="374" spans="1:12" ht="18" customHeight="1" x14ac:dyDescent="0.15"/>
    <row r="375" spans="1:12" ht="96.75" customHeight="1" x14ac:dyDescent="0.15">
      <c r="A375" s="75" t="s">
        <v>659</v>
      </c>
      <c r="B375" s="74"/>
      <c r="C375" s="74"/>
      <c r="D375" s="74"/>
      <c r="E375" s="74"/>
      <c r="F375" s="74"/>
      <c r="G375" s="74"/>
      <c r="H375" s="74"/>
    </row>
  </sheetData>
  <mergeCells count="2">
    <mergeCell ref="A375:H375"/>
    <mergeCell ref="A1:L1"/>
  </mergeCells>
  <phoneticPr fontId="5"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7"/>
  <sheetViews>
    <sheetView workbookViewId="0">
      <selection activeCell="B33" sqref="B33"/>
    </sheetView>
  </sheetViews>
  <sheetFormatPr defaultRowHeight="13.5" x14ac:dyDescent="0.15"/>
  <cols>
    <col min="1" max="1" width="23" customWidth="1"/>
    <col min="2" max="2" width="26" customWidth="1"/>
    <col min="3" max="3" width="17" customWidth="1"/>
    <col min="4" max="4" width="11" customWidth="1"/>
    <col min="5" max="6" width="9" customWidth="1"/>
    <col min="7" max="7" width="13" customWidth="1"/>
    <col min="8" max="8" width="11" customWidth="1"/>
    <col min="9" max="9" width="80" customWidth="1"/>
  </cols>
  <sheetData>
    <row r="1" spans="1:9" ht="18" customHeight="1" x14ac:dyDescent="0.15">
      <c r="A1" s="76" t="s">
        <v>660</v>
      </c>
      <c r="B1" s="74"/>
      <c r="C1" s="74"/>
      <c r="D1" s="74"/>
      <c r="E1" s="74"/>
      <c r="F1" s="74"/>
      <c r="G1" s="74"/>
      <c r="H1" s="74"/>
      <c r="I1" s="74"/>
    </row>
    <row r="2" spans="1:9" ht="18" customHeight="1" x14ac:dyDescent="0.15"/>
    <row r="3" spans="1:9" ht="18" customHeight="1" x14ac:dyDescent="0.15">
      <c r="A3" s="22" t="s">
        <v>661</v>
      </c>
      <c r="B3" s="20" t="s">
        <v>662</v>
      </c>
      <c r="C3" s="20" t="s">
        <v>663</v>
      </c>
      <c r="D3" s="20" t="s">
        <v>664</v>
      </c>
      <c r="E3" s="20" t="s">
        <v>369</v>
      </c>
      <c r="F3" s="20" t="s">
        <v>665</v>
      </c>
      <c r="G3" s="20" t="s">
        <v>666</v>
      </c>
      <c r="H3" s="20" t="s">
        <v>667</v>
      </c>
      <c r="I3" s="20" t="s">
        <v>668</v>
      </c>
    </row>
    <row r="4" spans="1:9" ht="18" customHeight="1" x14ac:dyDescent="0.15">
      <c r="A4" s="5" t="s">
        <v>669</v>
      </c>
      <c r="B4" s="6" t="s">
        <v>670</v>
      </c>
      <c r="C4" s="6" t="s">
        <v>671</v>
      </c>
      <c r="D4" s="8">
        <v>186931889</v>
      </c>
      <c r="E4" s="36">
        <v>-4.8786811384419302</v>
      </c>
      <c r="F4" s="43">
        <v>0.75069430076159904</v>
      </c>
      <c r="G4" s="6"/>
      <c r="H4" s="6"/>
      <c r="I4" s="6"/>
    </row>
    <row r="5" spans="1:9" ht="18" customHeight="1" x14ac:dyDescent="0.15">
      <c r="A5" s="5" t="s">
        <v>669</v>
      </c>
      <c r="B5" s="6" t="s">
        <v>670</v>
      </c>
      <c r="C5" s="6" t="s">
        <v>672</v>
      </c>
      <c r="D5" s="8">
        <v>186931894</v>
      </c>
      <c r="E5" s="36">
        <v>-4.8786613772558596</v>
      </c>
      <c r="F5" s="43">
        <v>0.74930474618369303</v>
      </c>
      <c r="G5" s="6"/>
      <c r="H5" s="6"/>
      <c r="I5" s="6"/>
    </row>
    <row r="6" spans="1:9" ht="18" customHeight="1" x14ac:dyDescent="0.15">
      <c r="A6" s="5" t="s">
        <v>669</v>
      </c>
      <c r="B6" s="6" t="s">
        <v>673</v>
      </c>
      <c r="C6" s="6" t="s">
        <v>674</v>
      </c>
      <c r="D6" s="8">
        <v>186933001</v>
      </c>
      <c r="E6" s="36">
        <v>4.8829387327665801</v>
      </c>
      <c r="F6" s="43">
        <v>1</v>
      </c>
      <c r="G6" s="6" t="s">
        <v>675</v>
      </c>
      <c r="H6" s="6" t="s">
        <v>676</v>
      </c>
      <c r="I6" s="30" t="s">
        <v>677</v>
      </c>
    </row>
    <row r="7" spans="1:9" ht="18" customHeight="1" x14ac:dyDescent="0.15">
      <c r="A7" s="5" t="s">
        <v>669</v>
      </c>
      <c r="B7" s="6" t="s">
        <v>678</v>
      </c>
      <c r="C7" s="6" t="s">
        <v>679</v>
      </c>
      <c r="D7" s="8">
        <v>186941996</v>
      </c>
      <c r="E7" s="36">
        <v>-5.3118914040522904</v>
      </c>
      <c r="F7" s="43">
        <v>1</v>
      </c>
      <c r="G7" s="6"/>
      <c r="H7" s="6"/>
      <c r="I7" s="6"/>
    </row>
    <row r="8" spans="1:9" ht="18" customHeight="1" x14ac:dyDescent="0.15">
      <c r="A8" s="5" t="s">
        <v>680</v>
      </c>
      <c r="B8" s="6" t="s">
        <v>681</v>
      </c>
      <c r="C8" s="6" t="s">
        <v>682</v>
      </c>
      <c r="D8" s="8">
        <v>186922899</v>
      </c>
      <c r="E8" s="36">
        <v>4.3909085708332301</v>
      </c>
      <c r="F8" s="43">
        <v>1</v>
      </c>
      <c r="G8" s="6"/>
      <c r="H8" s="6"/>
      <c r="I8" s="6"/>
    </row>
    <row r="9" spans="1:9" ht="18" customHeight="1" x14ac:dyDescent="0.15">
      <c r="A9" s="5" t="s">
        <v>680</v>
      </c>
      <c r="B9" s="6" t="s">
        <v>683</v>
      </c>
      <c r="C9" s="6" t="s">
        <v>684</v>
      </c>
      <c r="D9" s="8">
        <v>186926674</v>
      </c>
      <c r="E9" s="36">
        <v>-4.5557592227866399</v>
      </c>
      <c r="F9" s="43">
        <v>0.999999999999996</v>
      </c>
      <c r="G9" s="6"/>
      <c r="H9" s="6"/>
      <c r="I9" s="6"/>
    </row>
    <row r="10" spans="1:9" ht="18" customHeight="1" x14ac:dyDescent="0.15">
      <c r="A10" s="5" t="s">
        <v>680</v>
      </c>
      <c r="B10" s="6" t="s">
        <v>685</v>
      </c>
      <c r="C10" s="6" t="s">
        <v>671</v>
      </c>
      <c r="D10" s="8">
        <v>186931889</v>
      </c>
      <c r="E10" s="36">
        <v>-5.78784936309511</v>
      </c>
      <c r="F10" s="43">
        <v>0.5</v>
      </c>
      <c r="G10" s="6"/>
      <c r="H10" s="6"/>
      <c r="I10" s="6"/>
    </row>
    <row r="11" spans="1:9" ht="18" customHeight="1" x14ac:dyDescent="0.15">
      <c r="A11" s="5" t="s">
        <v>680</v>
      </c>
      <c r="B11" s="6" t="s">
        <v>685</v>
      </c>
      <c r="C11" s="6" t="s">
        <v>672</v>
      </c>
      <c r="D11" s="8">
        <v>186931894</v>
      </c>
      <c r="E11" s="36">
        <v>-5.78784936309511</v>
      </c>
      <c r="F11" s="43">
        <v>0.5</v>
      </c>
      <c r="G11" s="6"/>
      <c r="H11" s="6"/>
      <c r="I11" s="6"/>
    </row>
    <row r="12" spans="1:9" ht="18" customHeight="1" x14ac:dyDescent="0.15">
      <c r="A12" s="5" t="s">
        <v>680</v>
      </c>
      <c r="B12" s="6" t="s">
        <v>686</v>
      </c>
      <c r="C12" s="6" t="s">
        <v>674</v>
      </c>
      <c r="D12" s="8">
        <v>186933001</v>
      </c>
      <c r="E12" s="36">
        <v>5.5476697744694103</v>
      </c>
      <c r="F12" s="43">
        <v>1</v>
      </c>
      <c r="G12" s="6" t="s">
        <v>675</v>
      </c>
      <c r="H12" s="6" t="s">
        <v>676</v>
      </c>
      <c r="I12" s="30" t="s">
        <v>677</v>
      </c>
    </row>
    <row r="13" spans="1:9" ht="18" customHeight="1" x14ac:dyDescent="0.15">
      <c r="A13" s="5" t="s">
        <v>680</v>
      </c>
      <c r="B13" s="6" t="s">
        <v>687</v>
      </c>
      <c r="C13" s="6" t="s">
        <v>688</v>
      </c>
      <c r="D13" s="8">
        <v>186941077</v>
      </c>
      <c r="E13" s="36">
        <v>5.2531508204003901</v>
      </c>
      <c r="F13" s="43">
        <v>1</v>
      </c>
      <c r="G13" s="6"/>
      <c r="H13" s="6"/>
      <c r="I13" s="6"/>
    </row>
    <row r="14" spans="1:9" ht="18" customHeight="1" x14ac:dyDescent="0.15">
      <c r="A14" s="5" t="s">
        <v>689</v>
      </c>
      <c r="B14" s="6" t="s">
        <v>690</v>
      </c>
      <c r="C14" s="6" t="s">
        <v>691</v>
      </c>
      <c r="D14" s="8">
        <v>186907279</v>
      </c>
      <c r="E14" s="36">
        <v>5.1263528784844103</v>
      </c>
      <c r="F14" s="43">
        <v>0.99999859402541402</v>
      </c>
      <c r="G14" s="6"/>
      <c r="H14" s="6"/>
      <c r="I14" s="6"/>
    </row>
    <row r="15" spans="1:9" ht="18" customHeight="1" x14ac:dyDescent="0.15">
      <c r="A15" s="5" t="s">
        <v>689</v>
      </c>
      <c r="B15" s="6" t="s">
        <v>692</v>
      </c>
      <c r="C15" s="6" t="s">
        <v>682</v>
      </c>
      <c r="D15" s="8">
        <v>186922899</v>
      </c>
      <c r="E15" s="36">
        <v>5.2447190440355298</v>
      </c>
      <c r="F15" s="43">
        <v>1</v>
      </c>
      <c r="G15" s="6"/>
      <c r="H15" s="6"/>
      <c r="I15" s="6"/>
    </row>
    <row r="16" spans="1:9" ht="18" customHeight="1" x14ac:dyDescent="0.15">
      <c r="A16" s="5" t="s">
        <v>689</v>
      </c>
      <c r="B16" s="6" t="s">
        <v>693</v>
      </c>
      <c r="C16" s="6" t="s">
        <v>694</v>
      </c>
      <c r="D16" s="8">
        <v>186924322</v>
      </c>
      <c r="E16" s="36">
        <v>-5.2447190440355298</v>
      </c>
      <c r="F16" s="43">
        <v>1</v>
      </c>
      <c r="G16" s="6"/>
      <c r="H16" s="6"/>
      <c r="I16" s="6"/>
    </row>
    <row r="17" spans="1:9" ht="18" customHeight="1" x14ac:dyDescent="0.15">
      <c r="A17" s="5" t="s">
        <v>695</v>
      </c>
      <c r="B17" s="6" t="s">
        <v>696</v>
      </c>
      <c r="C17" s="6" t="s">
        <v>697</v>
      </c>
      <c r="D17" s="8">
        <v>39670772</v>
      </c>
      <c r="E17" s="36">
        <v>-11.1800302571861</v>
      </c>
      <c r="F17" s="43">
        <v>0.98740866714907505</v>
      </c>
      <c r="G17" s="6"/>
      <c r="H17" s="6"/>
      <c r="I17" s="6"/>
    </row>
    <row r="18" spans="1:9" ht="18" customHeight="1" x14ac:dyDescent="0.15">
      <c r="A18" s="5" t="s">
        <v>695</v>
      </c>
      <c r="B18" s="6" t="s">
        <v>698</v>
      </c>
      <c r="C18" s="6" t="s">
        <v>699</v>
      </c>
      <c r="D18" s="8">
        <v>39683309</v>
      </c>
      <c r="E18" s="36">
        <v>-10.4125919869174</v>
      </c>
      <c r="F18" s="43">
        <v>0.12706087823249901</v>
      </c>
      <c r="G18" s="6"/>
      <c r="H18" s="6"/>
      <c r="I18" s="6"/>
    </row>
    <row r="19" spans="1:9" ht="18" customHeight="1" x14ac:dyDescent="0.15">
      <c r="A19" s="5" t="s">
        <v>695</v>
      </c>
      <c r="B19" s="6" t="s">
        <v>698</v>
      </c>
      <c r="C19" s="6" t="s">
        <v>700</v>
      </c>
      <c r="D19" s="8">
        <v>39683882</v>
      </c>
      <c r="E19" s="36">
        <v>-10.4457072771872</v>
      </c>
      <c r="F19" s="43">
        <v>0.14404065870789801</v>
      </c>
      <c r="G19" s="6"/>
      <c r="H19" s="6"/>
      <c r="I19" s="6"/>
    </row>
    <row r="20" spans="1:9" ht="18" customHeight="1" x14ac:dyDescent="0.15">
      <c r="A20" s="5" t="s">
        <v>695</v>
      </c>
      <c r="B20" s="6" t="s">
        <v>698</v>
      </c>
      <c r="C20" s="6" t="s">
        <v>701</v>
      </c>
      <c r="D20" s="8">
        <v>39684411</v>
      </c>
      <c r="E20" s="36">
        <v>-10.431398201144701</v>
      </c>
      <c r="F20" s="43">
        <v>0.13640860611677699</v>
      </c>
      <c r="G20" s="6"/>
      <c r="H20" s="6"/>
      <c r="I20" s="6"/>
    </row>
    <row r="21" spans="1:9" ht="18" customHeight="1" x14ac:dyDescent="0.15">
      <c r="A21" s="5" t="s">
        <v>695</v>
      </c>
      <c r="B21" s="6" t="s">
        <v>698</v>
      </c>
      <c r="C21" s="6" t="s">
        <v>702</v>
      </c>
      <c r="D21" s="8">
        <v>39694299</v>
      </c>
      <c r="E21" s="36">
        <v>-9.2336398277004594</v>
      </c>
      <c r="F21" s="43">
        <v>0.33538017263855502</v>
      </c>
      <c r="G21" s="6"/>
      <c r="H21" s="6"/>
      <c r="I21" s="6"/>
    </row>
    <row r="22" spans="1:9" ht="18" customHeight="1" x14ac:dyDescent="0.15">
      <c r="A22" s="5" t="s">
        <v>695</v>
      </c>
      <c r="B22" s="6" t="s">
        <v>698</v>
      </c>
      <c r="C22" s="6" t="s">
        <v>703</v>
      </c>
      <c r="D22" s="8">
        <v>39697333</v>
      </c>
      <c r="E22" s="36">
        <v>-9.0347970173985104</v>
      </c>
      <c r="F22" s="43">
        <v>0.20535415053060499</v>
      </c>
      <c r="G22" s="6"/>
      <c r="H22" s="6"/>
      <c r="I22" s="6"/>
    </row>
    <row r="23" spans="1:9" ht="18" customHeight="1" x14ac:dyDescent="0.15">
      <c r="A23" s="5" t="s">
        <v>695</v>
      </c>
      <c r="B23" s="6" t="s">
        <v>698</v>
      </c>
      <c r="C23" s="6" t="s">
        <v>704</v>
      </c>
      <c r="D23" s="8">
        <v>39698266</v>
      </c>
      <c r="E23" s="36">
        <v>-8.9118413972931592</v>
      </c>
      <c r="F23" s="43">
        <v>0.108997462693599</v>
      </c>
      <c r="G23" s="6"/>
      <c r="H23" s="6"/>
      <c r="I23" s="6"/>
    </row>
    <row r="24" spans="1:9" ht="18" customHeight="1" x14ac:dyDescent="0.15">
      <c r="A24" s="5" t="s">
        <v>705</v>
      </c>
      <c r="B24" s="6" t="s">
        <v>706</v>
      </c>
      <c r="C24" s="6" t="s">
        <v>707</v>
      </c>
      <c r="D24" s="8">
        <v>39598257</v>
      </c>
      <c r="E24" s="36">
        <v>3.6611660572369198</v>
      </c>
      <c r="F24" s="43">
        <v>0.963283476241102</v>
      </c>
      <c r="G24" s="6"/>
      <c r="H24" s="6"/>
      <c r="I24" s="6"/>
    </row>
    <row r="25" spans="1:9" ht="18" customHeight="1" x14ac:dyDescent="0.15">
      <c r="A25" s="23" t="s">
        <v>705</v>
      </c>
      <c r="B25" s="27" t="s">
        <v>708</v>
      </c>
      <c r="C25" s="27" t="s">
        <v>709</v>
      </c>
      <c r="D25" s="25">
        <v>39640448</v>
      </c>
      <c r="E25" s="58">
        <v>3.1302882475828202</v>
      </c>
      <c r="F25" s="45">
        <v>0.97593184472637196</v>
      </c>
      <c r="G25" s="27"/>
      <c r="H25" s="27"/>
      <c r="I25" s="27"/>
    </row>
    <row r="26" spans="1:9" ht="18" customHeight="1" x14ac:dyDescent="0.15"/>
    <row r="27" spans="1:9" ht="99.75" customHeight="1" x14ac:dyDescent="0.15">
      <c r="A27" s="75" t="s">
        <v>710</v>
      </c>
      <c r="B27" s="74"/>
      <c r="C27" s="74"/>
      <c r="D27" s="74"/>
      <c r="E27" s="74"/>
      <c r="F27" s="74"/>
      <c r="G27" s="74"/>
      <c r="H27" s="74"/>
    </row>
  </sheetData>
  <mergeCells count="2">
    <mergeCell ref="A1:I1"/>
    <mergeCell ref="A27:H27"/>
  </mergeCells>
  <phoneticPr fontId="5"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265"/>
  <sheetViews>
    <sheetView topLeftCell="A241" workbookViewId="0">
      <selection activeCell="C3" sqref="C3"/>
    </sheetView>
  </sheetViews>
  <sheetFormatPr defaultRowHeight="13.5" x14ac:dyDescent="0.15"/>
  <cols>
    <col min="1" max="1" width="19" customWidth="1"/>
    <col min="2" max="2" width="10" customWidth="1"/>
    <col min="3" max="3" width="17.875" customWidth="1"/>
    <col min="4" max="4" width="19" customWidth="1"/>
    <col min="5" max="5" width="7" customWidth="1"/>
    <col min="6" max="7" width="11" customWidth="1"/>
    <col min="8" max="8" width="9" customWidth="1"/>
    <col min="9" max="9" width="10" customWidth="1"/>
    <col min="10" max="10" width="16" customWidth="1"/>
    <col min="11" max="11" width="15" customWidth="1"/>
    <col min="12" max="15" width="15.5" customWidth="1"/>
    <col min="16" max="16" width="10" customWidth="1"/>
  </cols>
  <sheetData>
    <row r="1" spans="1:16" ht="18" customHeight="1" x14ac:dyDescent="0.15">
      <c r="A1" s="76" t="s">
        <v>711</v>
      </c>
      <c r="B1" s="74"/>
      <c r="C1" s="74"/>
      <c r="D1" s="74"/>
      <c r="E1" s="74"/>
      <c r="F1" s="74"/>
      <c r="G1" s="74"/>
      <c r="H1" s="74"/>
      <c r="I1" s="74"/>
      <c r="J1" s="74"/>
      <c r="K1" s="74"/>
      <c r="L1" s="74"/>
      <c r="M1" s="74"/>
      <c r="N1" s="74"/>
      <c r="O1" s="74"/>
      <c r="P1" s="74"/>
    </row>
    <row r="2" spans="1:16" ht="18" customHeight="1" x14ac:dyDescent="0.15"/>
    <row r="3" spans="1:16" ht="18" customHeight="1" x14ac:dyDescent="0.15">
      <c r="A3" s="22" t="s">
        <v>712</v>
      </c>
      <c r="B3" s="20" t="s">
        <v>581</v>
      </c>
      <c r="C3" s="20" t="s">
        <v>713</v>
      </c>
      <c r="D3" s="20" t="s">
        <v>714</v>
      </c>
      <c r="E3" s="20" t="s">
        <v>557</v>
      </c>
      <c r="F3" s="20" t="s">
        <v>715</v>
      </c>
      <c r="G3" s="20" t="s">
        <v>716</v>
      </c>
      <c r="H3" s="20" t="s">
        <v>717</v>
      </c>
      <c r="I3" s="20" t="s">
        <v>718</v>
      </c>
      <c r="J3" s="20" t="s">
        <v>719</v>
      </c>
      <c r="K3" s="20" t="s">
        <v>720</v>
      </c>
      <c r="L3" s="20" t="s">
        <v>721</v>
      </c>
      <c r="M3" s="20" t="s">
        <v>722</v>
      </c>
      <c r="N3" s="20" t="s">
        <v>723</v>
      </c>
      <c r="O3" s="20" t="s">
        <v>724</v>
      </c>
      <c r="P3" s="20" t="s">
        <v>725</v>
      </c>
    </row>
    <row r="4" spans="1:16" ht="18" customHeight="1" x14ac:dyDescent="0.15">
      <c r="A4" s="5" t="s">
        <v>726</v>
      </c>
      <c r="B4" s="6" t="s">
        <v>572</v>
      </c>
      <c r="C4" s="6" t="s">
        <v>727</v>
      </c>
      <c r="D4" s="6" t="s">
        <v>728</v>
      </c>
      <c r="E4" s="6" t="s">
        <v>729</v>
      </c>
      <c r="F4" s="8">
        <v>38912949</v>
      </c>
      <c r="G4" s="8">
        <v>38913080</v>
      </c>
      <c r="H4" s="43">
        <v>1.43294896070774E-2</v>
      </c>
      <c r="I4" s="6">
        <v>29</v>
      </c>
      <c r="J4" s="50">
        <v>0.19485710959376601</v>
      </c>
      <c r="K4" s="8"/>
      <c r="L4" s="6" t="s">
        <v>730</v>
      </c>
      <c r="M4" s="6" t="s">
        <v>730</v>
      </c>
      <c r="N4" s="6" t="s">
        <v>730</v>
      </c>
      <c r="O4" s="6" t="s">
        <v>730</v>
      </c>
      <c r="P4" s="6" t="s">
        <v>731</v>
      </c>
    </row>
    <row r="5" spans="1:16" ht="18" customHeight="1" x14ac:dyDescent="0.15">
      <c r="A5" s="5" t="s">
        <v>726</v>
      </c>
      <c r="B5" s="6" t="s">
        <v>572</v>
      </c>
      <c r="C5" s="6" t="s">
        <v>727</v>
      </c>
      <c r="D5" s="6" t="s">
        <v>732</v>
      </c>
      <c r="E5" s="6" t="s">
        <v>729</v>
      </c>
      <c r="F5" s="8">
        <v>39209015</v>
      </c>
      <c r="G5" s="8">
        <v>39209162</v>
      </c>
      <c r="H5" s="43">
        <v>1.4068420116718E-2</v>
      </c>
      <c r="I5" s="6">
        <v>34</v>
      </c>
      <c r="J5" s="50">
        <v>0.13427692927895801</v>
      </c>
      <c r="K5" s="8"/>
      <c r="L5" s="6" t="s">
        <v>730</v>
      </c>
      <c r="M5" s="6" t="s">
        <v>730</v>
      </c>
      <c r="N5" s="6" t="s">
        <v>730</v>
      </c>
      <c r="O5" s="6" t="s">
        <v>730</v>
      </c>
      <c r="P5" s="6" t="s">
        <v>731</v>
      </c>
    </row>
    <row r="6" spans="1:16" ht="18" customHeight="1" x14ac:dyDescent="0.15">
      <c r="A6" s="5" t="s">
        <v>726</v>
      </c>
      <c r="B6" s="6" t="s">
        <v>572</v>
      </c>
      <c r="C6" s="6" t="s">
        <v>727</v>
      </c>
      <c r="D6" s="6" t="s">
        <v>733</v>
      </c>
      <c r="E6" s="6" t="s">
        <v>729</v>
      </c>
      <c r="F6" s="8">
        <v>39345780</v>
      </c>
      <c r="G6" s="8">
        <v>39345980</v>
      </c>
      <c r="H6" s="43">
        <v>2.8053827010668199E-2</v>
      </c>
      <c r="I6" s="6">
        <v>21</v>
      </c>
      <c r="J6" s="50">
        <v>0.36474304227588999</v>
      </c>
      <c r="K6" s="8"/>
      <c r="L6" s="6" t="s">
        <v>730</v>
      </c>
      <c r="M6" s="6" t="s">
        <v>730</v>
      </c>
      <c r="N6" s="6" t="s">
        <v>730</v>
      </c>
      <c r="O6" s="6" t="s">
        <v>730</v>
      </c>
      <c r="P6" s="6" t="s">
        <v>731</v>
      </c>
    </row>
    <row r="7" spans="1:16" ht="18" customHeight="1" x14ac:dyDescent="0.15">
      <c r="A7" s="5" t="s">
        <v>726</v>
      </c>
      <c r="B7" s="6" t="s">
        <v>572</v>
      </c>
      <c r="C7" s="6" t="s">
        <v>727</v>
      </c>
      <c r="D7" s="6" t="s">
        <v>734</v>
      </c>
      <c r="E7" s="6" t="s">
        <v>729</v>
      </c>
      <c r="F7" s="8">
        <v>39523520</v>
      </c>
      <c r="G7" s="8">
        <v>39523706</v>
      </c>
      <c r="H7" s="43">
        <v>4.2223329727466299E-2</v>
      </c>
      <c r="I7" s="6">
        <v>14</v>
      </c>
      <c r="J7" s="50">
        <v>0.48870925562147999</v>
      </c>
      <c r="K7" s="8"/>
      <c r="L7" s="6" t="s">
        <v>730</v>
      </c>
      <c r="M7" s="6" t="s">
        <v>730</v>
      </c>
      <c r="N7" s="6" t="s">
        <v>730</v>
      </c>
      <c r="O7" s="6" t="s">
        <v>730</v>
      </c>
      <c r="P7" s="6" t="s">
        <v>731</v>
      </c>
    </row>
    <row r="8" spans="1:16" ht="18" customHeight="1" x14ac:dyDescent="0.15">
      <c r="A8" s="5" t="s">
        <v>726</v>
      </c>
      <c r="B8" s="6" t="s">
        <v>572</v>
      </c>
      <c r="C8" s="6" t="s">
        <v>727</v>
      </c>
      <c r="D8" s="6" t="s">
        <v>735</v>
      </c>
      <c r="E8" s="6" t="s">
        <v>729</v>
      </c>
      <c r="F8" s="8">
        <v>39527230</v>
      </c>
      <c r="G8" s="8">
        <v>39528000</v>
      </c>
      <c r="H8" s="43">
        <v>9.8397218264066194E-2</v>
      </c>
      <c r="I8" s="6">
        <v>8</v>
      </c>
      <c r="J8" s="50">
        <v>0.690338813557408</v>
      </c>
      <c r="K8" s="8"/>
      <c r="L8" s="6" t="s">
        <v>730</v>
      </c>
      <c r="M8" s="6" t="s">
        <v>730</v>
      </c>
      <c r="N8" s="6" t="s">
        <v>730</v>
      </c>
      <c r="O8" s="6" t="s">
        <v>730</v>
      </c>
      <c r="P8" s="6" t="s">
        <v>731</v>
      </c>
    </row>
    <row r="9" spans="1:16" ht="18" customHeight="1" x14ac:dyDescent="0.15">
      <c r="A9" s="5" t="s">
        <v>726</v>
      </c>
      <c r="B9" s="6" t="s">
        <v>572</v>
      </c>
      <c r="C9" s="6" t="s">
        <v>727</v>
      </c>
      <c r="D9" s="6" t="s">
        <v>736</v>
      </c>
      <c r="E9" s="6" t="s">
        <v>729</v>
      </c>
      <c r="F9" s="8">
        <v>39527818</v>
      </c>
      <c r="G9" s="8">
        <v>39528000</v>
      </c>
      <c r="H9" s="43">
        <v>8.4931642963336093E-2</v>
      </c>
      <c r="I9" s="6">
        <v>10</v>
      </c>
      <c r="J9" s="50">
        <v>0.65931761175408599</v>
      </c>
      <c r="K9" s="8"/>
      <c r="L9" s="6" t="s">
        <v>730</v>
      </c>
      <c r="M9" s="6" t="s">
        <v>730</v>
      </c>
      <c r="N9" s="6" t="s">
        <v>730</v>
      </c>
      <c r="O9" s="6" t="s">
        <v>730</v>
      </c>
      <c r="P9" s="6" t="s">
        <v>731</v>
      </c>
    </row>
    <row r="10" spans="1:16" ht="18" customHeight="1" x14ac:dyDescent="0.15">
      <c r="A10" s="5" t="s">
        <v>726</v>
      </c>
      <c r="B10" s="6" t="s">
        <v>572</v>
      </c>
      <c r="C10" s="6" t="s">
        <v>727</v>
      </c>
      <c r="D10" s="6" t="s">
        <v>737</v>
      </c>
      <c r="E10" s="6" t="s">
        <v>729</v>
      </c>
      <c r="F10" s="8">
        <v>39528080</v>
      </c>
      <c r="G10" s="8">
        <v>39528360</v>
      </c>
      <c r="H10" s="43">
        <v>0.11600483036958301</v>
      </c>
      <c r="I10" s="6">
        <v>2</v>
      </c>
      <c r="J10" s="50">
        <v>0.72746434147388295</v>
      </c>
      <c r="K10" s="8"/>
      <c r="L10" s="6" t="s">
        <v>730</v>
      </c>
      <c r="M10" s="6" t="s">
        <v>730</v>
      </c>
      <c r="N10" s="6" t="s">
        <v>730</v>
      </c>
      <c r="O10" s="6" t="s">
        <v>730</v>
      </c>
      <c r="P10" s="6" t="s">
        <v>731</v>
      </c>
    </row>
    <row r="11" spans="1:16" ht="18" customHeight="1" x14ac:dyDescent="0.15">
      <c r="A11" s="5" t="s">
        <v>726</v>
      </c>
      <c r="B11" s="6" t="s">
        <v>572</v>
      </c>
      <c r="C11" s="6" t="s">
        <v>727</v>
      </c>
      <c r="D11" s="6" t="s">
        <v>738</v>
      </c>
      <c r="E11" s="6" t="s">
        <v>729</v>
      </c>
      <c r="F11" s="8">
        <v>39528340</v>
      </c>
      <c r="G11" s="8">
        <v>39528524</v>
      </c>
      <c r="H11" s="43">
        <v>5.0332161096426201E-2</v>
      </c>
      <c r="I11" s="6">
        <v>12</v>
      </c>
      <c r="J11" s="50">
        <v>0.54663953632838602</v>
      </c>
      <c r="K11" s="8"/>
      <c r="L11" s="6" t="s">
        <v>730</v>
      </c>
      <c r="M11" s="6" t="s">
        <v>730</v>
      </c>
      <c r="N11" s="6" t="s">
        <v>730</v>
      </c>
      <c r="O11" s="6" t="s">
        <v>730</v>
      </c>
      <c r="P11" s="6" t="s">
        <v>731</v>
      </c>
    </row>
    <row r="12" spans="1:16" ht="18" customHeight="1" x14ac:dyDescent="0.15">
      <c r="A12" s="5" t="s">
        <v>726</v>
      </c>
      <c r="B12" s="6" t="s">
        <v>572</v>
      </c>
      <c r="C12" s="6" t="s">
        <v>727</v>
      </c>
      <c r="D12" s="6" t="s">
        <v>739</v>
      </c>
      <c r="E12" s="6" t="s">
        <v>729</v>
      </c>
      <c r="F12" s="8">
        <v>39537640</v>
      </c>
      <c r="G12" s="8">
        <v>39537920</v>
      </c>
      <c r="H12" s="43">
        <v>3.0027410158744199E-2</v>
      </c>
      <c r="I12" s="6">
        <v>16</v>
      </c>
      <c r="J12" s="50">
        <v>0.43714915980806002</v>
      </c>
      <c r="K12" s="8"/>
      <c r="L12" s="6" t="s">
        <v>730</v>
      </c>
      <c r="M12" s="6" t="s">
        <v>730</v>
      </c>
      <c r="N12" s="6" t="s">
        <v>730</v>
      </c>
      <c r="O12" s="6" t="s">
        <v>730</v>
      </c>
      <c r="P12" s="6" t="s">
        <v>731</v>
      </c>
    </row>
    <row r="13" spans="1:16" ht="18" customHeight="1" x14ac:dyDescent="0.15">
      <c r="A13" s="5" t="s">
        <v>726</v>
      </c>
      <c r="B13" s="6" t="s">
        <v>572</v>
      </c>
      <c r="C13" s="6" t="s">
        <v>727</v>
      </c>
      <c r="D13" s="6" t="s">
        <v>740</v>
      </c>
      <c r="E13" s="6" t="s">
        <v>729</v>
      </c>
      <c r="F13" s="8">
        <v>39538732</v>
      </c>
      <c r="G13" s="8">
        <v>39538940</v>
      </c>
      <c r="H13" s="43">
        <v>1.5764318979703498E-2</v>
      </c>
      <c r="I13" s="6">
        <v>24</v>
      </c>
      <c r="J13" s="50">
        <v>0.30103641483353</v>
      </c>
      <c r="K13" s="8"/>
      <c r="L13" s="6" t="s">
        <v>730</v>
      </c>
      <c r="M13" s="6" t="s">
        <v>730</v>
      </c>
      <c r="N13" s="6" t="s">
        <v>730</v>
      </c>
      <c r="O13" s="6" t="s">
        <v>730</v>
      </c>
      <c r="P13" s="6" t="s">
        <v>731</v>
      </c>
    </row>
    <row r="14" spans="1:16" ht="18" customHeight="1" x14ac:dyDescent="0.15">
      <c r="A14" s="5" t="s">
        <v>726</v>
      </c>
      <c r="B14" s="6" t="s">
        <v>572</v>
      </c>
      <c r="C14" s="6" t="s">
        <v>727</v>
      </c>
      <c r="D14" s="6" t="s">
        <v>741</v>
      </c>
      <c r="E14" s="6" t="s">
        <v>729</v>
      </c>
      <c r="F14" s="8">
        <v>39556277</v>
      </c>
      <c r="G14" s="8">
        <v>39556460</v>
      </c>
      <c r="H14" s="43">
        <v>1.4430793432089001E-2</v>
      </c>
      <c r="I14" s="6">
        <v>28</v>
      </c>
      <c r="J14" s="50">
        <v>0.21153757601084999</v>
      </c>
      <c r="K14" s="8"/>
      <c r="L14" s="6" t="s">
        <v>730</v>
      </c>
      <c r="M14" s="6" t="s">
        <v>730</v>
      </c>
      <c r="N14" s="6" t="s">
        <v>730</v>
      </c>
      <c r="O14" s="6" t="s">
        <v>730</v>
      </c>
      <c r="P14" s="6" t="s">
        <v>731</v>
      </c>
    </row>
    <row r="15" spans="1:16" ht="18" customHeight="1" x14ac:dyDescent="0.15">
      <c r="A15" s="5" t="s">
        <v>726</v>
      </c>
      <c r="B15" s="6" t="s">
        <v>572</v>
      </c>
      <c r="C15" s="6" t="s">
        <v>727</v>
      </c>
      <c r="D15" s="6" t="s">
        <v>742</v>
      </c>
      <c r="E15" s="6" t="s">
        <v>729</v>
      </c>
      <c r="F15" s="8">
        <v>39601040</v>
      </c>
      <c r="G15" s="8">
        <v>39601460</v>
      </c>
      <c r="H15" s="43">
        <v>1.39125872116822E-2</v>
      </c>
      <c r="I15" s="6">
        <v>36</v>
      </c>
      <c r="J15" s="50">
        <v>8.1415341789264406E-2</v>
      </c>
      <c r="K15" s="8"/>
      <c r="L15" s="6" t="s">
        <v>730</v>
      </c>
      <c r="M15" s="6" t="s">
        <v>730</v>
      </c>
      <c r="N15" s="6" t="s">
        <v>730</v>
      </c>
      <c r="O15" s="6" t="s">
        <v>730</v>
      </c>
      <c r="P15" s="6" t="s">
        <v>731</v>
      </c>
    </row>
    <row r="16" spans="1:16" ht="18" customHeight="1" x14ac:dyDescent="0.15">
      <c r="A16" s="5" t="s">
        <v>726</v>
      </c>
      <c r="B16" s="6" t="s">
        <v>572</v>
      </c>
      <c r="C16" s="6" t="s">
        <v>727</v>
      </c>
      <c r="D16" s="6" t="s">
        <v>743</v>
      </c>
      <c r="E16" s="6" t="s">
        <v>729</v>
      </c>
      <c r="F16" s="8">
        <v>39609940</v>
      </c>
      <c r="G16" s="8">
        <v>39610120</v>
      </c>
      <c r="H16" s="43">
        <v>2.85066515207291E-2</v>
      </c>
      <c r="I16" s="6">
        <v>19</v>
      </c>
      <c r="J16" s="50">
        <v>0.39179156671621801</v>
      </c>
      <c r="K16" s="8"/>
      <c r="L16" s="6" t="s">
        <v>730</v>
      </c>
      <c r="M16" s="6" t="s">
        <v>730</v>
      </c>
      <c r="N16" s="6" t="s">
        <v>730</v>
      </c>
      <c r="O16" s="6" t="s">
        <v>730</v>
      </c>
      <c r="P16" s="6" t="s">
        <v>731</v>
      </c>
    </row>
    <row r="17" spans="1:16" ht="18" customHeight="1" x14ac:dyDescent="0.15">
      <c r="A17" s="5" t="s">
        <v>726</v>
      </c>
      <c r="B17" s="6" t="s">
        <v>572</v>
      </c>
      <c r="C17" s="6" t="s">
        <v>727</v>
      </c>
      <c r="D17" s="6" t="s">
        <v>744</v>
      </c>
      <c r="E17" s="6" t="s">
        <v>729</v>
      </c>
      <c r="F17" s="8">
        <v>39610500</v>
      </c>
      <c r="G17" s="8">
        <v>39610620</v>
      </c>
      <c r="H17" s="43">
        <v>4.3070892875011202E-2</v>
      </c>
      <c r="I17" s="6">
        <v>13</v>
      </c>
      <c r="J17" s="50">
        <v>0.50736715531973897</v>
      </c>
      <c r="K17" s="8"/>
      <c r="L17" s="6" t="s">
        <v>730</v>
      </c>
      <c r="M17" s="6" t="s">
        <v>730</v>
      </c>
      <c r="N17" s="6" t="s">
        <v>730</v>
      </c>
      <c r="O17" s="6" t="s">
        <v>730</v>
      </c>
      <c r="P17" s="6" t="s">
        <v>731</v>
      </c>
    </row>
    <row r="18" spans="1:16" ht="18" customHeight="1" x14ac:dyDescent="0.15">
      <c r="A18" s="5" t="s">
        <v>726</v>
      </c>
      <c r="B18" s="6" t="s">
        <v>572</v>
      </c>
      <c r="C18" s="6" t="s">
        <v>727</v>
      </c>
      <c r="D18" s="6" t="s">
        <v>745</v>
      </c>
      <c r="E18" s="6" t="s">
        <v>729</v>
      </c>
      <c r="F18" s="8">
        <v>39610796</v>
      </c>
      <c r="G18" s="8">
        <v>39610981</v>
      </c>
      <c r="H18" s="43">
        <v>2.8264684172776999E-2</v>
      </c>
      <c r="I18" s="6">
        <v>20</v>
      </c>
      <c r="J18" s="50">
        <v>0.378190631171334</v>
      </c>
      <c r="K18" s="8"/>
      <c r="L18" s="6" t="s">
        <v>730</v>
      </c>
      <c r="M18" s="6" t="s">
        <v>730</v>
      </c>
      <c r="N18" s="6" t="s">
        <v>730</v>
      </c>
      <c r="O18" s="6" t="s">
        <v>730</v>
      </c>
      <c r="P18" s="6" t="s">
        <v>731</v>
      </c>
    </row>
    <row r="19" spans="1:16" ht="18" customHeight="1" x14ac:dyDescent="0.15">
      <c r="A19" s="5" t="s">
        <v>726</v>
      </c>
      <c r="B19" s="6" t="s">
        <v>572</v>
      </c>
      <c r="C19" s="6" t="s">
        <v>727</v>
      </c>
      <c r="D19" s="6" t="s">
        <v>746</v>
      </c>
      <c r="E19" s="6" t="s">
        <v>729</v>
      </c>
      <c r="F19" s="8">
        <v>39611314</v>
      </c>
      <c r="G19" s="8">
        <v>39611417</v>
      </c>
      <c r="H19" s="43">
        <v>2.89024825279529E-2</v>
      </c>
      <c r="I19" s="6">
        <v>17</v>
      </c>
      <c r="J19" s="50">
        <v>0.40929697728992598</v>
      </c>
      <c r="K19" s="8"/>
      <c r="L19" s="6" t="s">
        <v>730</v>
      </c>
      <c r="M19" s="6" t="s">
        <v>730</v>
      </c>
      <c r="N19" s="6" t="s">
        <v>730</v>
      </c>
      <c r="O19" s="6" t="s">
        <v>730</v>
      </c>
      <c r="P19" s="6" t="s">
        <v>731</v>
      </c>
    </row>
    <row r="20" spans="1:16" ht="18" customHeight="1" x14ac:dyDescent="0.15">
      <c r="A20" s="5" t="s">
        <v>726</v>
      </c>
      <c r="B20" s="6" t="s">
        <v>572</v>
      </c>
      <c r="C20" s="6" t="s">
        <v>727</v>
      </c>
      <c r="D20" s="6" t="s">
        <v>747</v>
      </c>
      <c r="E20" s="6" t="s">
        <v>729</v>
      </c>
      <c r="F20" s="8">
        <v>39616311</v>
      </c>
      <c r="G20" s="8">
        <v>39616514</v>
      </c>
      <c r="H20" s="43">
        <v>2.8669420343179E-2</v>
      </c>
      <c r="I20" s="6">
        <v>18</v>
      </c>
      <c r="J20" s="50">
        <v>0.399554469338055</v>
      </c>
      <c r="K20" s="8"/>
      <c r="L20" s="6" t="s">
        <v>730</v>
      </c>
      <c r="M20" s="6" t="s">
        <v>730</v>
      </c>
      <c r="N20" s="6" t="s">
        <v>730</v>
      </c>
      <c r="O20" s="6" t="s">
        <v>730</v>
      </c>
      <c r="P20" s="6" t="s">
        <v>731</v>
      </c>
    </row>
    <row r="21" spans="1:16" ht="18" customHeight="1" x14ac:dyDescent="0.15">
      <c r="A21" s="5" t="s">
        <v>726</v>
      </c>
      <c r="B21" s="6" t="s">
        <v>572</v>
      </c>
      <c r="C21" s="6" t="s">
        <v>727</v>
      </c>
      <c r="D21" s="6" t="s">
        <v>748</v>
      </c>
      <c r="E21" s="6" t="s">
        <v>729</v>
      </c>
      <c r="F21" s="8">
        <v>39632742</v>
      </c>
      <c r="G21" s="8">
        <v>39633027</v>
      </c>
      <c r="H21" s="43">
        <v>4.1913994229756897E-2</v>
      </c>
      <c r="I21" s="6">
        <v>15</v>
      </c>
      <c r="J21" s="50">
        <v>0.48145374361309001</v>
      </c>
      <c r="K21" s="8"/>
      <c r="L21" s="6" t="s">
        <v>730</v>
      </c>
      <c r="M21" s="6" t="s">
        <v>730</v>
      </c>
      <c r="N21" s="6" t="s">
        <v>730</v>
      </c>
      <c r="O21" s="6" t="s">
        <v>730</v>
      </c>
      <c r="P21" s="6" t="s">
        <v>731</v>
      </c>
    </row>
    <row r="22" spans="1:16" ht="18" customHeight="1" x14ac:dyDescent="0.15">
      <c r="A22" s="5" t="s">
        <v>726</v>
      </c>
      <c r="B22" s="6" t="s">
        <v>572</v>
      </c>
      <c r="C22" s="6" t="s">
        <v>727</v>
      </c>
      <c r="D22" s="6" t="s">
        <v>749</v>
      </c>
      <c r="E22" s="6" t="s">
        <v>729</v>
      </c>
      <c r="F22" s="8">
        <v>39637466</v>
      </c>
      <c r="G22" s="8">
        <v>39637740</v>
      </c>
      <c r="H22" s="43">
        <v>0.100945481887231</v>
      </c>
      <c r="I22" s="6">
        <v>7</v>
      </c>
      <c r="J22" s="50">
        <v>0.69910346511298604</v>
      </c>
      <c r="K22" s="8"/>
      <c r="L22" s="6" t="s">
        <v>730</v>
      </c>
      <c r="M22" s="6" t="s">
        <v>730</v>
      </c>
      <c r="N22" s="6" t="s">
        <v>730</v>
      </c>
      <c r="O22" s="6" t="s">
        <v>730</v>
      </c>
      <c r="P22" s="6" t="s">
        <v>731</v>
      </c>
    </row>
    <row r="23" spans="1:16" ht="18" customHeight="1" x14ac:dyDescent="0.15">
      <c r="A23" s="5" t="s">
        <v>726</v>
      </c>
      <c r="B23" s="6" t="s">
        <v>572</v>
      </c>
      <c r="C23" s="6" t="s">
        <v>727</v>
      </c>
      <c r="D23" s="6" t="s">
        <v>750</v>
      </c>
      <c r="E23" s="6" t="s">
        <v>729</v>
      </c>
      <c r="F23" s="8">
        <v>39637820</v>
      </c>
      <c r="G23" s="8">
        <v>39638140</v>
      </c>
      <c r="H23" s="43">
        <v>0.101951060386804</v>
      </c>
      <c r="I23" s="6">
        <v>6</v>
      </c>
      <c r="J23" s="50">
        <v>0.702044419267985</v>
      </c>
      <c r="K23" s="8"/>
      <c r="L23" s="6" t="s">
        <v>730</v>
      </c>
      <c r="M23" s="6" t="s">
        <v>730</v>
      </c>
      <c r="N23" s="6" t="s">
        <v>730</v>
      </c>
      <c r="O23" s="6" t="s">
        <v>730</v>
      </c>
      <c r="P23" s="6" t="s">
        <v>731</v>
      </c>
    </row>
    <row r="24" spans="1:16" ht="18" customHeight="1" x14ac:dyDescent="0.15">
      <c r="A24" s="5" t="s">
        <v>726</v>
      </c>
      <c r="B24" s="6" t="s">
        <v>572</v>
      </c>
      <c r="C24" s="6" t="s">
        <v>727</v>
      </c>
      <c r="D24" s="6" t="s">
        <v>751</v>
      </c>
      <c r="E24" s="6" t="s">
        <v>729</v>
      </c>
      <c r="F24" s="8">
        <v>39638315</v>
      </c>
      <c r="G24" s="8">
        <v>39638540</v>
      </c>
      <c r="H24" s="43">
        <v>0.118706253858713</v>
      </c>
      <c r="I24" s="6">
        <v>1</v>
      </c>
      <c r="J24" s="50">
        <v>0.73232451800063803</v>
      </c>
      <c r="K24" s="8"/>
      <c r="L24" s="6" t="s">
        <v>730</v>
      </c>
      <c r="M24" s="6" t="s">
        <v>730</v>
      </c>
      <c r="N24" s="6" t="s">
        <v>730</v>
      </c>
      <c r="O24" s="6" t="s">
        <v>730</v>
      </c>
      <c r="P24" s="6" t="s">
        <v>731</v>
      </c>
    </row>
    <row r="25" spans="1:16" ht="18" customHeight="1" x14ac:dyDescent="0.15">
      <c r="A25" s="5" t="s">
        <v>726</v>
      </c>
      <c r="B25" s="6" t="s">
        <v>572</v>
      </c>
      <c r="C25" s="6" t="s">
        <v>727</v>
      </c>
      <c r="D25" s="6" t="s">
        <v>752</v>
      </c>
      <c r="E25" s="6" t="s">
        <v>729</v>
      </c>
      <c r="F25" s="8">
        <v>39638340</v>
      </c>
      <c r="G25" s="8">
        <v>39639020</v>
      </c>
      <c r="H25" s="43">
        <v>0.115401501838978</v>
      </c>
      <c r="I25" s="6">
        <v>3</v>
      </c>
      <c r="J25" s="50">
        <v>0.72609768833184096</v>
      </c>
      <c r="K25" s="8"/>
      <c r="L25" s="6" t="s">
        <v>730</v>
      </c>
      <c r="M25" s="6" t="s">
        <v>730</v>
      </c>
      <c r="N25" s="6" t="s">
        <v>730</v>
      </c>
      <c r="O25" s="6" t="s">
        <v>730</v>
      </c>
      <c r="P25" s="6" t="s">
        <v>731</v>
      </c>
    </row>
    <row r="26" spans="1:16" ht="18" customHeight="1" x14ac:dyDescent="0.15">
      <c r="A26" s="5" t="s">
        <v>726</v>
      </c>
      <c r="B26" s="6" t="s">
        <v>572</v>
      </c>
      <c r="C26" s="6" t="s">
        <v>727</v>
      </c>
      <c r="D26" s="6" t="s">
        <v>753</v>
      </c>
      <c r="E26" s="6" t="s">
        <v>729</v>
      </c>
      <c r="F26" s="8">
        <v>39638795</v>
      </c>
      <c r="G26" s="8">
        <v>39638982</v>
      </c>
      <c r="H26" s="43">
        <v>0.111597379812827</v>
      </c>
      <c r="I26" s="6">
        <v>4</v>
      </c>
      <c r="J26" s="50">
        <v>0.71631304263210605</v>
      </c>
      <c r="K26" s="8"/>
      <c r="L26" s="6" t="s">
        <v>730</v>
      </c>
      <c r="M26" s="6" t="s">
        <v>730</v>
      </c>
      <c r="N26" s="6" t="s">
        <v>730</v>
      </c>
      <c r="O26" s="6" t="s">
        <v>730</v>
      </c>
      <c r="P26" s="6" t="s">
        <v>731</v>
      </c>
    </row>
    <row r="27" spans="1:16" ht="18" customHeight="1" x14ac:dyDescent="0.15">
      <c r="A27" s="5" t="s">
        <v>726</v>
      </c>
      <c r="B27" s="6" t="s">
        <v>572</v>
      </c>
      <c r="C27" s="6" t="s">
        <v>727</v>
      </c>
      <c r="D27" s="6" t="s">
        <v>754</v>
      </c>
      <c r="E27" s="6" t="s">
        <v>729</v>
      </c>
      <c r="F27" s="8">
        <v>39638871</v>
      </c>
      <c r="G27" s="8">
        <v>39639220</v>
      </c>
      <c r="H27" s="43">
        <v>0.110568340008075</v>
      </c>
      <c r="I27" s="6">
        <v>5</v>
      </c>
      <c r="J27" s="50">
        <v>0.715115809301061</v>
      </c>
      <c r="K27" s="8"/>
      <c r="L27" s="6" t="s">
        <v>730</v>
      </c>
      <c r="M27" s="6" t="s">
        <v>730</v>
      </c>
      <c r="N27" s="6" t="s">
        <v>730</v>
      </c>
      <c r="O27" s="6" t="s">
        <v>730</v>
      </c>
      <c r="P27" s="6" t="s">
        <v>731</v>
      </c>
    </row>
    <row r="28" spans="1:16" ht="18" customHeight="1" x14ac:dyDescent="0.15">
      <c r="A28" s="5" t="s">
        <v>726</v>
      </c>
      <c r="B28" s="6" t="s">
        <v>572</v>
      </c>
      <c r="C28" s="6" t="s">
        <v>727</v>
      </c>
      <c r="D28" s="6" t="s">
        <v>755</v>
      </c>
      <c r="E28" s="6" t="s">
        <v>729</v>
      </c>
      <c r="F28" s="8">
        <v>39643449</v>
      </c>
      <c r="G28" s="8">
        <v>39643629</v>
      </c>
      <c r="H28" s="43">
        <v>6.4104903202790497E-2</v>
      </c>
      <c r="I28" s="6">
        <v>11</v>
      </c>
      <c r="J28" s="50">
        <v>0.60346294093677899</v>
      </c>
      <c r="K28" s="8"/>
      <c r="L28" s="6" t="s">
        <v>730</v>
      </c>
      <c r="M28" s="6" t="s">
        <v>730</v>
      </c>
      <c r="N28" s="6" t="s">
        <v>730</v>
      </c>
      <c r="O28" s="6" t="s">
        <v>730</v>
      </c>
      <c r="P28" s="6" t="s">
        <v>731</v>
      </c>
    </row>
    <row r="29" spans="1:16" ht="18" customHeight="1" x14ac:dyDescent="0.15">
      <c r="A29" s="5" t="s">
        <v>726</v>
      </c>
      <c r="B29" s="6" t="s">
        <v>572</v>
      </c>
      <c r="C29" s="6" t="s">
        <v>727</v>
      </c>
      <c r="D29" s="6" t="s">
        <v>756</v>
      </c>
      <c r="E29" s="6" t="s">
        <v>729</v>
      </c>
      <c r="F29" s="8">
        <v>39643700</v>
      </c>
      <c r="G29" s="8">
        <v>39643930</v>
      </c>
      <c r="H29" s="43">
        <v>9.7959191753314107E-2</v>
      </c>
      <c r="I29" s="6">
        <v>9</v>
      </c>
      <c r="J29" s="50">
        <v>0.68908945105374797</v>
      </c>
      <c r="K29" s="8"/>
      <c r="L29" s="6" t="s">
        <v>730</v>
      </c>
      <c r="M29" s="6" t="s">
        <v>730</v>
      </c>
      <c r="N29" s="6" t="s">
        <v>730</v>
      </c>
      <c r="O29" s="6" t="s">
        <v>730</v>
      </c>
      <c r="P29" s="6" t="s">
        <v>731</v>
      </c>
    </row>
    <row r="30" spans="1:16" ht="18" customHeight="1" x14ac:dyDescent="0.15">
      <c r="A30" s="5" t="s">
        <v>726</v>
      </c>
      <c r="B30" s="6" t="s">
        <v>572</v>
      </c>
      <c r="C30" s="6" t="s">
        <v>727</v>
      </c>
      <c r="D30" s="6" t="s">
        <v>757</v>
      </c>
      <c r="E30" s="6" t="s">
        <v>729</v>
      </c>
      <c r="F30" s="8">
        <v>39644840</v>
      </c>
      <c r="G30" s="8">
        <v>39645680</v>
      </c>
      <c r="H30" s="43">
        <v>1.61361063902195E-2</v>
      </c>
      <c r="I30" s="6">
        <v>22</v>
      </c>
      <c r="J30" s="50">
        <v>0.30938403300819201</v>
      </c>
      <c r="K30" s="8"/>
      <c r="L30" s="6" t="s">
        <v>730</v>
      </c>
      <c r="M30" s="6" t="s">
        <v>730</v>
      </c>
      <c r="N30" s="6" t="s">
        <v>730</v>
      </c>
      <c r="O30" s="6" t="s">
        <v>730</v>
      </c>
      <c r="P30" s="6" t="s">
        <v>731</v>
      </c>
    </row>
    <row r="31" spans="1:16" ht="18" customHeight="1" x14ac:dyDescent="0.15">
      <c r="A31" s="5" t="s">
        <v>726</v>
      </c>
      <c r="B31" s="6" t="s">
        <v>572</v>
      </c>
      <c r="C31" s="6" t="s">
        <v>727</v>
      </c>
      <c r="D31" s="6" t="s">
        <v>758</v>
      </c>
      <c r="E31" s="6" t="s">
        <v>729</v>
      </c>
      <c r="F31" s="8">
        <v>39666777</v>
      </c>
      <c r="G31" s="8">
        <v>39667020</v>
      </c>
      <c r="H31" s="43">
        <v>1.3738764020112801E-2</v>
      </c>
      <c r="I31" s="6">
        <v>39</v>
      </c>
      <c r="J31" s="50">
        <v>1.3605714052374201E-3</v>
      </c>
      <c r="K31" s="8"/>
      <c r="L31" s="6" t="s">
        <v>730</v>
      </c>
      <c r="M31" s="6" t="s">
        <v>730</v>
      </c>
      <c r="N31" s="6" t="s">
        <v>730</v>
      </c>
      <c r="O31" s="6" t="s">
        <v>730</v>
      </c>
      <c r="P31" s="6" t="s">
        <v>731</v>
      </c>
    </row>
    <row r="32" spans="1:16" ht="18" customHeight="1" x14ac:dyDescent="0.15">
      <c r="A32" s="5" t="s">
        <v>726</v>
      </c>
      <c r="B32" s="6" t="s">
        <v>572</v>
      </c>
      <c r="C32" s="6" t="s">
        <v>727</v>
      </c>
      <c r="D32" s="6" t="s">
        <v>759</v>
      </c>
      <c r="E32" s="6" t="s">
        <v>729</v>
      </c>
      <c r="F32" s="8">
        <v>39666960</v>
      </c>
      <c r="G32" s="8">
        <v>39667280</v>
      </c>
      <c r="H32" s="43">
        <v>1.379933150915E-2</v>
      </c>
      <c r="I32" s="6">
        <v>37</v>
      </c>
      <c r="J32" s="50">
        <v>3.2309661186442601E-2</v>
      </c>
      <c r="K32" s="8"/>
      <c r="L32" s="6" t="s">
        <v>730</v>
      </c>
      <c r="M32" s="6" t="s">
        <v>730</v>
      </c>
      <c r="N32" s="6" t="s">
        <v>730</v>
      </c>
      <c r="O32" s="6" t="s">
        <v>730</v>
      </c>
      <c r="P32" s="6" t="s">
        <v>731</v>
      </c>
    </row>
    <row r="33" spans="1:16" ht="18" customHeight="1" x14ac:dyDescent="0.15">
      <c r="A33" s="5" t="s">
        <v>726</v>
      </c>
      <c r="B33" s="6" t="s">
        <v>572</v>
      </c>
      <c r="C33" s="6" t="s">
        <v>727</v>
      </c>
      <c r="D33" s="6" t="s">
        <v>760</v>
      </c>
      <c r="E33" s="6" t="s">
        <v>729</v>
      </c>
      <c r="F33" s="8">
        <v>39669800</v>
      </c>
      <c r="G33" s="8">
        <v>39670260</v>
      </c>
      <c r="H33" s="43">
        <v>1.4861761377408E-2</v>
      </c>
      <c r="I33" s="6">
        <v>26</v>
      </c>
      <c r="J33" s="50">
        <v>0.25933394556150502</v>
      </c>
      <c r="K33" s="8"/>
      <c r="L33" s="6" t="s">
        <v>730</v>
      </c>
      <c r="M33" s="6" t="s">
        <v>730</v>
      </c>
      <c r="N33" s="6" t="s">
        <v>730</v>
      </c>
      <c r="O33" s="6" t="s">
        <v>730</v>
      </c>
      <c r="P33" s="6" t="s">
        <v>731</v>
      </c>
    </row>
    <row r="34" spans="1:16" ht="18" customHeight="1" x14ac:dyDescent="0.15">
      <c r="A34" s="5" t="s">
        <v>726</v>
      </c>
      <c r="B34" s="6" t="s">
        <v>572</v>
      </c>
      <c r="C34" s="6" t="s">
        <v>727</v>
      </c>
      <c r="D34" s="6" t="s">
        <v>761</v>
      </c>
      <c r="E34" s="6" t="s">
        <v>729</v>
      </c>
      <c r="F34" s="8">
        <v>39670074</v>
      </c>
      <c r="G34" s="8">
        <v>39670276</v>
      </c>
      <c r="H34" s="43">
        <v>1.6102043481973499E-2</v>
      </c>
      <c r="I34" s="6">
        <v>23</v>
      </c>
      <c r="J34" s="50">
        <v>0.30871330432055299</v>
      </c>
      <c r="K34" s="8"/>
      <c r="L34" s="6" t="s">
        <v>730</v>
      </c>
      <c r="M34" s="6" t="s">
        <v>730</v>
      </c>
      <c r="N34" s="6" t="s">
        <v>730</v>
      </c>
      <c r="O34" s="6" t="s">
        <v>730</v>
      </c>
      <c r="P34" s="6" t="s">
        <v>731</v>
      </c>
    </row>
    <row r="35" spans="1:16" ht="18" customHeight="1" x14ac:dyDescent="0.15">
      <c r="A35" s="5" t="s">
        <v>726</v>
      </c>
      <c r="B35" s="6" t="s">
        <v>572</v>
      </c>
      <c r="C35" s="6" t="s">
        <v>727</v>
      </c>
      <c r="D35" s="6" t="s">
        <v>762</v>
      </c>
      <c r="E35" s="6" t="s">
        <v>729</v>
      </c>
      <c r="F35" s="8">
        <v>39670380</v>
      </c>
      <c r="G35" s="8">
        <v>39670600</v>
      </c>
      <c r="H35" s="43">
        <v>1.5217795968055701E-2</v>
      </c>
      <c r="I35" s="6">
        <v>25</v>
      </c>
      <c r="J35" s="50">
        <v>0.28142542009596999</v>
      </c>
      <c r="K35" s="8"/>
      <c r="L35" s="6" t="s">
        <v>730</v>
      </c>
      <c r="M35" s="6" t="s">
        <v>730</v>
      </c>
      <c r="N35" s="6" t="s">
        <v>730</v>
      </c>
      <c r="O35" s="6" t="s">
        <v>730</v>
      </c>
      <c r="P35" s="6" t="s">
        <v>731</v>
      </c>
    </row>
    <row r="36" spans="1:16" ht="18" customHeight="1" x14ac:dyDescent="0.15">
      <c r="A36" s="5" t="s">
        <v>726</v>
      </c>
      <c r="B36" s="6" t="s">
        <v>572</v>
      </c>
      <c r="C36" s="6" t="s">
        <v>727</v>
      </c>
      <c r="D36" s="6" t="s">
        <v>763</v>
      </c>
      <c r="E36" s="6" t="s">
        <v>729</v>
      </c>
      <c r="F36" s="8">
        <v>39673943</v>
      </c>
      <c r="G36" s="8">
        <v>39674121</v>
      </c>
      <c r="H36" s="43">
        <v>1.41798636088004E-2</v>
      </c>
      <c r="I36" s="6">
        <v>32</v>
      </c>
      <c r="J36" s="50">
        <v>0.163599588874592</v>
      </c>
      <c r="K36" s="8"/>
      <c r="L36" s="6" t="s">
        <v>730</v>
      </c>
      <c r="M36" s="6" t="s">
        <v>730</v>
      </c>
      <c r="N36" s="6" t="s">
        <v>730</v>
      </c>
      <c r="O36" s="6" t="s">
        <v>730</v>
      </c>
      <c r="P36" s="6" t="s">
        <v>731</v>
      </c>
    </row>
    <row r="37" spans="1:16" ht="18" customHeight="1" x14ac:dyDescent="0.15">
      <c r="A37" s="5" t="s">
        <v>726</v>
      </c>
      <c r="B37" s="6" t="s">
        <v>572</v>
      </c>
      <c r="C37" s="6" t="s">
        <v>727</v>
      </c>
      <c r="D37" s="6" t="s">
        <v>764</v>
      </c>
      <c r="E37" s="6" t="s">
        <v>729</v>
      </c>
      <c r="F37" s="8">
        <v>39674494</v>
      </c>
      <c r="G37" s="8">
        <v>39674678</v>
      </c>
      <c r="H37" s="43">
        <v>1.4734135224269E-2</v>
      </c>
      <c r="I37" s="6">
        <v>27</v>
      </c>
      <c r="J37" s="50">
        <v>0.24809663358491499</v>
      </c>
      <c r="K37" s="8"/>
      <c r="L37" s="6" t="s">
        <v>730</v>
      </c>
      <c r="M37" s="6" t="s">
        <v>730</v>
      </c>
      <c r="N37" s="6" t="s">
        <v>730</v>
      </c>
      <c r="O37" s="6" t="s">
        <v>730</v>
      </c>
      <c r="P37" s="6" t="s">
        <v>731</v>
      </c>
    </row>
    <row r="38" spans="1:16" ht="18" customHeight="1" x14ac:dyDescent="0.15">
      <c r="A38" s="5" t="s">
        <v>726</v>
      </c>
      <c r="B38" s="6" t="s">
        <v>572</v>
      </c>
      <c r="C38" s="6" t="s">
        <v>727</v>
      </c>
      <c r="D38" s="6" t="s">
        <v>765</v>
      </c>
      <c r="E38" s="6" t="s">
        <v>729</v>
      </c>
      <c r="F38" s="8">
        <v>39674927</v>
      </c>
      <c r="G38" s="8">
        <v>39675098</v>
      </c>
      <c r="H38" s="43">
        <v>1.40711470292165E-2</v>
      </c>
      <c r="I38" s="6">
        <v>33</v>
      </c>
      <c r="J38" s="50">
        <v>0.13508232499585099</v>
      </c>
      <c r="K38" s="8"/>
      <c r="L38" s="6" t="s">
        <v>730</v>
      </c>
      <c r="M38" s="6" t="s">
        <v>730</v>
      </c>
      <c r="N38" s="6" t="s">
        <v>730</v>
      </c>
      <c r="O38" s="6" t="s">
        <v>730</v>
      </c>
      <c r="P38" s="6" t="s">
        <v>731</v>
      </c>
    </row>
    <row r="39" spans="1:16" ht="18" customHeight="1" x14ac:dyDescent="0.15">
      <c r="A39" s="5" t="s">
        <v>726</v>
      </c>
      <c r="B39" s="6" t="s">
        <v>572</v>
      </c>
      <c r="C39" s="6" t="s">
        <v>727</v>
      </c>
      <c r="D39" s="6" t="s">
        <v>766</v>
      </c>
      <c r="E39" s="6" t="s">
        <v>729</v>
      </c>
      <c r="F39" s="8">
        <v>39675123</v>
      </c>
      <c r="G39" s="8">
        <v>39675220</v>
      </c>
      <c r="H39" s="43">
        <v>1.42441724355404E-2</v>
      </c>
      <c r="I39" s="6">
        <v>31</v>
      </c>
      <c r="J39" s="50">
        <v>0.178177511996226</v>
      </c>
      <c r="K39" s="8"/>
      <c r="L39" s="6" t="s">
        <v>730</v>
      </c>
      <c r="M39" s="6" t="s">
        <v>730</v>
      </c>
      <c r="N39" s="6" t="s">
        <v>730</v>
      </c>
      <c r="O39" s="6" t="s">
        <v>730</v>
      </c>
      <c r="P39" s="6" t="s">
        <v>731</v>
      </c>
    </row>
    <row r="40" spans="1:16" ht="18" customHeight="1" x14ac:dyDescent="0.15">
      <c r="A40" s="5" t="s">
        <v>726</v>
      </c>
      <c r="B40" s="6" t="s">
        <v>572</v>
      </c>
      <c r="C40" s="6" t="s">
        <v>727</v>
      </c>
      <c r="D40" s="6" t="s">
        <v>767</v>
      </c>
      <c r="E40" s="6" t="s">
        <v>729</v>
      </c>
      <c r="F40" s="8">
        <v>39675240</v>
      </c>
      <c r="G40" s="8">
        <v>39675404</v>
      </c>
      <c r="H40" s="43">
        <v>1.42966646414537E-2</v>
      </c>
      <c r="I40" s="6">
        <v>30</v>
      </c>
      <c r="J40" s="50">
        <v>0.188751914661069</v>
      </c>
      <c r="K40" s="8"/>
      <c r="L40" s="6" t="s">
        <v>730</v>
      </c>
      <c r="M40" s="6" t="s">
        <v>730</v>
      </c>
      <c r="N40" s="6" t="s">
        <v>730</v>
      </c>
      <c r="O40" s="6" t="s">
        <v>730</v>
      </c>
      <c r="P40" s="6" t="s">
        <v>731</v>
      </c>
    </row>
    <row r="41" spans="1:16" ht="18" customHeight="1" x14ac:dyDescent="0.15">
      <c r="A41" s="5" t="s">
        <v>726</v>
      </c>
      <c r="B41" s="6" t="s">
        <v>572</v>
      </c>
      <c r="C41" s="6" t="s">
        <v>727</v>
      </c>
      <c r="D41" s="6" t="s">
        <v>768</v>
      </c>
      <c r="E41" s="6" t="s">
        <v>729</v>
      </c>
      <c r="F41" s="8">
        <v>39675960</v>
      </c>
      <c r="G41" s="8">
        <v>39676160</v>
      </c>
      <c r="H41" s="43">
        <v>1.40250508601849E-2</v>
      </c>
      <c r="I41" s="6">
        <v>35</v>
      </c>
      <c r="J41" s="50">
        <v>0.121088248607499</v>
      </c>
      <c r="K41" s="8"/>
      <c r="L41" s="6" t="s">
        <v>730</v>
      </c>
      <c r="M41" s="6" t="s">
        <v>730</v>
      </c>
      <c r="N41" s="6" t="s">
        <v>730</v>
      </c>
      <c r="O41" s="6" t="s">
        <v>730</v>
      </c>
      <c r="P41" s="6" t="s">
        <v>731</v>
      </c>
    </row>
    <row r="42" spans="1:16" ht="18" customHeight="1" x14ac:dyDescent="0.15">
      <c r="A42" s="5" t="s">
        <v>726</v>
      </c>
      <c r="B42" s="6" t="s">
        <v>572</v>
      </c>
      <c r="C42" s="6" t="s">
        <v>727</v>
      </c>
      <c r="D42" s="6" t="s">
        <v>769</v>
      </c>
      <c r="E42" s="6" t="s">
        <v>729</v>
      </c>
      <c r="F42" s="8">
        <v>39676180</v>
      </c>
      <c r="G42" s="8">
        <v>39676403</v>
      </c>
      <c r="H42" s="43">
        <v>1.37703785529503E-2</v>
      </c>
      <c r="I42" s="6">
        <v>38</v>
      </c>
      <c r="J42" s="50">
        <v>1.8073618555205201E-2</v>
      </c>
      <c r="K42" s="8"/>
      <c r="L42" s="6" t="s">
        <v>730</v>
      </c>
      <c r="M42" s="6" t="s">
        <v>730</v>
      </c>
      <c r="N42" s="6" t="s">
        <v>730</v>
      </c>
      <c r="O42" s="6" t="s">
        <v>730</v>
      </c>
      <c r="P42" s="6" t="s">
        <v>731</v>
      </c>
    </row>
    <row r="43" spans="1:16" ht="18" customHeight="1" x14ac:dyDescent="0.15">
      <c r="A43" s="5" t="s">
        <v>726</v>
      </c>
      <c r="B43" s="6" t="s">
        <v>570</v>
      </c>
      <c r="C43" s="6" t="s">
        <v>770</v>
      </c>
      <c r="D43" s="6" t="s">
        <v>771</v>
      </c>
      <c r="E43" s="6" t="s">
        <v>772</v>
      </c>
      <c r="F43" s="8">
        <v>186933260</v>
      </c>
      <c r="G43" s="8">
        <v>186933660</v>
      </c>
      <c r="H43" s="43">
        <v>0.74156146611158702</v>
      </c>
      <c r="I43" s="6">
        <v>1</v>
      </c>
      <c r="J43" s="50">
        <v>0.98839517735647697</v>
      </c>
      <c r="K43" s="8">
        <v>259</v>
      </c>
      <c r="L43" s="6" t="s">
        <v>362</v>
      </c>
      <c r="M43" s="6" t="s">
        <v>362</v>
      </c>
      <c r="N43" s="6" t="s">
        <v>730</v>
      </c>
      <c r="O43" s="6" t="s">
        <v>730</v>
      </c>
      <c r="P43" s="6" t="s">
        <v>731</v>
      </c>
    </row>
    <row r="44" spans="1:16" ht="18" customHeight="1" x14ac:dyDescent="0.15">
      <c r="A44" s="5" t="s">
        <v>726</v>
      </c>
      <c r="B44" s="6" t="s">
        <v>570</v>
      </c>
      <c r="C44" s="6" t="s">
        <v>770</v>
      </c>
      <c r="D44" s="6" t="s">
        <v>773</v>
      </c>
      <c r="E44" s="6" t="s">
        <v>772</v>
      </c>
      <c r="F44" s="8">
        <v>186933520</v>
      </c>
      <c r="G44" s="8">
        <v>186933880</v>
      </c>
      <c r="H44" s="43">
        <v>0.68915344316225802</v>
      </c>
      <c r="I44" s="6">
        <v>2</v>
      </c>
      <c r="J44" s="50">
        <v>0.98258364342950899</v>
      </c>
      <c r="K44" s="8">
        <v>519</v>
      </c>
      <c r="L44" s="6" t="s">
        <v>362</v>
      </c>
      <c r="M44" s="6" t="s">
        <v>730</v>
      </c>
      <c r="N44" s="6" t="s">
        <v>730</v>
      </c>
      <c r="O44" s="6" t="s">
        <v>730</v>
      </c>
      <c r="P44" s="6" t="s">
        <v>731</v>
      </c>
    </row>
    <row r="45" spans="1:16" ht="18" customHeight="1" x14ac:dyDescent="0.15">
      <c r="A45" s="5" t="s">
        <v>726</v>
      </c>
      <c r="B45" s="6" t="s">
        <v>570</v>
      </c>
      <c r="C45" s="6" t="s">
        <v>770</v>
      </c>
      <c r="D45" s="6" t="s">
        <v>774</v>
      </c>
      <c r="E45" s="6" t="s">
        <v>772</v>
      </c>
      <c r="F45" s="8">
        <v>186933920</v>
      </c>
      <c r="G45" s="8">
        <v>186934120</v>
      </c>
      <c r="H45" s="43">
        <v>0.27920518127771499</v>
      </c>
      <c r="I45" s="6">
        <v>35</v>
      </c>
      <c r="J45" s="50">
        <v>0.87988917337902195</v>
      </c>
      <c r="K45" s="8">
        <v>919</v>
      </c>
      <c r="L45" s="6" t="s">
        <v>362</v>
      </c>
      <c r="M45" s="6" t="s">
        <v>730</v>
      </c>
      <c r="N45" s="6" t="s">
        <v>730</v>
      </c>
      <c r="O45" s="6" t="s">
        <v>730</v>
      </c>
      <c r="P45" s="6" t="s">
        <v>731</v>
      </c>
    </row>
    <row r="46" spans="1:16" ht="18" customHeight="1" x14ac:dyDescent="0.15">
      <c r="A46" s="5" t="s">
        <v>726</v>
      </c>
      <c r="B46" s="6" t="s">
        <v>570</v>
      </c>
      <c r="C46" s="6" t="s">
        <v>770</v>
      </c>
      <c r="D46" s="6" t="s">
        <v>775</v>
      </c>
      <c r="E46" s="6" t="s">
        <v>772</v>
      </c>
      <c r="F46" s="8">
        <v>186934400</v>
      </c>
      <c r="G46" s="8">
        <v>186934780</v>
      </c>
      <c r="H46" s="43">
        <v>5.1380479565033499E-2</v>
      </c>
      <c r="I46" s="6">
        <v>165</v>
      </c>
      <c r="J46" s="50">
        <v>0.54831201394976703</v>
      </c>
      <c r="K46" s="8">
        <v>1399</v>
      </c>
      <c r="L46" s="6" t="s">
        <v>362</v>
      </c>
      <c r="M46" s="6" t="s">
        <v>730</v>
      </c>
      <c r="N46" s="6" t="s">
        <v>730</v>
      </c>
      <c r="O46" s="6" t="s">
        <v>730</v>
      </c>
      <c r="P46" s="6" t="s">
        <v>731</v>
      </c>
    </row>
    <row r="47" spans="1:16" ht="18" customHeight="1" x14ac:dyDescent="0.15">
      <c r="A47" s="5" t="s">
        <v>726</v>
      </c>
      <c r="B47" s="6" t="s">
        <v>570</v>
      </c>
      <c r="C47" s="6" t="s">
        <v>770</v>
      </c>
      <c r="D47" s="6" t="s">
        <v>776</v>
      </c>
      <c r="E47" s="6" t="s">
        <v>772</v>
      </c>
      <c r="F47" s="8">
        <v>186935591</v>
      </c>
      <c r="G47" s="8">
        <v>186935980</v>
      </c>
      <c r="H47" s="43">
        <v>0.27194407582282998</v>
      </c>
      <c r="I47" s="6">
        <v>38</v>
      </c>
      <c r="J47" s="50">
        <v>0.87573969123891104</v>
      </c>
      <c r="K47" s="8">
        <v>2590</v>
      </c>
      <c r="L47" s="6" t="s">
        <v>362</v>
      </c>
      <c r="M47" s="6" t="s">
        <v>730</v>
      </c>
      <c r="N47" s="6" t="s">
        <v>730</v>
      </c>
      <c r="O47" s="6" t="s">
        <v>730</v>
      </c>
      <c r="P47" s="6" t="s">
        <v>731</v>
      </c>
    </row>
    <row r="48" spans="1:16" ht="18" customHeight="1" x14ac:dyDescent="0.15">
      <c r="A48" s="5" t="s">
        <v>726</v>
      </c>
      <c r="B48" s="6" t="s">
        <v>570</v>
      </c>
      <c r="C48" s="6" t="s">
        <v>770</v>
      </c>
      <c r="D48" s="6" t="s">
        <v>777</v>
      </c>
      <c r="E48" s="6" t="s">
        <v>772</v>
      </c>
      <c r="F48" s="8">
        <v>186935973</v>
      </c>
      <c r="G48" s="8">
        <v>186936260</v>
      </c>
      <c r="H48" s="43">
        <v>0.27656066646942701</v>
      </c>
      <c r="I48" s="6">
        <v>36</v>
      </c>
      <c r="J48" s="50">
        <v>0.87851035676336897</v>
      </c>
      <c r="K48" s="8">
        <v>2972</v>
      </c>
      <c r="L48" s="6" t="s">
        <v>362</v>
      </c>
      <c r="M48" s="6" t="s">
        <v>730</v>
      </c>
      <c r="N48" s="6" t="s">
        <v>730</v>
      </c>
      <c r="O48" s="6" t="s">
        <v>730</v>
      </c>
      <c r="P48" s="6" t="s">
        <v>731</v>
      </c>
    </row>
    <row r="49" spans="1:16" ht="18" customHeight="1" x14ac:dyDescent="0.15">
      <c r="A49" s="5" t="s">
        <v>726</v>
      </c>
      <c r="B49" s="6" t="s">
        <v>570</v>
      </c>
      <c r="C49" s="6" t="s">
        <v>770</v>
      </c>
      <c r="D49" s="6" t="s">
        <v>778</v>
      </c>
      <c r="E49" s="6" t="s">
        <v>772</v>
      </c>
      <c r="F49" s="8">
        <v>186929781</v>
      </c>
      <c r="G49" s="8">
        <v>186929960</v>
      </c>
      <c r="H49" s="43">
        <v>0.33755024809103701</v>
      </c>
      <c r="I49" s="6">
        <v>22</v>
      </c>
      <c r="J49" s="50">
        <v>0.90707974981472395</v>
      </c>
      <c r="K49" s="8">
        <v>3041</v>
      </c>
      <c r="L49" s="6" t="s">
        <v>362</v>
      </c>
      <c r="M49" s="6" t="s">
        <v>730</v>
      </c>
      <c r="N49" s="6" t="s">
        <v>730</v>
      </c>
      <c r="O49" s="6" t="s">
        <v>730</v>
      </c>
      <c r="P49" s="6" t="s">
        <v>731</v>
      </c>
    </row>
    <row r="50" spans="1:16" ht="18" customHeight="1" x14ac:dyDescent="0.15">
      <c r="A50" s="5" t="s">
        <v>726</v>
      </c>
      <c r="B50" s="6" t="s">
        <v>570</v>
      </c>
      <c r="C50" s="6" t="s">
        <v>770</v>
      </c>
      <c r="D50" s="6" t="s">
        <v>779</v>
      </c>
      <c r="E50" s="6" t="s">
        <v>772</v>
      </c>
      <c r="F50" s="8">
        <v>186929560</v>
      </c>
      <c r="G50" s="8">
        <v>186929759</v>
      </c>
      <c r="H50" s="43">
        <v>0.23837914031285501</v>
      </c>
      <c r="I50" s="6">
        <v>50</v>
      </c>
      <c r="J50" s="50">
        <v>0.85410260932573501</v>
      </c>
      <c r="K50" s="8">
        <v>3242</v>
      </c>
      <c r="L50" s="6" t="s">
        <v>362</v>
      </c>
      <c r="M50" s="6" t="s">
        <v>730</v>
      </c>
      <c r="N50" s="6" t="s">
        <v>730</v>
      </c>
      <c r="O50" s="6" t="s">
        <v>730</v>
      </c>
      <c r="P50" s="6" t="s">
        <v>731</v>
      </c>
    </row>
    <row r="51" spans="1:16" ht="18" customHeight="1" x14ac:dyDescent="0.15">
      <c r="A51" s="5" t="s">
        <v>726</v>
      </c>
      <c r="B51" s="6" t="s">
        <v>570</v>
      </c>
      <c r="C51" s="6" t="s">
        <v>770</v>
      </c>
      <c r="D51" s="6" t="s">
        <v>780</v>
      </c>
      <c r="E51" s="6" t="s">
        <v>772</v>
      </c>
      <c r="F51" s="8">
        <v>186929460</v>
      </c>
      <c r="G51" s="8">
        <v>186929540</v>
      </c>
      <c r="H51" s="43">
        <v>4.2580170127061702E-2</v>
      </c>
      <c r="I51" s="6">
        <v>180</v>
      </c>
      <c r="J51" s="50">
        <v>0.49720544193809302</v>
      </c>
      <c r="K51" s="8">
        <v>3461</v>
      </c>
      <c r="L51" s="6" t="s">
        <v>362</v>
      </c>
      <c r="M51" s="6" t="s">
        <v>730</v>
      </c>
      <c r="N51" s="6" t="s">
        <v>730</v>
      </c>
      <c r="O51" s="6" t="s">
        <v>730</v>
      </c>
      <c r="P51" s="6" t="s">
        <v>731</v>
      </c>
    </row>
    <row r="52" spans="1:16" ht="18" customHeight="1" x14ac:dyDescent="0.15">
      <c r="A52" s="5" t="s">
        <v>726</v>
      </c>
      <c r="B52" s="6" t="s">
        <v>570</v>
      </c>
      <c r="C52" s="6" t="s">
        <v>770</v>
      </c>
      <c r="D52" s="6" t="s">
        <v>781</v>
      </c>
      <c r="E52" s="6" t="s">
        <v>772</v>
      </c>
      <c r="F52" s="8">
        <v>186929274</v>
      </c>
      <c r="G52" s="8">
        <v>186929475</v>
      </c>
      <c r="H52" s="43">
        <v>7.3462207729999798E-2</v>
      </c>
      <c r="I52" s="6">
        <v>142</v>
      </c>
      <c r="J52" s="50">
        <v>0.63590987561110601</v>
      </c>
      <c r="K52" s="8">
        <v>3526</v>
      </c>
      <c r="L52" s="6" t="s">
        <v>362</v>
      </c>
      <c r="M52" s="6" t="s">
        <v>730</v>
      </c>
      <c r="N52" s="6" t="s">
        <v>730</v>
      </c>
      <c r="O52" s="6" t="s">
        <v>730</v>
      </c>
      <c r="P52" s="6" t="s">
        <v>731</v>
      </c>
    </row>
    <row r="53" spans="1:16" ht="18" customHeight="1" x14ac:dyDescent="0.15">
      <c r="A53" s="5" t="s">
        <v>726</v>
      </c>
      <c r="B53" s="6" t="s">
        <v>570</v>
      </c>
      <c r="C53" s="6" t="s">
        <v>770</v>
      </c>
      <c r="D53" s="6" t="s">
        <v>782</v>
      </c>
      <c r="E53" s="6" t="s">
        <v>772</v>
      </c>
      <c r="F53" s="8">
        <v>186938420</v>
      </c>
      <c r="G53" s="8">
        <v>186938680</v>
      </c>
      <c r="H53" s="43">
        <v>5.2972433658746598E-2</v>
      </c>
      <c r="I53" s="6">
        <v>160</v>
      </c>
      <c r="J53" s="50">
        <v>0.55055009309401404</v>
      </c>
      <c r="K53" s="8">
        <v>5419</v>
      </c>
      <c r="L53" s="6" t="s">
        <v>362</v>
      </c>
      <c r="M53" s="6" t="s">
        <v>730</v>
      </c>
      <c r="N53" s="6" t="s">
        <v>730</v>
      </c>
      <c r="O53" s="6" t="s">
        <v>730</v>
      </c>
      <c r="P53" s="6" t="s">
        <v>731</v>
      </c>
    </row>
    <row r="54" spans="1:16" ht="18" customHeight="1" x14ac:dyDescent="0.15">
      <c r="A54" s="5" t="s">
        <v>726</v>
      </c>
      <c r="B54" s="6" t="s">
        <v>570</v>
      </c>
      <c r="C54" s="6" t="s">
        <v>770</v>
      </c>
      <c r="D54" s="6" t="s">
        <v>783</v>
      </c>
      <c r="E54" s="6" t="s">
        <v>772</v>
      </c>
      <c r="F54" s="8">
        <v>186938573</v>
      </c>
      <c r="G54" s="8">
        <v>186938765</v>
      </c>
      <c r="H54" s="43">
        <v>5.3558698067298301E-2</v>
      </c>
      <c r="I54" s="6">
        <v>159</v>
      </c>
      <c r="J54" s="50">
        <v>0.55131726075098997</v>
      </c>
      <c r="K54" s="8">
        <v>5572</v>
      </c>
      <c r="L54" s="6" t="s">
        <v>362</v>
      </c>
      <c r="M54" s="6" t="s">
        <v>730</v>
      </c>
      <c r="N54" s="6" t="s">
        <v>730</v>
      </c>
      <c r="O54" s="6" t="s">
        <v>730</v>
      </c>
      <c r="P54" s="6" t="s">
        <v>731</v>
      </c>
    </row>
    <row r="55" spans="1:16" ht="18" customHeight="1" x14ac:dyDescent="0.15">
      <c r="A55" s="5" t="s">
        <v>726</v>
      </c>
      <c r="B55" s="6" t="s">
        <v>570</v>
      </c>
      <c r="C55" s="6" t="s">
        <v>770</v>
      </c>
      <c r="D55" s="6" t="s">
        <v>784</v>
      </c>
      <c r="E55" s="6" t="s">
        <v>772</v>
      </c>
      <c r="F55" s="8">
        <v>186938780</v>
      </c>
      <c r="G55" s="8">
        <v>186939000</v>
      </c>
      <c r="H55" s="43">
        <v>7.2545143274160506E-2</v>
      </c>
      <c r="I55" s="6">
        <v>144</v>
      </c>
      <c r="J55" s="50">
        <v>0.63110095943742195</v>
      </c>
      <c r="K55" s="8">
        <v>5779</v>
      </c>
      <c r="L55" s="6" t="s">
        <v>362</v>
      </c>
      <c r="M55" s="6" t="s">
        <v>730</v>
      </c>
      <c r="N55" s="6" t="s">
        <v>730</v>
      </c>
      <c r="O55" s="6" t="s">
        <v>730</v>
      </c>
      <c r="P55" s="6" t="s">
        <v>731</v>
      </c>
    </row>
    <row r="56" spans="1:16" ht="18" customHeight="1" x14ac:dyDescent="0.15">
      <c r="A56" s="5" t="s">
        <v>726</v>
      </c>
      <c r="B56" s="6" t="s">
        <v>570</v>
      </c>
      <c r="C56" s="6" t="s">
        <v>770</v>
      </c>
      <c r="D56" s="6" t="s">
        <v>785</v>
      </c>
      <c r="E56" s="6" t="s">
        <v>772</v>
      </c>
      <c r="F56" s="8">
        <v>186939040</v>
      </c>
      <c r="G56" s="8">
        <v>186939440</v>
      </c>
      <c r="H56" s="43">
        <v>5.1762861701158402E-2</v>
      </c>
      <c r="I56" s="6">
        <v>163</v>
      </c>
      <c r="J56" s="50">
        <v>0.54885763262313103</v>
      </c>
      <c r="K56" s="8">
        <v>6039</v>
      </c>
      <c r="L56" s="6" t="s">
        <v>362</v>
      </c>
      <c r="M56" s="6" t="s">
        <v>730</v>
      </c>
      <c r="N56" s="6" t="s">
        <v>730</v>
      </c>
      <c r="O56" s="6" t="s">
        <v>730</v>
      </c>
      <c r="P56" s="6" t="s">
        <v>731</v>
      </c>
    </row>
    <row r="57" spans="1:16" ht="18" customHeight="1" x14ac:dyDescent="0.15">
      <c r="A57" s="5" t="s">
        <v>726</v>
      </c>
      <c r="B57" s="6" t="s">
        <v>570</v>
      </c>
      <c r="C57" s="6" t="s">
        <v>770</v>
      </c>
      <c r="D57" s="6" t="s">
        <v>786</v>
      </c>
      <c r="E57" s="6" t="s">
        <v>772</v>
      </c>
      <c r="F57" s="8">
        <v>186939223</v>
      </c>
      <c r="G57" s="8">
        <v>186939440</v>
      </c>
      <c r="H57" s="43">
        <v>5.1766554896648102E-2</v>
      </c>
      <c r="I57" s="6">
        <v>162</v>
      </c>
      <c r="J57" s="50">
        <v>0.54886197672084902</v>
      </c>
      <c r="K57" s="8">
        <v>6222</v>
      </c>
      <c r="L57" s="6" t="s">
        <v>362</v>
      </c>
      <c r="M57" s="6" t="s">
        <v>730</v>
      </c>
      <c r="N57" s="6" t="s">
        <v>730</v>
      </c>
      <c r="O57" s="6" t="s">
        <v>730</v>
      </c>
      <c r="P57" s="6" t="s">
        <v>731</v>
      </c>
    </row>
    <row r="58" spans="1:16" ht="18" customHeight="1" x14ac:dyDescent="0.15">
      <c r="A58" s="5" t="s">
        <v>726</v>
      </c>
      <c r="B58" s="6" t="s">
        <v>570</v>
      </c>
      <c r="C58" s="6" t="s">
        <v>770</v>
      </c>
      <c r="D58" s="6" t="s">
        <v>787</v>
      </c>
      <c r="E58" s="6" t="s">
        <v>772</v>
      </c>
      <c r="F58" s="8">
        <v>186939387</v>
      </c>
      <c r="G58" s="8">
        <v>186939540</v>
      </c>
      <c r="H58" s="43">
        <v>5.1516490486951998E-2</v>
      </c>
      <c r="I58" s="6">
        <v>164</v>
      </c>
      <c r="J58" s="50">
        <v>0.54853443175292205</v>
      </c>
      <c r="K58" s="8">
        <v>6386</v>
      </c>
      <c r="L58" s="6" t="s">
        <v>362</v>
      </c>
      <c r="M58" s="6" t="s">
        <v>730</v>
      </c>
      <c r="N58" s="6" t="s">
        <v>730</v>
      </c>
      <c r="O58" s="6" t="s">
        <v>730</v>
      </c>
      <c r="P58" s="6" t="s">
        <v>731</v>
      </c>
    </row>
    <row r="59" spans="1:16" ht="18" customHeight="1" x14ac:dyDescent="0.15">
      <c r="A59" s="5" t="s">
        <v>726</v>
      </c>
      <c r="B59" s="6" t="s">
        <v>570</v>
      </c>
      <c r="C59" s="6" t="s">
        <v>770</v>
      </c>
      <c r="D59" s="6" t="s">
        <v>788</v>
      </c>
      <c r="E59" s="6" t="s">
        <v>772</v>
      </c>
      <c r="F59" s="8">
        <v>186939534</v>
      </c>
      <c r="G59" s="8">
        <v>186940460</v>
      </c>
      <c r="H59" s="43">
        <v>0.178925866117844</v>
      </c>
      <c r="I59" s="6">
        <v>68</v>
      </c>
      <c r="J59" s="50">
        <v>0.80535227591623504</v>
      </c>
      <c r="K59" s="8">
        <v>6533</v>
      </c>
      <c r="L59" s="6" t="s">
        <v>362</v>
      </c>
      <c r="M59" s="6" t="s">
        <v>730</v>
      </c>
      <c r="N59" s="6" t="s">
        <v>730</v>
      </c>
      <c r="O59" s="6" t="s">
        <v>730</v>
      </c>
      <c r="P59" s="6" t="s">
        <v>731</v>
      </c>
    </row>
    <row r="60" spans="1:16" ht="18" customHeight="1" x14ac:dyDescent="0.15">
      <c r="A60" s="5" t="s">
        <v>726</v>
      </c>
      <c r="B60" s="6" t="s">
        <v>570</v>
      </c>
      <c r="C60" s="6" t="s">
        <v>770</v>
      </c>
      <c r="D60" s="6" t="s">
        <v>789</v>
      </c>
      <c r="E60" s="6" t="s">
        <v>772</v>
      </c>
      <c r="F60" s="8">
        <v>186939600</v>
      </c>
      <c r="G60" s="8">
        <v>186939800</v>
      </c>
      <c r="H60" s="43">
        <v>0.145576266142038</v>
      </c>
      <c r="I60" s="6">
        <v>87</v>
      </c>
      <c r="J60" s="50">
        <v>0.76945612765391802</v>
      </c>
      <c r="K60" s="8">
        <v>6599</v>
      </c>
      <c r="L60" s="6" t="s">
        <v>362</v>
      </c>
      <c r="M60" s="6" t="s">
        <v>730</v>
      </c>
      <c r="N60" s="6" t="s">
        <v>730</v>
      </c>
      <c r="O60" s="6" t="s">
        <v>730</v>
      </c>
      <c r="P60" s="6" t="s">
        <v>731</v>
      </c>
    </row>
    <row r="61" spans="1:16" ht="18" customHeight="1" x14ac:dyDescent="0.15">
      <c r="A61" s="5" t="s">
        <v>726</v>
      </c>
      <c r="B61" s="6" t="s">
        <v>570</v>
      </c>
      <c r="C61" s="6" t="s">
        <v>770</v>
      </c>
      <c r="D61" s="6" t="s">
        <v>790</v>
      </c>
      <c r="E61" s="6" t="s">
        <v>772</v>
      </c>
      <c r="F61" s="8">
        <v>186925800</v>
      </c>
      <c r="G61" s="8">
        <v>186926145</v>
      </c>
      <c r="H61" s="43">
        <v>6.43058384840305E-2</v>
      </c>
      <c r="I61" s="6">
        <v>148</v>
      </c>
      <c r="J61" s="50">
        <v>0.60375747076205</v>
      </c>
      <c r="K61" s="8">
        <v>6856</v>
      </c>
      <c r="L61" s="6" t="s">
        <v>362</v>
      </c>
      <c r="M61" s="6" t="s">
        <v>730</v>
      </c>
      <c r="N61" s="6" t="s">
        <v>730</v>
      </c>
      <c r="O61" s="6" t="s">
        <v>730</v>
      </c>
      <c r="P61" s="6" t="s">
        <v>731</v>
      </c>
    </row>
    <row r="62" spans="1:16" ht="18" customHeight="1" x14ac:dyDescent="0.15">
      <c r="A62" s="5" t="s">
        <v>726</v>
      </c>
      <c r="B62" s="6" t="s">
        <v>570</v>
      </c>
      <c r="C62" s="6" t="s">
        <v>770</v>
      </c>
      <c r="D62" s="6" t="s">
        <v>791</v>
      </c>
      <c r="E62" s="6" t="s">
        <v>772</v>
      </c>
      <c r="F62" s="8">
        <v>186939910</v>
      </c>
      <c r="G62" s="8">
        <v>186940258</v>
      </c>
      <c r="H62" s="43">
        <v>0.16387813251752101</v>
      </c>
      <c r="I62" s="6">
        <v>78</v>
      </c>
      <c r="J62" s="50">
        <v>0.79011491876102902</v>
      </c>
      <c r="K62" s="8">
        <v>6909</v>
      </c>
      <c r="L62" s="6" t="s">
        <v>362</v>
      </c>
      <c r="M62" s="6" t="s">
        <v>730</v>
      </c>
      <c r="N62" s="6" t="s">
        <v>730</v>
      </c>
      <c r="O62" s="6" t="s">
        <v>730</v>
      </c>
      <c r="P62" s="6" t="s">
        <v>731</v>
      </c>
    </row>
    <row r="63" spans="1:16" ht="18" customHeight="1" x14ac:dyDescent="0.15">
      <c r="A63" s="5" t="s">
        <v>726</v>
      </c>
      <c r="B63" s="6" t="s">
        <v>570</v>
      </c>
      <c r="C63" s="6" t="s">
        <v>770</v>
      </c>
      <c r="D63" s="6" t="s">
        <v>792</v>
      </c>
      <c r="E63" s="6" t="s">
        <v>772</v>
      </c>
      <c r="F63" s="8">
        <v>186940443</v>
      </c>
      <c r="G63" s="8">
        <v>186940640</v>
      </c>
      <c r="H63" s="43">
        <v>0.112748266412662</v>
      </c>
      <c r="I63" s="6">
        <v>112</v>
      </c>
      <c r="J63" s="50">
        <v>0.71887084736838902</v>
      </c>
      <c r="K63" s="8">
        <v>7442</v>
      </c>
      <c r="L63" s="6" t="s">
        <v>362</v>
      </c>
      <c r="M63" s="6" t="s">
        <v>730</v>
      </c>
      <c r="N63" s="6" t="s">
        <v>730</v>
      </c>
      <c r="O63" s="6" t="s">
        <v>730</v>
      </c>
      <c r="P63" s="6" t="s">
        <v>731</v>
      </c>
    </row>
    <row r="64" spans="1:16" ht="18" customHeight="1" x14ac:dyDescent="0.15">
      <c r="A64" s="5" t="s">
        <v>726</v>
      </c>
      <c r="B64" s="6" t="s">
        <v>570</v>
      </c>
      <c r="C64" s="6" t="s">
        <v>770</v>
      </c>
      <c r="D64" s="6" t="s">
        <v>793</v>
      </c>
      <c r="E64" s="6" t="s">
        <v>772</v>
      </c>
      <c r="F64" s="8">
        <v>186941040</v>
      </c>
      <c r="G64" s="8">
        <v>186941254</v>
      </c>
      <c r="H64" s="43">
        <v>0.33068210115799501</v>
      </c>
      <c r="I64" s="6">
        <v>23</v>
      </c>
      <c r="J64" s="50">
        <v>0.90423610344860506</v>
      </c>
      <c r="K64" s="8">
        <v>8039</v>
      </c>
      <c r="L64" s="6" t="s">
        <v>362</v>
      </c>
      <c r="M64" s="6" t="s">
        <v>730</v>
      </c>
      <c r="N64" s="6" t="s">
        <v>730</v>
      </c>
      <c r="O64" s="6" t="s">
        <v>730</v>
      </c>
      <c r="P64" s="6" t="s">
        <v>731</v>
      </c>
    </row>
    <row r="65" spans="1:16" ht="18" customHeight="1" x14ac:dyDescent="0.15">
      <c r="A65" s="5" t="s">
        <v>726</v>
      </c>
      <c r="B65" s="6" t="s">
        <v>570</v>
      </c>
      <c r="C65" s="6" t="s">
        <v>770</v>
      </c>
      <c r="D65" s="6" t="s">
        <v>794</v>
      </c>
      <c r="E65" s="6" t="s">
        <v>772</v>
      </c>
      <c r="F65" s="8">
        <v>186941205</v>
      </c>
      <c r="G65" s="8">
        <v>186941400</v>
      </c>
      <c r="H65" s="43">
        <v>0.329099734242146</v>
      </c>
      <c r="I65" s="6">
        <v>25</v>
      </c>
      <c r="J65" s="50">
        <v>0.90357319413685799</v>
      </c>
      <c r="K65" s="8">
        <v>8204</v>
      </c>
      <c r="L65" s="6" t="s">
        <v>362</v>
      </c>
      <c r="M65" s="6" t="s">
        <v>730</v>
      </c>
      <c r="N65" s="6" t="s">
        <v>730</v>
      </c>
      <c r="O65" s="6" t="s">
        <v>730</v>
      </c>
      <c r="P65" s="6" t="s">
        <v>731</v>
      </c>
    </row>
    <row r="66" spans="1:16" ht="18" customHeight="1" x14ac:dyDescent="0.15">
      <c r="A66" s="5" t="s">
        <v>726</v>
      </c>
      <c r="B66" s="6" t="s">
        <v>570</v>
      </c>
      <c r="C66" s="6" t="s">
        <v>770</v>
      </c>
      <c r="D66" s="6" t="s">
        <v>795</v>
      </c>
      <c r="E66" s="6" t="s">
        <v>772</v>
      </c>
      <c r="F66" s="8">
        <v>186941478</v>
      </c>
      <c r="G66" s="8">
        <v>186941670</v>
      </c>
      <c r="H66" s="43">
        <v>0.16574126825882801</v>
      </c>
      <c r="I66" s="6">
        <v>77</v>
      </c>
      <c r="J66" s="50">
        <v>0.79171875963846705</v>
      </c>
      <c r="K66" s="8">
        <v>8477</v>
      </c>
      <c r="L66" s="6" t="s">
        <v>362</v>
      </c>
      <c r="M66" s="6" t="s">
        <v>730</v>
      </c>
      <c r="N66" s="6" t="s">
        <v>730</v>
      </c>
      <c r="O66" s="6" t="s">
        <v>730</v>
      </c>
      <c r="P66" s="6" t="s">
        <v>731</v>
      </c>
    </row>
    <row r="67" spans="1:16" ht="18" customHeight="1" x14ac:dyDescent="0.15">
      <c r="A67" s="5" t="s">
        <v>726</v>
      </c>
      <c r="B67" s="6" t="s">
        <v>570</v>
      </c>
      <c r="C67" s="6" t="s">
        <v>770</v>
      </c>
      <c r="D67" s="6" t="s">
        <v>796</v>
      </c>
      <c r="E67" s="6" t="s">
        <v>772</v>
      </c>
      <c r="F67" s="8">
        <v>186942034</v>
      </c>
      <c r="G67" s="8">
        <v>186942160</v>
      </c>
      <c r="H67" s="43">
        <v>9.2334184509057296E-2</v>
      </c>
      <c r="I67" s="6">
        <v>126</v>
      </c>
      <c r="J67" s="50">
        <v>0.68246643967308096</v>
      </c>
      <c r="K67" s="8">
        <v>9033</v>
      </c>
      <c r="L67" s="6" t="s">
        <v>362</v>
      </c>
      <c r="M67" s="6" t="s">
        <v>730</v>
      </c>
      <c r="N67" s="6" t="s">
        <v>730</v>
      </c>
      <c r="O67" s="6" t="s">
        <v>730</v>
      </c>
      <c r="P67" s="6" t="s">
        <v>731</v>
      </c>
    </row>
    <row r="68" spans="1:16" ht="18" customHeight="1" x14ac:dyDescent="0.15">
      <c r="A68" s="5" t="s">
        <v>726</v>
      </c>
      <c r="B68" s="6" t="s">
        <v>570</v>
      </c>
      <c r="C68" s="6" t="s">
        <v>770</v>
      </c>
      <c r="D68" s="6" t="s">
        <v>797</v>
      </c>
      <c r="E68" s="6" t="s">
        <v>772</v>
      </c>
      <c r="F68" s="8">
        <v>186942208</v>
      </c>
      <c r="G68" s="8">
        <v>186942481</v>
      </c>
      <c r="H68" s="43">
        <v>0.14181795888222201</v>
      </c>
      <c r="I68" s="6">
        <v>91</v>
      </c>
      <c r="J68" s="50">
        <v>0.76305118997868804</v>
      </c>
      <c r="K68" s="8">
        <v>9207</v>
      </c>
      <c r="L68" s="6" t="s">
        <v>362</v>
      </c>
      <c r="M68" s="6" t="s">
        <v>730</v>
      </c>
      <c r="N68" s="6" t="s">
        <v>730</v>
      </c>
      <c r="O68" s="6" t="s">
        <v>730</v>
      </c>
      <c r="P68" s="6" t="s">
        <v>731</v>
      </c>
    </row>
    <row r="69" spans="1:16" ht="18" customHeight="1" x14ac:dyDescent="0.15">
      <c r="A69" s="5" t="s">
        <v>726</v>
      </c>
      <c r="B69" s="6" t="s">
        <v>570</v>
      </c>
      <c r="C69" s="6" t="s">
        <v>770</v>
      </c>
      <c r="D69" s="6" t="s">
        <v>798</v>
      </c>
      <c r="E69" s="6" t="s">
        <v>772</v>
      </c>
      <c r="F69" s="8">
        <v>186922160</v>
      </c>
      <c r="G69" s="8">
        <v>186922880</v>
      </c>
      <c r="H69" s="43">
        <v>2.83213269252044E-2</v>
      </c>
      <c r="I69" s="6">
        <v>194</v>
      </c>
      <c r="J69" s="50">
        <v>0.38153602082386701</v>
      </c>
      <c r="K69" s="8">
        <v>10121</v>
      </c>
      <c r="L69" s="6" t="s">
        <v>362</v>
      </c>
      <c r="M69" s="6" t="s">
        <v>730</v>
      </c>
      <c r="N69" s="6" t="s">
        <v>730</v>
      </c>
      <c r="O69" s="6" t="s">
        <v>730</v>
      </c>
      <c r="P69" s="6" t="s">
        <v>731</v>
      </c>
    </row>
    <row r="70" spans="1:16" ht="18" customHeight="1" x14ac:dyDescent="0.15">
      <c r="A70" s="5" t="s">
        <v>726</v>
      </c>
      <c r="B70" s="6" t="s">
        <v>570</v>
      </c>
      <c r="C70" s="6" t="s">
        <v>770</v>
      </c>
      <c r="D70" s="6" t="s">
        <v>799</v>
      </c>
      <c r="E70" s="6" t="s">
        <v>772</v>
      </c>
      <c r="F70" s="8">
        <v>186922120</v>
      </c>
      <c r="G70" s="8">
        <v>186922380</v>
      </c>
      <c r="H70" s="43">
        <v>7.7271074056625394E-2</v>
      </c>
      <c r="I70" s="6">
        <v>138</v>
      </c>
      <c r="J70" s="50">
        <v>0.64682659317611801</v>
      </c>
      <c r="K70" s="8">
        <v>10621</v>
      </c>
      <c r="L70" s="6" t="s">
        <v>362</v>
      </c>
      <c r="M70" s="6" t="s">
        <v>730</v>
      </c>
      <c r="N70" s="6" t="s">
        <v>730</v>
      </c>
      <c r="O70" s="6" t="s">
        <v>730</v>
      </c>
      <c r="P70" s="6" t="s">
        <v>731</v>
      </c>
    </row>
    <row r="71" spans="1:16" ht="18" customHeight="1" x14ac:dyDescent="0.15">
      <c r="A71" s="5" t="s">
        <v>726</v>
      </c>
      <c r="B71" s="6" t="s">
        <v>570</v>
      </c>
      <c r="C71" s="6" t="s">
        <v>770</v>
      </c>
      <c r="D71" s="6" t="s">
        <v>800</v>
      </c>
      <c r="E71" s="6" t="s">
        <v>772</v>
      </c>
      <c r="F71" s="8">
        <v>186921640</v>
      </c>
      <c r="G71" s="8">
        <v>186921881</v>
      </c>
      <c r="H71" s="43">
        <v>7.8031265964874794E-2</v>
      </c>
      <c r="I71" s="6">
        <v>136</v>
      </c>
      <c r="J71" s="50">
        <v>0.64785788197434002</v>
      </c>
      <c r="K71" s="8">
        <v>11120</v>
      </c>
      <c r="L71" s="6" t="s">
        <v>362</v>
      </c>
      <c r="M71" s="6" t="s">
        <v>730</v>
      </c>
      <c r="N71" s="6" t="s">
        <v>730</v>
      </c>
      <c r="O71" s="6" t="s">
        <v>730</v>
      </c>
      <c r="P71" s="6" t="s">
        <v>731</v>
      </c>
    </row>
    <row r="72" spans="1:16" ht="18" customHeight="1" x14ac:dyDescent="0.15">
      <c r="A72" s="5" t="s">
        <v>726</v>
      </c>
      <c r="B72" s="6" t="s">
        <v>570</v>
      </c>
      <c r="C72" s="6" t="s">
        <v>770</v>
      </c>
      <c r="D72" s="6" t="s">
        <v>801</v>
      </c>
      <c r="E72" s="6" t="s">
        <v>772</v>
      </c>
      <c r="F72" s="8">
        <v>186921400</v>
      </c>
      <c r="G72" s="8">
        <v>186921820</v>
      </c>
      <c r="H72" s="43">
        <v>5.9828156462082498E-2</v>
      </c>
      <c r="I72" s="6">
        <v>153</v>
      </c>
      <c r="J72" s="50">
        <v>0.59312920128550495</v>
      </c>
      <c r="K72" s="8">
        <v>11181</v>
      </c>
      <c r="L72" s="6" t="s">
        <v>362</v>
      </c>
      <c r="M72" s="6" t="s">
        <v>730</v>
      </c>
      <c r="N72" s="6" t="s">
        <v>730</v>
      </c>
      <c r="O72" s="6" t="s">
        <v>730</v>
      </c>
      <c r="P72" s="6" t="s">
        <v>731</v>
      </c>
    </row>
    <row r="73" spans="1:16" ht="18" customHeight="1" x14ac:dyDescent="0.15">
      <c r="A73" s="5" t="s">
        <v>726</v>
      </c>
      <c r="B73" s="6" t="s">
        <v>570</v>
      </c>
      <c r="C73" s="6" t="s">
        <v>770</v>
      </c>
      <c r="D73" s="6" t="s">
        <v>802</v>
      </c>
      <c r="E73" s="6" t="s">
        <v>772</v>
      </c>
      <c r="F73" s="8">
        <v>186921474</v>
      </c>
      <c r="G73" s="8">
        <v>186921539</v>
      </c>
      <c r="H73" s="43">
        <v>3.2589466525958101E-2</v>
      </c>
      <c r="I73" s="6">
        <v>188</v>
      </c>
      <c r="J73" s="50">
        <v>0.45834140611492602</v>
      </c>
      <c r="K73" s="8">
        <v>11462</v>
      </c>
      <c r="L73" s="6" t="s">
        <v>362</v>
      </c>
      <c r="M73" s="6" t="s">
        <v>730</v>
      </c>
      <c r="N73" s="6" t="s">
        <v>730</v>
      </c>
      <c r="O73" s="6" t="s">
        <v>730</v>
      </c>
      <c r="P73" s="6" t="s">
        <v>731</v>
      </c>
    </row>
    <row r="74" spans="1:16" ht="18" customHeight="1" x14ac:dyDescent="0.15">
      <c r="A74" s="5" t="s">
        <v>726</v>
      </c>
      <c r="B74" s="6" t="s">
        <v>570</v>
      </c>
      <c r="C74" s="6" t="s">
        <v>770</v>
      </c>
      <c r="D74" s="6" t="s">
        <v>803</v>
      </c>
      <c r="E74" s="6" t="s">
        <v>772</v>
      </c>
      <c r="F74" s="8">
        <v>186945332</v>
      </c>
      <c r="G74" s="8">
        <v>186945544</v>
      </c>
      <c r="H74" s="43">
        <v>1.6882494091987599E-2</v>
      </c>
      <c r="I74" s="6">
        <v>203</v>
      </c>
      <c r="J74" s="50">
        <v>0.32028163654324499</v>
      </c>
      <c r="K74" s="8">
        <v>12331</v>
      </c>
      <c r="L74" s="6" t="s">
        <v>362</v>
      </c>
      <c r="M74" s="6" t="s">
        <v>730</v>
      </c>
      <c r="N74" s="6" t="s">
        <v>730</v>
      </c>
      <c r="O74" s="6" t="s">
        <v>730</v>
      </c>
      <c r="P74" s="6" t="s">
        <v>731</v>
      </c>
    </row>
    <row r="75" spans="1:16" ht="18" customHeight="1" x14ac:dyDescent="0.15">
      <c r="A75" s="5" t="s">
        <v>726</v>
      </c>
      <c r="B75" s="6" t="s">
        <v>570</v>
      </c>
      <c r="C75" s="6" t="s">
        <v>770</v>
      </c>
      <c r="D75" s="6" t="s">
        <v>804</v>
      </c>
      <c r="E75" s="6" t="s">
        <v>772</v>
      </c>
      <c r="F75" s="8">
        <v>186945480</v>
      </c>
      <c r="G75" s="8">
        <v>186945642</v>
      </c>
      <c r="H75" s="43">
        <v>1.7653238314848701E-2</v>
      </c>
      <c r="I75" s="6">
        <v>202</v>
      </c>
      <c r="J75" s="50">
        <v>0.32753193563437299</v>
      </c>
      <c r="K75" s="8">
        <v>12479</v>
      </c>
      <c r="L75" s="6" t="s">
        <v>362</v>
      </c>
      <c r="M75" s="6" t="s">
        <v>730</v>
      </c>
      <c r="N75" s="6" t="s">
        <v>730</v>
      </c>
      <c r="O75" s="6" t="s">
        <v>730</v>
      </c>
      <c r="P75" s="6" t="s">
        <v>731</v>
      </c>
    </row>
    <row r="76" spans="1:16" ht="18" customHeight="1" x14ac:dyDescent="0.15">
      <c r="A76" s="5" t="s">
        <v>726</v>
      </c>
      <c r="B76" s="6" t="s">
        <v>570</v>
      </c>
      <c r="C76" s="6" t="s">
        <v>770</v>
      </c>
      <c r="D76" s="6" t="s">
        <v>805</v>
      </c>
      <c r="E76" s="6" t="s">
        <v>772</v>
      </c>
      <c r="F76" s="8">
        <v>186946740</v>
      </c>
      <c r="G76" s="8">
        <v>186946980</v>
      </c>
      <c r="H76" s="43">
        <v>3.4129090034044698E-2</v>
      </c>
      <c r="I76" s="6">
        <v>186</v>
      </c>
      <c r="J76" s="50">
        <v>0.46410167968882399</v>
      </c>
      <c r="K76" s="8">
        <v>13739</v>
      </c>
      <c r="L76" s="6" t="s">
        <v>362</v>
      </c>
      <c r="M76" s="6" t="s">
        <v>730</v>
      </c>
      <c r="N76" s="6" t="s">
        <v>730</v>
      </c>
      <c r="O76" s="6" t="s">
        <v>730</v>
      </c>
      <c r="P76" s="6" t="s">
        <v>731</v>
      </c>
    </row>
    <row r="77" spans="1:16" ht="18" customHeight="1" x14ac:dyDescent="0.15">
      <c r="A77" s="5" t="s">
        <v>726</v>
      </c>
      <c r="B77" s="6" t="s">
        <v>570</v>
      </c>
      <c r="C77" s="6" t="s">
        <v>770</v>
      </c>
      <c r="D77" s="6" t="s">
        <v>806</v>
      </c>
      <c r="E77" s="6" t="s">
        <v>772</v>
      </c>
      <c r="F77" s="8">
        <v>186946900</v>
      </c>
      <c r="G77" s="8">
        <v>186947140</v>
      </c>
      <c r="H77" s="43">
        <v>0.11946036150822301</v>
      </c>
      <c r="I77" s="6">
        <v>102</v>
      </c>
      <c r="J77" s="50">
        <v>0.73336188853566597</v>
      </c>
      <c r="K77" s="8">
        <v>13899</v>
      </c>
      <c r="L77" s="6" t="s">
        <v>362</v>
      </c>
      <c r="M77" s="6" t="s">
        <v>730</v>
      </c>
      <c r="N77" s="6" t="s">
        <v>730</v>
      </c>
      <c r="O77" s="6" t="s">
        <v>730</v>
      </c>
      <c r="P77" s="6" t="s">
        <v>731</v>
      </c>
    </row>
    <row r="78" spans="1:16" ht="18" customHeight="1" x14ac:dyDescent="0.15">
      <c r="A78" s="5" t="s">
        <v>726</v>
      </c>
      <c r="B78" s="6" t="s">
        <v>570</v>
      </c>
      <c r="C78" s="6" t="s">
        <v>770</v>
      </c>
      <c r="D78" s="6" t="s">
        <v>807</v>
      </c>
      <c r="E78" s="6" t="s">
        <v>772</v>
      </c>
      <c r="F78" s="8">
        <v>186947080</v>
      </c>
      <c r="G78" s="8">
        <v>186947399</v>
      </c>
      <c r="H78" s="43">
        <v>0.13191421559223801</v>
      </c>
      <c r="I78" s="6">
        <v>95</v>
      </c>
      <c r="J78" s="50">
        <v>0.75205280337657998</v>
      </c>
      <c r="K78" s="8">
        <v>14079</v>
      </c>
      <c r="L78" s="6" t="s">
        <v>362</v>
      </c>
      <c r="M78" s="6" t="s">
        <v>730</v>
      </c>
      <c r="N78" s="6" t="s">
        <v>730</v>
      </c>
      <c r="O78" s="6" t="s">
        <v>730</v>
      </c>
      <c r="P78" s="6" t="s">
        <v>731</v>
      </c>
    </row>
    <row r="79" spans="1:16" ht="18" customHeight="1" x14ac:dyDescent="0.15">
      <c r="A79" s="5" t="s">
        <v>726</v>
      </c>
      <c r="B79" s="6" t="s">
        <v>570</v>
      </c>
      <c r="C79" s="6" t="s">
        <v>770</v>
      </c>
      <c r="D79" s="6" t="s">
        <v>808</v>
      </c>
      <c r="E79" s="6" t="s">
        <v>772</v>
      </c>
      <c r="F79" s="8">
        <v>186947720</v>
      </c>
      <c r="G79" s="8">
        <v>186947803</v>
      </c>
      <c r="H79" s="43">
        <v>0.27445657780537203</v>
      </c>
      <c r="I79" s="6">
        <v>37</v>
      </c>
      <c r="J79" s="50">
        <v>0.87730095995871404</v>
      </c>
      <c r="K79" s="8">
        <v>14719</v>
      </c>
      <c r="L79" s="6" t="s">
        <v>362</v>
      </c>
      <c r="M79" s="6" t="s">
        <v>730</v>
      </c>
      <c r="N79" s="6" t="s">
        <v>730</v>
      </c>
      <c r="O79" s="6" t="s">
        <v>730</v>
      </c>
      <c r="P79" s="6" t="s">
        <v>731</v>
      </c>
    </row>
    <row r="80" spans="1:16" ht="18" customHeight="1" x14ac:dyDescent="0.15">
      <c r="A80" s="5" t="s">
        <v>726</v>
      </c>
      <c r="B80" s="6" t="s">
        <v>570</v>
      </c>
      <c r="C80" s="6" t="s">
        <v>770</v>
      </c>
      <c r="D80" s="6" t="s">
        <v>809</v>
      </c>
      <c r="E80" s="6" t="s">
        <v>772</v>
      </c>
      <c r="F80" s="8">
        <v>186947796</v>
      </c>
      <c r="G80" s="8">
        <v>186948033</v>
      </c>
      <c r="H80" s="43">
        <v>0.53782158001111102</v>
      </c>
      <c r="I80" s="6">
        <v>11</v>
      </c>
      <c r="J80" s="50">
        <v>0.96062596710475401</v>
      </c>
      <c r="K80" s="8">
        <v>14795</v>
      </c>
      <c r="L80" s="6" t="s">
        <v>362</v>
      </c>
      <c r="M80" s="6" t="s">
        <v>730</v>
      </c>
      <c r="N80" s="6" t="s">
        <v>730</v>
      </c>
      <c r="O80" s="6" t="s">
        <v>730</v>
      </c>
      <c r="P80" s="6" t="s">
        <v>731</v>
      </c>
    </row>
    <row r="81" spans="1:16" ht="18" customHeight="1" x14ac:dyDescent="0.15">
      <c r="A81" s="5" t="s">
        <v>726</v>
      </c>
      <c r="B81" s="6" t="s">
        <v>570</v>
      </c>
      <c r="C81" s="6" t="s">
        <v>770</v>
      </c>
      <c r="D81" s="6" t="s">
        <v>810</v>
      </c>
      <c r="E81" s="6" t="s">
        <v>772</v>
      </c>
      <c r="F81" s="8">
        <v>186948020</v>
      </c>
      <c r="G81" s="8">
        <v>186948240</v>
      </c>
      <c r="H81" s="43">
        <v>0.50235614696374298</v>
      </c>
      <c r="I81" s="6">
        <v>14</v>
      </c>
      <c r="J81" s="50">
        <v>0.95391433613064303</v>
      </c>
      <c r="K81" s="8">
        <v>15019</v>
      </c>
      <c r="L81" s="6" t="s">
        <v>362</v>
      </c>
      <c r="M81" s="6" t="s">
        <v>730</v>
      </c>
      <c r="N81" s="6" t="s">
        <v>730</v>
      </c>
      <c r="O81" s="6" t="s">
        <v>730</v>
      </c>
      <c r="P81" s="6" t="s">
        <v>731</v>
      </c>
    </row>
    <row r="82" spans="1:16" ht="18" customHeight="1" x14ac:dyDescent="0.15">
      <c r="A82" s="5" t="s">
        <v>726</v>
      </c>
      <c r="B82" s="6" t="s">
        <v>570</v>
      </c>
      <c r="C82" s="6" t="s">
        <v>770</v>
      </c>
      <c r="D82" s="6" t="s">
        <v>811</v>
      </c>
      <c r="E82" s="6" t="s">
        <v>772</v>
      </c>
      <c r="F82" s="8">
        <v>186917740</v>
      </c>
      <c r="G82" s="8">
        <v>186917980</v>
      </c>
      <c r="H82" s="43">
        <v>3.0035736469122099E-2</v>
      </c>
      <c r="I82" s="6">
        <v>190</v>
      </c>
      <c r="J82" s="50">
        <v>0.43727861392005302</v>
      </c>
      <c r="K82" s="8">
        <v>15021</v>
      </c>
      <c r="L82" s="6" t="s">
        <v>362</v>
      </c>
      <c r="M82" s="6" t="s">
        <v>730</v>
      </c>
      <c r="N82" s="6" t="s">
        <v>730</v>
      </c>
      <c r="O82" s="6" t="s">
        <v>730</v>
      </c>
      <c r="P82" s="6" t="s">
        <v>731</v>
      </c>
    </row>
    <row r="83" spans="1:16" ht="18" customHeight="1" x14ac:dyDescent="0.15">
      <c r="A83" s="5" t="s">
        <v>726</v>
      </c>
      <c r="B83" s="6" t="s">
        <v>570</v>
      </c>
      <c r="C83" s="6" t="s">
        <v>770</v>
      </c>
      <c r="D83" s="6" t="s">
        <v>812</v>
      </c>
      <c r="E83" s="6" t="s">
        <v>772</v>
      </c>
      <c r="F83" s="8">
        <v>186948300</v>
      </c>
      <c r="G83" s="8">
        <v>186948518</v>
      </c>
      <c r="H83" s="43">
        <v>0.39611715192978197</v>
      </c>
      <c r="I83" s="6">
        <v>17</v>
      </c>
      <c r="J83" s="50">
        <v>0.92715382536900903</v>
      </c>
      <c r="K83" s="8">
        <v>15299</v>
      </c>
      <c r="L83" s="6" t="s">
        <v>362</v>
      </c>
      <c r="M83" s="6" t="s">
        <v>730</v>
      </c>
      <c r="N83" s="6" t="s">
        <v>730</v>
      </c>
      <c r="O83" s="6" t="s">
        <v>730</v>
      </c>
      <c r="P83" s="6" t="s">
        <v>731</v>
      </c>
    </row>
    <row r="84" spans="1:16" ht="18" customHeight="1" x14ac:dyDescent="0.15">
      <c r="A84" s="5" t="s">
        <v>726</v>
      </c>
      <c r="B84" s="6" t="s">
        <v>570</v>
      </c>
      <c r="C84" s="6" t="s">
        <v>770</v>
      </c>
      <c r="D84" s="6" t="s">
        <v>813</v>
      </c>
      <c r="E84" s="6" t="s">
        <v>772</v>
      </c>
      <c r="F84" s="8">
        <v>186948786</v>
      </c>
      <c r="G84" s="8">
        <v>186948944</v>
      </c>
      <c r="H84" s="43">
        <v>0.30749017172134802</v>
      </c>
      <c r="I84" s="6">
        <v>30</v>
      </c>
      <c r="J84" s="50">
        <v>0.89410740520961596</v>
      </c>
      <c r="K84" s="8">
        <v>15785</v>
      </c>
      <c r="L84" s="6" t="s">
        <v>362</v>
      </c>
      <c r="M84" s="6" t="s">
        <v>730</v>
      </c>
      <c r="N84" s="6" t="s">
        <v>730</v>
      </c>
      <c r="O84" s="6" t="s">
        <v>730</v>
      </c>
      <c r="P84" s="6" t="s">
        <v>731</v>
      </c>
    </row>
    <row r="85" spans="1:16" ht="18" customHeight="1" x14ac:dyDescent="0.15">
      <c r="A85" s="5" t="s">
        <v>726</v>
      </c>
      <c r="B85" s="6" t="s">
        <v>570</v>
      </c>
      <c r="C85" s="6" t="s">
        <v>770</v>
      </c>
      <c r="D85" s="6" t="s">
        <v>814</v>
      </c>
      <c r="E85" s="6" t="s">
        <v>772</v>
      </c>
      <c r="F85" s="8">
        <v>186949060</v>
      </c>
      <c r="G85" s="8">
        <v>186949320</v>
      </c>
      <c r="H85" s="43">
        <v>0.32930055833779798</v>
      </c>
      <c r="I85" s="6">
        <v>24</v>
      </c>
      <c r="J85" s="50">
        <v>0.90365486317395405</v>
      </c>
      <c r="K85" s="8">
        <v>16059</v>
      </c>
      <c r="L85" s="6" t="s">
        <v>362</v>
      </c>
      <c r="M85" s="6" t="s">
        <v>730</v>
      </c>
      <c r="N85" s="6" t="s">
        <v>730</v>
      </c>
      <c r="O85" s="6" t="s">
        <v>730</v>
      </c>
      <c r="P85" s="6" t="s">
        <v>731</v>
      </c>
    </row>
    <row r="86" spans="1:16" ht="18" customHeight="1" x14ac:dyDescent="0.15">
      <c r="A86" s="5" t="s">
        <v>726</v>
      </c>
      <c r="B86" s="6" t="s">
        <v>570</v>
      </c>
      <c r="C86" s="6" t="s">
        <v>770</v>
      </c>
      <c r="D86" s="6" t="s">
        <v>815</v>
      </c>
      <c r="E86" s="6" t="s">
        <v>772</v>
      </c>
      <c r="F86" s="8">
        <v>186949240</v>
      </c>
      <c r="G86" s="8">
        <v>186949420</v>
      </c>
      <c r="H86" s="43">
        <v>0.32047238659400201</v>
      </c>
      <c r="I86" s="6">
        <v>29</v>
      </c>
      <c r="J86" s="50">
        <v>0.89995282309878399</v>
      </c>
      <c r="K86" s="8">
        <v>16239</v>
      </c>
      <c r="L86" s="6" t="s">
        <v>362</v>
      </c>
      <c r="M86" s="6" t="s">
        <v>730</v>
      </c>
      <c r="N86" s="6" t="s">
        <v>730</v>
      </c>
      <c r="O86" s="6" t="s">
        <v>730</v>
      </c>
      <c r="P86" s="6" t="s">
        <v>731</v>
      </c>
    </row>
    <row r="87" spans="1:16" ht="18" customHeight="1" x14ac:dyDescent="0.15">
      <c r="A87" s="5" t="s">
        <v>726</v>
      </c>
      <c r="B87" s="6" t="s">
        <v>570</v>
      </c>
      <c r="C87" s="6" t="s">
        <v>770</v>
      </c>
      <c r="D87" s="6" t="s">
        <v>816</v>
      </c>
      <c r="E87" s="6" t="s">
        <v>772</v>
      </c>
      <c r="F87" s="8">
        <v>186949420</v>
      </c>
      <c r="G87" s="8">
        <v>186949660</v>
      </c>
      <c r="H87" s="43">
        <v>0.18569953223833699</v>
      </c>
      <c r="I87" s="6">
        <v>64</v>
      </c>
      <c r="J87" s="50">
        <v>0.81148353543523999</v>
      </c>
      <c r="K87" s="8">
        <v>16419</v>
      </c>
      <c r="L87" s="6" t="s">
        <v>362</v>
      </c>
      <c r="M87" s="6" t="s">
        <v>730</v>
      </c>
      <c r="N87" s="6" t="s">
        <v>730</v>
      </c>
      <c r="O87" s="6" t="s">
        <v>730</v>
      </c>
      <c r="P87" s="6" t="s">
        <v>731</v>
      </c>
    </row>
    <row r="88" spans="1:16" ht="18" customHeight="1" x14ac:dyDescent="0.15">
      <c r="A88" s="5" t="s">
        <v>726</v>
      </c>
      <c r="B88" s="6" t="s">
        <v>570</v>
      </c>
      <c r="C88" s="6" t="s">
        <v>770</v>
      </c>
      <c r="D88" s="6" t="s">
        <v>817</v>
      </c>
      <c r="E88" s="6" t="s">
        <v>772</v>
      </c>
      <c r="F88" s="8">
        <v>186949540</v>
      </c>
      <c r="G88" s="8">
        <v>186949701</v>
      </c>
      <c r="H88" s="43">
        <v>0.11285283989631199</v>
      </c>
      <c r="I88" s="6">
        <v>111</v>
      </c>
      <c r="J88" s="50">
        <v>0.719130624411918</v>
      </c>
      <c r="K88" s="8">
        <v>16539</v>
      </c>
      <c r="L88" s="6" t="s">
        <v>362</v>
      </c>
      <c r="M88" s="6" t="s">
        <v>730</v>
      </c>
      <c r="N88" s="6" t="s">
        <v>730</v>
      </c>
      <c r="O88" s="6" t="s">
        <v>730</v>
      </c>
      <c r="P88" s="6" t="s">
        <v>731</v>
      </c>
    </row>
    <row r="89" spans="1:16" ht="18" customHeight="1" x14ac:dyDescent="0.15">
      <c r="A89" s="5" t="s">
        <v>726</v>
      </c>
      <c r="B89" s="6" t="s">
        <v>570</v>
      </c>
      <c r="C89" s="6" t="s">
        <v>770</v>
      </c>
      <c r="D89" s="6" t="s">
        <v>818</v>
      </c>
      <c r="E89" s="6" t="s">
        <v>772</v>
      </c>
      <c r="F89" s="8">
        <v>186950052</v>
      </c>
      <c r="G89" s="8">
        <v>186950167</v>
      </c>
      <c r="H89" s="43">
        <v>0.126108968487153</v>
      </c>
      <c r="I89" s="6">
        <v>100</v>
      </c>
      <c r="J89" s="50">
        <v>0.74033764065102403</v>
      </c>
      <c r="K89" s="8">
        <v>17051</v>
      </c>
      <c r="L89" s="6" t="s">
        <v>362</v>
      </c>
      <c r="M89" s="6" t="s">
        <v>730</v>
      </c>
      <c r="N89" s="6" t="s">
        <v>730</v>
      </c>
      <c r="O89" s="6" t="s">
        <v>730</v>
      </c>
      <c r="P89" s="6" t="s">
        <v>731</v>
      </c>
    </row>
    <row r="90" spans="1:16" ht="18" customHeight="1" x14ac:dyDescent="0.15">
      <c r="A90" s="5" t="s">
        <v>726</v>
      </c>
      <c r="B90" s="6" t="s">
        <v>570</v>
      </c>
      <c r="C90" s="6" t="s">
        <v>770</v>
      </c>
      <c r="D90" s="6" t="s">
        <v>819</v>
      </c>
      <c r="E90" s="6" t="s">
        <v>772</v>
      </c>
      <c r="F90" s="8">
        <v>186950340</v>
      </c>
      <c r="G90" s="8">
        <v>186950571</v>
      </c>
      <c r="H90" s="43">
        <v>0.12890636347807399</v>
      </c>
      <c r="I90" s="6">
        <v>97</v>
      </c>
      <c r="J90" s="50">
        <v>0.74634379015575303</v>
      </c>
      <c r="K90" s="8">
        <v>17339</v>
      </c>
      <c r="L90" s="6" t="s">
        <v>362</v>
      </c>
      <c r="M90" s="6" t="s">
        <v>730</v>
      </c>
      <c r="N90" s="6" t="s">
        <v>730</v>
      </c>
      <c r="O90" s="6" t="s">
        <v>730</v>
      </c>
      <c r="P90" s="6" t="s">
        <v>731</v>
      </c>
    </row>
    <row r="91" spans="1:16" ht="18" customHeight="1" x14ac:dyDescent="0.15">
      <c r="A91" s="5" t="s">
        <v>726</v>
      </c>
      <c r="B91" s="6" t="s">
        <v>570</v>
      </c>
      <c r="C91" s="6" t="s">
        <v>770</v>
      </c>
      <c r="D91" s="6" t="s">
        <v>820</v>
      </c>
      <c r="E91" s="6" t="s">
        <v>772</v>
      </c>
      <c r="F91" s="8">
        <v>186950483</v>
      </c>
      <c r="G91" s="8">
        <v>186950709</v>
      </c>
      <c r="H91" s="43">
        <v>0.109182874743755</v>
      </c>
      <c r="I91" s="6">
        <v>114</v>
      </c>
      <c r="J91" s="50">
        <v>0.71376479491080302</v>
      </c>
      <c r="K91" s="8">
        <v>17482</v>
      </c>
      <c r="L91" s="6" t="s">
        <v>362</v>
      </c>
      <c r="M91" s="6" t="s">
        <v>730</v>
      </c>
      <c r="N91" s="6" t="s">
        <v>730</v>
      </c>
      <c r="O91" s="6" t="s">
        <v>730</v>
      </c>
      <c r="P91" s="6" t="s">
        <v>731</v>
      </c>
    </row>
    <row r="92" spans="1:16" ht="18" customHeight="1" x14ac:dyDescent="0.15">
      <c r="A92" s="5" t="s">
        <v>726</v>
      </c>
      <c r="B92" s="6" t="s">
        <v>570</v>
      </c>
      <c r="C92" s="6" t="s">
        <v>770</v>
      </c>
      <c r="D92" s="6" t="s">
        <v>821</v>
      </c>
      <c r="E92" s="6" t="s">
        <v>772</v>
      </c>
      <c r="F92" s="8">
        <v>186952970</v>
      </c>
      <c r="G92" s="8">
        <v>186953080</v>
      </c>
      <c r="H92" s="43">
        <v>0.23003295293221099</v>
      </c>
      <c r="I92" s="6">
        <v>52</v>
      </c>
      <c r="J92" s="50">
        <v>0.84842400478893298</v>
      </c>
      <c r="K92" s="8">
        <v>19969</v>
      </c>
      <c r="L92" s="6" t="s">
        <v>362</v>
      </c>
      <c r="M92" s="6" t="s">
        <v>730</v>
      </c>
      <c r="N92" s="6" t="s">
        <v>730</v>
      </c>
      <c r="O92" s="6" t="s">
        <v>730</v>
      </c>
      <c r="P92" s="6" t="s">
        <v>731</v>
      </c>
    </row>
    <row r="93" spans="1:16" ht="18" customHeight="1" x14ac:dyDescent="0.15">
      <c r="A93" s="5" t="s">
        <v>726</v>
      </c>
      <c r="B93" s="6" t="s">
        <v>570</v>
      </c>
      <c r="C93" s="6" t="s">
        <v>770</v>
      </c>
      <c r="D93" s="6" t="s">
        <v>822</v>
      </c>
      <c r="E93" s="6" t="s">
        <v>772</v>
      </c>
      <c r="F93" s="8">
        <v>186953099</v>
      </c>
      <c r="G93" s="8">
        <v>186953280</v>
      </c>
      <c r="H93" s="43">
        <v>0.2102064163639</v>
      </c>
      <c r="I93" s="6">
        <v>58</v>
      </c>
      <c r="J93" s="50">
        <v>0.83287213495895296</v>
      </c>
      <c r="K93" s="8">
        <v>20098</v>
      </c>
      <c r="L93" s="6" t="s">
        <v>362</v>
      </c>
      <c r="M93" s="6" t="s">
        <v>730</v>
      </c>
      <c r="N93" s="6" t="s">
        <v>730</v>
      </c>
      <c r="O93" s="6" t="s">
        <v>730</v>
      </c>
      <c r="P93" s="6" t="s">
        <v>731</v>
      </c>
    </row>
    <row r="94" spans="1:16" ht="18" customHeight="1" x14ac:dyDescent="0.15">
      <c r="A94" s="5" t="s">
        <v>726</v>
      </c>
      <c r="B94" s="6" t="s">
        <v>570</v>
      </c>
      <c r="C94" s="6" t="s">
        <v>770</v>
      </c>
      <c r="D94" s="6" t="s">
        <v>823</v>
      </c>
      <c r="E94" s="6" t="s">
        <v>772</v>
      </c>
      <c r="F94" s="8">
        <v>186953180</v>
      </c>
      <c r="G94" s="8">
        <v>186953480</v>
      </c>
      <c r="H94" s="43">
        <v>0.17305399534794</v>
      </c>
      <c r="I94" s="6">
        <v>72</v>
      </c>
      <c r="J94" s="50">
        <v>0.79973970166474495</v>
      </c>
      <c r="K94" s="8">
        <v>20179</v>
      </c>
      <c r="L94" s="6" t="s">
        <v>362</v>
      </c>
      <c r="M94" s="6" t="s">
        <v>730</v>
      </c>
      <c r="N94" s="6" t="s">
        <v>730</v>
      </c>
      <c r="O94" s="6" t="s">
        <v>730</v>
      </c>
      <c r="P94" s="6" t="s">
        <v>731</v>
      </c>
    </row>
    <row r="95" spans="1:16" ht="18" customHeight="1" x14ac:dyDescent="0.15">
      <c r="A95" s="5" t="s">
        <v>726</v>
      </c>
      <c r="B95" s="6" t="s">
        <v>570</v>
      </c>
      <c r="C95" s="6" t="s">
        <v>770</v>
      </c>
      <c r="D95" s="6" t="s">
        <v>824</v>
      </c>
      <c r="E95" s="6" t="s">
        <v>772</v>
      </c>
      <c r="F95" s="8">
        <v>186953540</v>
      </c>
      <c r="G95" s="8">
        <v>186953740</v>
      </c>
      <c r="H95" s="43">
        <v>0.19219894019457001</v>
      </c>
      <c r="I95" s="6">
        <v>62</v>
      </c>
      <c r="J95" s="50">
        <v>0.81794233992217102</v>
      </c>
      <c r="K95" s="8">
        <v>20539</v>
      </c>
      <c r="L95" s="6" t="s">
        <v>362</v>
      </c>
      <c r="M95" s="6" t="s">
        <v>730</v>
      </c>
      <c r="N95" s="6" t="s">
        <v>730</v>
      </c>
      <c r="O95" s="6" t="s">
        <v>730</v>
      </c>
      <c r="P95" s="6" t="s">
        <v>731</v>
      </c>
    </row>
    <row r="96" spans="1:16" ht="18" customHeight="1" x14ac:dyDescent="0.15">
      <c r="A96" s="5" t="s">
        <v>726</v>
      </c>
      <c r="B96" s="6" t="s">
        <v>570</v>
      </c>
      <c r="C96" s="6" t="s">
        <v>770</v>
      </c>
      <c r="D96" s="6" t="s">
        <v>825</v>
      </c>
      <c r="E96" s="6" t="s">
        <v>772</v>
      </c>
      <c r="F96" s="8">
        <v>186956060</v>
      </c>
      <c r="G96" s="8">
        <v>186956263</v>
      </c>
      <c r="H96" s="43">
        <v>0.35641985042737101</v>
      </c>
      <c r="I96" s="6">
        <v>20</v>
      </c>
      <c r="J96" s="50">
        <v>0.914143252703984</v>
      </c>
      <c r="K96" s="8">
        <v>23059</v>
      </c>
      <c r="L96" s="6" t="s">
        <v>362</v>
      </c>
      <c r="M96" s="6" t="s">
        <v>730</v>
      </c>
      <c r="N96" s="6" t="s">
        <v>730</v>
      </c>
      <c r="O96" s="6" t="s">
        <v>730</v>
      </c>
      <c r="P96" s="6" t="s">
        <v>731</v>
      </c>
    </row>
    <row r="97" spans="1:16" ht="18" customHeight="1" x14ac:dyDescent="0.15">
      <c r="A97" s="5" t="s">
        <v>726</v>
      </c>
      <c r="B97" s="6" t="s">
        <v>570</v>
      </c>
      <c r="C97" s="6" t="s">
        <v>770</v>
      </c>
      <c r="D97" s="6" t="s">
        <v>826</v>
      </c>
      <c r="E97" s="6" t="s">
        <v>772</v>
      </c>
      <c r="F97" s="8">
        <v>186956387</v>
      </c>
      <c r="G97" s="8">
        <v>186956611</v>
      </c>
      <c r="H97" s="43">
        <v>0.34481492581275802</v>
      </c>
      <c r="I97" s="6">
        <v>21</v>
      </c>
      <c r="J97" s="50">
        <v>0.90989472513590497</v>
      </c>
      <c r="K97" s="8">
        <v>23386</v>
      </c>
      <c r="L97" s="6" t="s">
        <v>362</v>
      </c>
      <c r="M97" s="6" t="s">
        <v>730</v>
      </c>
      <c r="N97" s="6" t="s">
        <v>730</v>
      </c>
      <c r="O97" s="6" t="s">
        <v>730</v>
      </c>
      <c r="P97" s="6" t="s">
        <v>731</v>
      </c>
    </row>
    <row r="98" spans="1:16" ht="18" customHeight="1" x14ac:dyDescent="0.15">
      <c r="A98" s="5" t="s">
        <v>726</v>
      </c>
      <c r="B98" s="6" t="s">
        <v>570</v>
      </c>
      <c r="C98" s="6" t="s">
        <v>770</v>
      </c>
      <c r="D98" s="6" t="s">
        <v>827</v>
      </c>
      <c r="E98" s="6" t="s">
        <v>772</v>
      </c>
      <c r="F98" s="8">
        <v>186959080</v>
      </c>
      <c r="G98" s="8">
        <v>186959300</v>
      </c>
      <c r="H98" s="43">
        <v>3.3978471389183598E-2</v>
      </c>
      <c r="I98" s="6">
        <v>187</v>
      </c>
      <c r="J98" s="50">
        <v>0.46358560087994</v>
      </c>
      <c r="K98" s="8">
        <v>26079</v>
      </c>
      <c r="L98" s="6" t="s">
        <v>362</v>
      </c>
      <c r="M98" s="6" t="s">
        <v>730</v>
      </c>
      <c r="N98" s="6" t="s">
        <v>730</v>
      </c>
      <c r="O98" s="6" t="s">
        <v>730</v>
      </c>
      <c r="P98" s="6" t="s">
        <v>731</v>
      </c>
    </row>
    <row r="99" spans="1:16" ht="18" customHeight="1" x14ac:dyDescent="0.15">
      <c r="A99" s="5" t="s">
        <v>726</v>
      </c>
      <c r="B99" s="6" t="s">
        <v>570</v>
      </c>
      <c r="C99" s="6" t="s">
        <v>770</v>
      </c>
      <c r="D99" s="6" t="s">
        <v>828</v>
      </c>
      <c r="E99" s="6" t="s">
        <v>772</v>
      </c>
      <c r="F99" s="8">
        <v>186960325</v>
      </c>
      <c r="G99" s="8">
        <v>186960543</v>
      </c>
      <c r="H99" s="43">
        <v>0.181663940732296</v>
      </c>
      <c r="I99" s="6">
        <v>66</v>
      </c>
      <c r="J99" s="50">
        <v>0.80729756287429799</v>
      </c>
      <c r="K99" s="8">
        <v>27324</v>
      </c>
      <c r="L99" s="6" t="s">
        <v>362</v>
      </c>
      <c r="M99" s="6" t="s">
        <v>730</v>
      </c>
      <c r="N99" s="6" t="s">
        <v>730</v>
      </c>
      <c r="O99" s="6" t="s">
        <v>730</v>
      </c>
      <c r="P99" s="6" t="s">
        <v>731</v>
      </c>
    </row>
    <row r="100" spans="1:16" ht="18" customHeight="1" x14ac:dyDescent="0.15">
      <c r="A100" s="5" t="s">
        <v>726</v>
      </c>
      <c r="B100" s="6" t="s">
        <v>570</v>
      </c>
      <c r="C100" s="6" t="s">
        <v>770</v>
      </c>
      <c r="D100" s="6" t="s">
        <v>829</v>
      </c>
      <c r="E100" s="6" t="s">
        <v>772</v>
      </c>
      <c r="F100" s="8">
        <v>186960442</v>
      </c>
      <c r="G100" s="8">
        <v>186960681</v>
      </c>
      <c r="H100" s="43">
        <v>0.12864743058498099</v>
      </c>
      <c r="I100" s="6">
        <v>98</v>
      </c>
      <c r="J100" s="50">
        <v>0.74583553072276199</v>
      </c>
      <c r="K100" s="8">
        <v>27441</v>
      </c>
      <c r="L100" s="6" t="s">
        <v>362</v>
      </c>
      <c r="M100" s="6" t="s">
        <v>730</v>
      </c>
      <c r="N100" s="6" t="s">
        <v>730</v>
      </c>
      <c r="O100" s="6" t="s">
        <v>730</v>
      </c>
      <c r="P100" s="6" t="s">
        <v>731</v>
      </c>
    </row>
    <row r="101" spans="1:16" ht="18" customHeight="1" x14ac:dyDescent="0.15">
      <c r="A101" s="5" t="s">
        <v>726</v>
      </c>
      <c r="B101" s="6" t="s">
        <v>570</v>
      </c>
      <c r="C101" s="6" t="s">
        <v>770</v>
      </c>
      <c r="D101" s="6" t="s">
        <v>830</v>
      </c>
      <c r="E101" s="6" t="s">
        <v>772</v>
      </c>
      <c r="F101" s="8">
        <v>186961927</v>
      </c>
      <c r="G101" s="8">
        <v>186962060</v>
      </c>
      <c r="H101" s="43">
        <v>0.145406149900877</v>
      </c>
      <c r="I101" s="6">
        <v>88</v>
      </c>
      <c r="J101" s="50">
        <v>0.76921285818171703</v>
      </c>
      <c r="K101" s="8">
        <v>28926</v>
      </c>
      <c r="L101" s="6" t="s">
        <v>362</v>
      </c>
      <c r="M101" s="6" t="s">
        <v>730</v>
      </c>
      <c r="N101" s="6" t="s">
        <v>730</v>
      </c>
      <c r="O101" s="6" t="s">
        <v>730</v>
      </c>
      <c r="P101" s="6" t="s">
        <v>731</v>
      </c>
    </row>
    <row r="102" spans="1:16" ht="18" customHeight="1" x14ac:dyDescent="0.15">
      <c r="A102" s="5" t="s">
        <v>726</v>
      </c>
      <c r="B102" s="6" t="s">
        <v>570</v>
      </c>
      <c r="C102" s="6" t="s">
        <v>770</v>
      </c>
      <c r="D102" s="6" t="s">
        <v>831</v>
      </c>
      <c r="E102" s="6" t="s">
        <v>772</v>
      </c>
      <c r="F102" s="8">
        <v>186962600</v>
      </c>
      <c r="G102" s="8">
        <v>186962800</v>
      </c>
      <c r="H102" s="43">
        <v>0.11896226555109</v>
      </c>
      <c r="I102" s="6">
        <v>103</v>
      </c>
      <c r="J102" s="50">
        <v>0.73266857053989298</v>
      </c>
      <c r="K102" s="8">
        <v>29599</v>
      </c>
      <c r="L102" s="6" t="s">
        <v>362</v>
      </c>
      <c r="M102" s="6" t="s">
        <v>730</v>
      </c>
      <c r="N102" s="6" t="s">
        <v>730</v>
      </c>
      <c r="O102" s="6" t="s">
        <v>730</v>
      </c>
      <c r="P102" s="6" t="s">
        <v>731</v>
      </c>
    </row>
    <row r="103" spans="1:16" ht="18" customHeight="1" x14ac:dyDescent="0.15">
      <c r="A103" s="5" t="s">
        <v>726</v>
      </c>
      <c r="B103" s="6" t="s">
        <v>570</v>
      </c>
      <c r="C103" s="6" t="s">
        <v>770</v>
      </c>
      <c r="D103" s="6" t="s">
        <v>832</v>
      </c>
      <c r="E103" s="6" t="s">
        <v>772</v>
      </c>
      <c r="F103" s="8">
        <v>186963664</v>
      </c>
      <c r="G103" s="8">
        <v>186963779</v>
      </c>
      <c r="H103" s="43">
        <v>0.174012408806727</v>
      </c>
      <c r="I103" s="6">
        <v>69</v>
      </c>
      <c r="J103" s="50">
        <v>0.80081964435740804</v>
      </c>
      <c r="K103" s="8">
        <v>30663</v>
      </c>
      <c r="L103" s="6" t="s">
        <v>362</v>
      </c>
      <c r="M103" s="6" t="s">
        <v>730</v>
      </c>
      <c r="N103" s="6" t="s">
        <v>730</v>
      </c>
      <c r="O103" s="6" t="s">
        <v>730</v>
      </c>
      <c r="P103" s="6" t="s">
        <v>731</v>
      </c>
    </row>
    <row r="104" spans="1:16" ht="18" customHeight="1" x14ac:dyDescent="0.15">
      <c r="A104" s="5" t="s">
        <v>726</v>
      </c>
      <c r="B104" s="6" t="s">
        <v>570</v>
      </c>
      <c r="C104" s="6" t="s">
        <v>770</v>
      </c>
      <c r="D104" s="6" t="s">
        <v>833</v>
      </c>
      <c r="E104" s="6" t="s">
        <v>772</v>
      </c>
      <c r="F104" s="8">
        <v>186964002</v>
      </c>
      <c r="G104" s="8">
        <v>186964263</v>
      </c>
      <c r="H104" s="43">
        <v>0.36761116351072598</v>
      </c>
      <c r="I104" s="6">
        <v>18</v>
      </c>
      <c r="J104" s="50">
        <v>0.917974746891147</v>
      </c>
      <c r="K104" s="8">
        <v>31001</v>
      </c>
      <c r="L104" s="6" t="s">
        <v>362</v>
      </c>
      <c r="M104" s="6" t="s">
        <v>730</v>
      </c>
      <c r="N104" s="6" t="s">
        <v>730</v>
      </c>
      <c r="O104" s="6" t="s">
        <v>730</v>
      </c>
      <c r="P104" s="6" t="s">
        <v>731</v>
      </c>
    </row>
    <row r="105" spans="1:16" ht="18" customHeight="1" x14ac:dyDescent="0.15">
      <c r="A105" s="5" t="s">
        <v>726</v>
      </c>
      <c r="B105" s="6" t="s">
        <v>570</v>
      </c>
      <c r="C105" s="6" t="s">
        <v>770</v>
      </c>
      <c r="D105" s="6" t="s">
        <v>834</v>
      </c>
      <c r="E105" s="6" t="s">
        <v>772</v>
      </c>
      <c r="F105" s="8">
        <v>186964180</v>
      </c>
      <c r="G105" s="8">
        <v>186964355</v>
      </c>
      <c r="H105" s="43">
        <v>0.29538460534352501</v>
      </c>
      <c r="I105" s="6">
        <v>31</v>
      </c>
      <c r="J105" s="50">
        <v>0.88827154433542699</v>
      </c>
      <c r="K105" s="8">
        <v>31179</v>
      </c>
      <c r="L105" s="6" t="s">
        <v>362</v>
      </c>
      <c r="M105" s="6" t="s">
        <v>730</v>
      </c>
      <c r="N105" s="6" t="s">
        <v>730</v>
      </c>
      <c r="O105" s="6" t="s">
        <v>730</v>
      </c>
      <c r="P105" s="6" t="s">
        <v>731</v>
      </c>
    </row>
    <row r="106" spans="1:16" ht="18" customHeight="1" x14ac:dyDescent="0.15">
      <c r="A106" s="5" t="s">
        <v>726</v>
      </c>
      <c r="B106" s="6" t="s">
        <v>570</v>
      </c>
      <c r="C106" s="6" t="s">
        <v>770</v>
      </c>
      <c r="D106" s="6" t="s">
        <v>835</v>
      </c>
      <c r="E106" s="6" t="s">
        <v>772</v>
      </c>
      <c r="F106" s="8">
        <v>186964720</v>
      </c>
      <c r="G106" s="8">
        <v>186964920</v>
      </c>
      <c r="H106" s="43">
        <v>0.54706225658838603</v>
      </c>
      <c r="I106" s="6">
        <v>8</v>
      </c>
      <c r="J106" s="50">
        <v>0.96221243159132097</v>
      </c>
      <c r="K106" s="8">
        <v>31719</v>
      </c>
      <c r="L106" s="6" t="s">
        <v>362</v>
      </c>
      <c r="M106" s="6" t="s">
        <v>730</v>
      </c>
      <c r="N106" s="6" t="s">
        <v>730</v>
      </c>
      <c r="O106" s="6" t="s">
        <v>730</v>
      </c>
      <c r="P106" s="6" t="s">
        <v>731</v>
      </c>
    </row>
    <row r="107" spans="1:16" ht="18" customHeight="1" x14ac:dyDescent="0.15">
      <c r="A107" s="5" t="s">
        <v>726</v>
      </c>
      <c r="B107" s="6" t="s">
        <v>570</v>
      </c>
      <c r="C107" s="6" t="s">
        <v>770</v>
      </c>
      <c r="D107" s="6" t="s">
        <v>836</v>
      </c>
      <c r="E107" s="6" t="s">
        <v>772</v>
      </c>
      <c r="F107" s="8">
        <v>186964960</v>
      </c>
      <c r="G107" s="8">
        <v>186965260</v>
      </c>
      <c r="H107" s="43">
        <v>0.59951930397596098</v>
      </c>
      <c r="I107" s="6">
        <v>5</v>
      </c>
      <c r="J107" s="50">
        <v>0.97071383082519602</v>
      </c>
      <c r="K107" s="8">
        <v>31959</v>
      </c>
      <c r="L107" s="6" t="s">
        <v>362</v>
      </c>
      <c r="M107" s="6" t="s">
        <v>730</v>
      </c>
      <c r="N107" s="6" t="s">
        <v>730</v>
      </c>
      <c r="O107" s="6" t="s">
        <v>730</v>
      </c>
      <c r="P107" s="6" t="s">
        <v>731</v>
      </c>
    </row>
    <row r="108" spans="1:16" ht="18" customHeight="1" x14ac:dyDescent="0.15">
      <c r="A108" s="5" t="s">
        <v>726</v>
      </c>
      <c r="B108" s="6" t="s">
        <v>570</v>
      </c>
      <c r="C108" s="6" t="s">
        <v>770</v>
      </c>
      <c r="D108" s="6" t="s">
        <v>837</v>
      </c>
      <c r="E108" s="6" t="s">
        <v>772</v>
      </c>
      <c r="F108" s="8">
        <v>186965219</v>
      </c>
      <c r="G108" s="8">
        <v>186965440</v>
      </c>
      <c r="H108" s="43">
        <v>0.54631423319761596</v>
      </c>
      <c r="I108" s="6">
        <v>9</v>
      </c>
      <c r="J108" s="50">
        <v>0.96207168282526201</v>
      </c>
      <c r="K108" s="8">
        <v>32218</v>
      </c>
      <c r="L108" s="6" t="s">
        <v>362</v>
      </c>
      <c r="M108" s="6" t="s">
        <v>730</v>
      </c>
      <c r="N108" s="6" t="s">
        <v>730</v>
      </c>
      <c r="O108" s="6" t="s">
        <v>730</v>
      </c>
      <c r="P108" s="6" t="s">
        <v>731</v>
      </c>
    </row>
    <row r="109" spans="1:16" ht="18" customHeight="1" x14ac:dyDescent="0.15">
      <c r="A109" s="5" t="s">
        <v>726</v>
      </c>
      <c r="B109" s="6" t="s">
        <v>570</v>
      </c>
      <c r="C109" s="6" t="s">
        <v>770</v>
      </c>
      <c r="D109" s="6" t="s">
        <v>838</v>
      </c>
      <c r="E109" s="6" t="s">
        <v>772</v>
      </c>
      <c r="F109" s="8">
        <v>186965400</v>
      </c>
      <c r="G109" s="8">
        <v>186965560</v>
      </c>
      <c r="H109" s="43">
        <v>0.53136004794102498</v>
      </c>
      <c r="I109" s="6">
        <v>12</v>
      </c>
      <c r="J109" s="50">
        <v>0.95947999412677998</v>
      </c>
      <c r="K109" s="8">
        <v>32399</v>
      </c>
      <c r="L109" s="6" t="s">
        <v>362</v>
      </c>
      <c r="M109" s="6" t="s">
        <v>730</v>
      </c>
      <c r="N109" s="6" t="s">
        <v>730</v>
      </c>
      <c r="O109" s="6" t="s">
        <v>730</v>
      </c>
      <c r="P109" s="6" t="s">
        <v>731</v>
      </c>
    </row>
    <row r="110" spans="1:16" ht="18" customHeight="1" x14ac:dyDescent="0.15">
      <c r="A110" s="5" t="s">
        <v>726</v>
      </c>
      <c r="B110" s="6" t="s">
        <v>570</v>
      </c>
      <c r="C110" s="6" t="s">
        <v>770</v>
      </c>
      <c r="D110" s="6" t="s">
        <v>839</v>
      </c>
      <c r="E110" s="6" t="s">
        <v>772</v>
      </c>
      <c r="F110" s="8">
        <v>186965600</v>
      </c>
      <c r="G110" s="8">
        <v>186965800</v>
      </c>
      <c r="H110" s="43">
        <v>0.51443693958796</v>
      </c>
      <c r="I110" s="6">
        <v>13</v>
      </c>
      <c r="J110" s="50">
        <v>0.95632965446177898</v>
      </c>
      <c r="K110" s="8">
        <v>32599</v>
      </c>
      <c r="L110" s="6" t="s">
        <v>362</v>
      </c>
      <c r="M110" s="6" t="s">
        <v>730</v>
      </c>
      <c r="N110" s="6" t="s">
        <v>730</v>
      </c>
      <c r="O110" s="6" t="s">
        <v>730</v>
      </c>
      <c r="P110" s="6" t="s">
        <v>731</v>
      </c>
    </row>
    <row r="111" spans="1:16" ht="18" customHeight="1" x14ac:dyDescent="0.15">
      <c r="A111" s="5" t="s">
        <v>726</v>
      </c>
      <c r="B111" s="6" t="s">
        <v>570</v>
      </c>
      <c r="C111" s="6" t="s">
        <v>770</v>
      </c>
      <c r="D111" s="6" t="s">
        <v>840</v>
      </c>
      <c r="E111" s="6" t="s">
        <v>772</v>
      </c>
      <c r="F111" s="8">
        <v>186967740</v>
      </c>
      <c r="G111" s="8">
        <v>186967952</v>
      </c>
      <c r="H111" s="43">
        <v>4.1982543009978099E-2</v>
      </c>
      <c r="I111" s="6">
        <v>185</v>
      </c>
      <c r="J111" s="50">
        <v>0.482997635942022</v>
      </c>
      <c r="K111" s="8">
        <v>34739</v>
      </c>
      <c r="L111" s="6" t="s">
        <v>362</v>
      </c>
      <c r="M111" s="6" t="s">
        <v>730</v>
      </c>
      <c r="N111" s="6" t="s">
        <v>730</v>
      </c>
      <c r="O111" s="6" t="s">
        <v>730</v>
      </c>
      <c r="P111" s="6" t="s">
        <v>731</v>
      </c>
    </row>
    <row r="112" spans="1:16" ht="18" customHeight="1" x14ac:dyDescent="0.15">
      <c r="A112" s="5" t="s">
        <v>726</v>
      </c>
      <c r="B112" s="6" t="s">
        <v>570</v>
      </c>
      <c r="C112" s="6" t="s">
        <v>770</v>
      </c>
      <c r="D112" s="6" t="s">
        <v>841</v>
      </c>
      <c r="E112" s="6" t="s">
        <v>772</v>
      </c>
      <c r="F112" s="8">
        <v>186973368</v>
      </c>
      <c r="G112" s="8">
        <v>186973516</v>
      </c>
      <c r="H112" s="43">
        <v>4.2674132264577398E-2</v>
      </c>
      <c r="I112" s="6">
        <v>179</v>
      </c>
      <c r="J112" s="50">
        <v>0.49936098322570099</v>
      </c>
      <c r="K112" s="8">
        <v>40367</v>
      </c>
      <c r="L112" s="6" t="s">
        <v>362</v>
      </c>
      <c r="M112" s="6" t="s">
        <v>730</v>
      </c>
      <c r="N112" s="6" t="s">
        <v>730</v>
      </c>
      <c r="O112" s="6" t="s">
        <v>730</v>
      </c>
      <c r="P112" s="6" t="s">
        <v>731</v>
      </c>
    </row>
    <row r="113" spans="1:16" ht="18" customHeight="1" x14ac:dyDescent="0.15">
      <c r="A113" s="5" t="s">
        <v>726</v>
      </c>
      <c r="B113" s="6" t="s">
        <v>570</v>
      </c>
      <c r="C113" s="6" t="s">
        <v>770</v>
      </c>
      <c r="D113" s="6" t="s">
        <v>842</v>
      </c>
      <c r="E113" s="6" t="s">
        <v>772</v>
      </c>
      <c r="F113" s="8">
        <v>186973936</v>
      </c>
      <c r="G113" s="8">
        <v>186974060</v>
      </c>
      <c r="H113" s="43">
        <v>0.13835364121657201</v>
      </c>
      <c r="I113" s="6">
        <v>92</v>
      </c>
      <c r="J113" s="50">
        <v>0.75885131630504998</v>
      </c>
      <c r="K113" s="8">
        <v>40935</v>
      </c>
      <c r="L113" s="6" t="s">
        <v>362</v>
      </c>
      <c r="M113" s="6" t="s">
        <v>730</v>
      </c>
      <c r="N113" s="6" t="s">
        <v>730</v>
      </c>
      <c r="O113" s="6" t="s">
        <v>730</v>
      </c>
      <c r="P113" s="6" t="s">
        <v>731</v>
      </c>
    </row>
    <row r="114" spans="1:16" ht="18" customHeight="1" x14ac:dyDescent="0.15">
      <c r="A114" s="5" t="s">
        <v>726</v>
      </c>
      <c r="B114" s="6" t="s">
        <v>570</v>
      </c>
      <c r="C114" s="6" t="s">
        <v>770</v>
      </c>
      <c r="D114" s="6" t="s">
        <v>843</v>
      </c>
      <c r="E114" s="6" t="s">
        <v>772</v>
      </c>
      <c r="F114" s="8">
        <v>186974160</v>
      </c>
      <c r="G114" s="8">
        <v>186974280</v>
      </c>
      <c r="H114" s="43">
        <v>0.116837251644868</v>
      </c>
      <c r="I114" s="6">
        <v>106</v>
      </c>
      <c r="J114" s="50">
        <v>0.729155064305679</v>
      </c>
      <c r="K114" s="8">
        <v>41159</v>
      </c>
      <c r="L114" s="6" t="s">
        <v>362</v>
      </c>
      <c r="M114" s="6" t="s">
        <v>730</v>
      </c>
      <c r="N114" s="6" t="s">
        <v>730</v>
      </c>
      <c r="O114" s="6" t="s">
        <v>730</v>
      </c>
      <c r="P114" s="6" t="s">
        <v>731</v>
      </c>
    </row>
    <row r="115" spans="1:16" ht="18" customHeight="1" x14ac:dyDescent="0.15">
      <c r="A115" s="5" t="s">
        <v>726</v>
      </c>
      <c r="B115" s="6" t="s">
        <v>570</v>
      </c>
      <c r="C115" s="6" t="s">
        <v>770</v>
      </c>
      <c r="D115" s="6" t="s">
        <v>844</v>
      </c>
      <c r="E115" s="6" t="s">
        <v>772</v>
      </c>
      <c r="F115" s="8">
        <v>186974262</v>
      </c>
      <c r="G115" s="8">
        <v>186974364</v>
      </c>
      <c r="H115" s="43">
        <v>0.103410601615906</v>
      </c>
      <c r="I115" s="6">
        <v>119</v>
      </c>
      <c r="J115" s="50">
        <v>0.70548060056282103</v>
      </c>
      <c r="K115" s="8">
        <v>41261</v>
      </c>
      <c r="L115" s="6" t="s">
        <v>362</v>
      </c>
      <c r="M115" s="6" t="s">
        <v>730</v>
      </c>
      <c r="N115" s="6" t="s">
        <v>730</v>
      </c>
      <c r="O115" s="6" t="s">
        <v>730</v>
      </c>
      <c r="P115" s="6" t="s">
        <v>731</v>
      </c>
    </row>
    <row r="116" spans="1:16" ht="18" customHeight="1" x14ac:dyDescent="0.15">
      <c r="A116" s="5" t="s">
        <v>726</v>
      </c>
      <c r="B116" s="6" t="s">
        <v>570</v>
      </c>
      <c r="C116" s="6" t="s">
        <v>770</v>
      </c>
      <c r="D116" s="6" t="s">
        <v>845</v>
      </c>
      <c r="E116" s="6" t="s">
        <v>772</v>
      </c>
      <c r="F116" s="8">
        <v>186974760</v>
      </c>
      <c r="G116" s="8">
        <v>186975175</v>
      </c>
      <c r="H116" s="43">
        <v>0.17204767637527901</v>
      </c>
      <c r="I116" s="6">
        <v>74</v>
      </c>
      <c r="J116" s="50">
        <v>0.79852856722100296</v>
      </c>
      <c r="K116" s="8">
        <v>41759</v>
      </c>
      <c r="L116" s="6" t="s">
        <v>362</v>
      </c>
      <c r="M116" s="6" t="s">
        <v>730</v>
      </c>
      <c r="N116" s="6" t="s">
        <v>730</v>
      </c>
      <c r="O116" s="6" t="s">
        <v>730</v>
      </c>
      <c r="P116" s="6" t="s">
        <v>731</v>
      </c>
    </row>
    <row r="117" spans="1:16" ht="18" customHeight="1" x14ac:dyDescent="0.15">
      <c r="A117" s="5" t="s">
        <v>726</v>
      </c>
      <c r="B117" s="6" t="s">
        <v>570</v>
      </c>
      <c r="C117" s="6" t="s">
        <v>770</v>
      </c>
      <c r="D117" s="6" t="s">
        <v>846</v>
      </c>
      <c r="E117" s="6" t="s">
        <v>772</v>
      </c>
      <c r="F117" s="8">
        <v>186974860</v>
      </c>
      <c r="G117" s="8">
        <v>186975060</v>
      </c>
      <c r="H117" s="43">
        <v>0.17304773743335999</v>
      </c>
      <c r="I117" s="6">
        <v>73</v>
      </c>
      <c r="J117" s="50">
        <v>0.79973275110839703</v>
      </c>
      <c r="K117" s="8">
        <v>41859</v>
      </c>
      <c r="L117" s="6" t="s">
        <v>362</v>
      </c>
      <c r="M117" s="6" t="s">
        <v>730</v>
      </c>
      <c r="N117" s="6" t="s">
        <v>730</v>
      </c>
      <c r="O117" s="6" t="s">
        <v>730</v>
      </c>
      <c r="P117" s="6" t="s">
        <v>731</v>
      </c>
    </row>
    <row r="118" spans="1:16" ht="18" customHeight="1" x14ac:dyDescent="0.15">
      <c r="A118" s="5" t="s">
        <v>726</v>
      </c>
      <c r="B118" s="6" t="s">
        <v>570</v>
      </c>
      <c r="C118" s="6" t="s">
        <v>770</v>
      </c>
      <c r="D118" s="6" t="s">
        <v>847</v>
      </c>
      <c r="E118" s="6" t="s">
        <v>772</v>
      </c>
      <c r="F118" s="8">
        <v>186975149</v>
      </c>
      <c r="G118" s="8">
        <v>186975320</v>
      </c>
      <c r="H118" s="43">
        <v>2.8040981063475998E-2</v>
      </c>
      <c r="I118" s="6">
        <v>197</v>
      </c>
      <c r="J118" s="50">
        <v>0.36386162484893397</v>
      </c>
      <c r="K118" s="8">
        <v>42148</v>
      </c>
      <c r="L118" s="6" t="s">
        <v>362</v>
      </c>
      <c r="M118" s="6" t="s">
        <v>730</v>
      </c>
      <c r="N118" s="6" t="s">
        <v>730</v>
      </c>
      <c r="O118" s="6" t="s">
        <v>730</v>
      </c>
      <c r="P118" s="6" t="s">
        <v>731</v>
      </c>
    </row>
    <row r="119" spans="1:16" ht="18" customHeight="1" x14ac:dyDescent="0.15">
      <c r="A119" s="5" t="s">
        <v>726</v>
      </c>
      <c r="B119" s="6" t="s">
        <v>570</v>
      </c>
      <c r="C119" s="6" t="s">
        <v>770</v>
      </c>
      <c r="D119" s="6" t="s">
        <v>848</v>
      </c>
      <c r="E119" s="6" t="s">
        <v>772</v>
      </c>
      <c r="F119" s="8">
        <v>186975440</v>
      </c>
      <c r="G119" s="8">
        <v>186975680</v>
      </c>
      <c r="H119" s="43">
        <v>8.4090919448779194E-2</v>
      </c>
      <c r="I119" s="6">
        <v>133</v>
      </c>
      <c r="J119" s="50">
        <v>0.65522025878658896</v>
      </c>
      <c r="K119" s="8">
        <v>42439</v>
      </c>
      <c r="L119" s="6" t="s">
        <v>362</v>
      </c>
      <c r="M119" s="6" t="s">
        <v>730</v>
      </c>
      <c r="N119" s="6" t="s">
        <v>730</v>
      </c>
      <c r="O119" s="6" t="s">
        <v>730</v>
      </c>
      <c r="P119" s="6" t="s">
        <v>731</v>
      </c>
    </row>
    <row r="120" spans="1:16" ht="18" customHeight="1" x14ac:dyDescent="0.15">
      <c r="A120" s="5" t="s">
        <v>726</v>
      </c>
      <c r="B120" s="6" t="s">
        <v>570</v>
      </c>
      <c r="C120" s="6" t="s">
        <v>770</v>
      </c>
      <c r="D120" s="6" t="s">
        <v>849</v>
      </c>
      <c r="E120" s="6" t="s">
        <v>772</v>
      </c>
      <c r="F120" s="8">
        <v>186888580</v>
      </c>
      <c r="G120" s="8">
        <v>186888860</v>
      </c>
      <c r="H120" s="43">
        <v>1.5560460778383099E-2</v>
      </c>
      <c r="I120" s="6">
        <v>205</v>
      </c>
      <c r="J120" s="50">
        <v>0.29507457512552299</v>
      </c>
      <c r="K120" s="8">
        <v>44141</v>
      </c>
      <c r="L120" s="6" t="s">
        <v>362</v>
      </c>
      <c r="M120" s="6" t="s">
        <v>730</v>
      </c>
      <c r="N120" s="6" t="s">
        <v>730</v>
      </c>
      <c r="O120" s="6" t="s">
        <v>730</v>
      </c>
      <c r="P120" s="6" t="s">
        <v>731</v>
      </c>
    </row>
    <row r="121" spans="1:16" ht="18" customHeight="1" x14ac:dyDescent="0.15">
      <c r="A121" s="5" t="s">
        <v>726</v>
      </c>
      <c r="B121" s="6" t="s">
        <v>570</v>
      </c>
      <c r="C121" s="6" t="s">
        <v>770</v>
      </c>
      <c r="D121" s="6" t="s">
        <v>850</v>
      </c>
      <c r="E121" s="6" t="s">
        <v>772</v>
      </c>
      <c r="F121" s="8">
        <v>186888005</v>
      </c>
      <c r="G121" s="8">
        <v>186888160</v>
      </c>
      <c r="H121" s="43">
        <v>0.173982362334545</v>
      </c>
      <c r="I121" s="6">
        <v>70</v>
      </c>
      <c r="J121" s="50">
        <v>0.80079271095155702</v>
      </c>
      <c r="K121" s="8">
        <v>44841</v>
      </c>
      <c r="L121" s="6" t="s">
        <v>362</v>
      </c>
      <c r="M121" s="6" t="s">
        <v>730</v>
      </c>
      <c r="N121" s="6" t="s">
        <v>730</v>
      </c>
      <c r="O121" s="6" t="s">
        <v>730</v>
      </c>
      <c r="P121" s="6" t="s">
        <v>731</v>
      </c>
    </row>
    <row r="122" spans="1:16" ht="18" customHeight="1" x14ac:dyDescent="0.15">
      <c r="A122" s="5" t="s">
        <v>726</v>
      </c>
      <c r="B122" s="6" t="s">
        <v>570</v>
      </c>
      <c r="C122" s="6" t="s">
        <v>770</v>
      </c>
      <c r="D122" s="6" t="s">
        <v>851</v>
      </c>
      <c r="E122" s="6" t="s">
        <v>772</v>
      </c>
      <c r="F122" s="8">
        <v>186887920</v>
      </c>
      <c r="G122" s="8">
        <v>186887980</v>
      </c>
      <c r="H122" s="43">
        <v>0.115702389524533</v>
      </c>
      <c r="I122" s="6">
        <v>107</v>
      </c>
      <c r="J122" s="50">
        <v>0.72678231813217697</v>
      </c>
      <c r="K122" s="8">
        <v>45021</v>
      </c>
      <c r="L122" s="6" t="s">
        <v>362</v>
      </c>
      <c r="M122" s="6" t="s">
        <v>730</v>
      </c>
      <c r="N122" s="6" t="s">
        <v>730</v>
      </c>
      <c r="O122" s="6" t="s">
        <v>730</v>
      </c>
      <c r="P122" s="6" t="s">
        <v>731</v>
      </c>
    </row>
    <row r="123" spans="1:16" ht="18" customHeight="1" x14ac:dyDescent="0.15">
      <c r="A123" s="5" t="s">
        <v>726</v>
      </c>
      <c r="B123" s="6" t="s">
        <v>570</v>
      </c>
      <c r="C123" s="6" t="s">
        <v>770</v>
      </c>
      <c r="D123" s="6" t="s">
        <v>852</v>
      </c>
      <c r="E123" s="6" t="s">
        <v>772</v>
      </c>
      <c r="F123" s="8">
        <v>186978300</v>
      </c>
      <c r="G123" s="8">
        <v>186978580</v>
      </c>
      <c r="H123" s="43">
        <v>1.37564494059636E-2</v>
      </c>
      <c r="I123" s="6">
        <v>219</v>
      </c>
      <c r="J123" s="50">
        <v>1.09201928431859E-2</v>
      </c>
      <c r="K123" s="8">
        <v>45299</v>
      </c>
      <c r="L123" s="6" t="s">
        <v>362</v>
      </c>
      <c r="M123" s="6" t="s">
        <v>730</v>
      </c>
      <c r="N123" s="6" t="s">
        <v>730</v>
      </c>
      <c r="O123" s="6" t="s">
        <v>730</v>
      </c>
      <c r="P123" s="6" t="s">
        <v>731</v>
      </c>
    </row>
    <row r="124" spans="1:16" ht="18" customHeight="1" x14ac:dyDescent="0.15">
      <c r="A124" s="5" t="s">
        <v>726</v>
      </c>
      <c r="B124" s="6" t="s">
        <v>570</v>
      </c>
      <c r="C124" s="6" t="s">
        <v>770</v>
      </c>
      <c r="D124" s="6" t="s">
        <v>853</v>
      </c>
      <c r="E124" s="6" t="s">
        <v>772</v>
      </c>
      <c r="F124" s="8">
        <v>186978700</v>
      </c>
      <c r="G124" s="8">
        <v>186978765</v>
      </c>
      <c r="H124" s="43">
        <v>4.2394260947520898E-2</v>
      </c>
      <c r="I124" s="6">
        <v>183</v>
      </c>
      <c r="J124" s="50">
        <v>0.49291434221237901</v>
      </c>
      <c r="K124" s="8">
        <v>45699</v>
      </c>
      <c r="L124" s="6" t="s">
        <v>362</v>
      </c>
      <c r="M124" s="6" t="s">
        <v>730</v>
      </c>
      <c r="N124" s="6" t="s">
        <v>730</v>
      </c>
      <c r="O124" s="6" t="s">
        <v>730</v>
      </c>
      <c r="P124" s="6" t="s">
        <v>731</v>
      </c>
    </row>
    <row r="125" spans="1:16" ht="18" customHeight="1" x14ac:dyDescent="0.15">
      <c r="A125" s="5" t="s">
        <v>726</v>
      </c>
      <c r="B125" s="6" t="s">
        <v>570</v>
      </c>
      <c r="C125" s="6" t="s">
        <v>770</v>
      </c>
      <c r="D125" s="6" t="s">
        <v>854</v>
      </c>
      <c r="E125" s="6" t="s">
        <v>772</v>
      </c>
      <c r="F125" s="8">
        <v>186978787</v>
      </c>
      <c r="G125" s="8">
        <v>186978940</v>
      </c>
      <c r="H125" s="43">
        <v>5.64923744935256E-2</v>
      </c>
      <c r="I125" s="6">
        <v>157</v>
      </c>
      <c r="J125" s="50">
        <v>0.56527224025988099</v>
      </c>
      <c r="K125" s="8">
        <v>45786</v>
      </c>
      <c r="L125" s="6" t="s">
        <v>362</v>
      </c>
      <c r="M125" s="6" t="s">
        <v>730</v>
      </c>
      <c r="N125" s="6" t="s">
        <v>730</v>
      </c>
      <c r="O125" s="6" t="s">
        <v>730</v>
      </c>
      <c r="P125" s="6" t="s">
        <v>731</v>
      </c>
    </row>
    <row r="126" spans="1:16" ht="18" customHeight="1" x14ac:dyDescent="0.15">
      <c r="A126" s="5" t="s">
        <v>726</v>
      </c>
      <c r="B126" s="6" t="s">
        <v>570</v>
      </c>
      <c r="C126" s="6" t="s">
        <v>770</v>
      </c>
      <c r="D126" s="6" t="s">
        <v>855</v>
      </c>
      <c r="E126" s="6" t="s">
        <v>772</v>
      </c>
      <c r="F126" s="8">
        <v>186983460</v>
      </c>
      <c r="G126" s="8">
        <v>186983680</v>
      </c>
      <c r="H126" s="43">
        <v>9.5063486924538199E-2</v>
      </c>
      <c r="I126" s="6">
        <v>125</v>
      </c>
      <c r="J126" s="50">
        <v>0.68602686216264797</v>
      </c>
      <c r="K126" s="8">
        <v>50459</v>
      </c>
      <c r="L126" s="6" t="s">
        <v>362</v>
      </c>
      <c r="M126" s="6" t="s">
        <v>730</v>
      </c>
      <c r="N126" s="6" t="s">
        <v>730</v>
      </c>
      <c r="O126" s="6" t="s">
        <v>730</v>
      </c>
      <c r="P126" s="6" t="s">
        <v>731</v>
      </c>
    </row>
    <row r="127" spans="1:16" ht="18" customHeight="1" x14ac:dyDescent="0.15">
      <c r="A127" s="5" t="s">
        <v>726</v>
      </c>
      <c r="B127" s="6" t="s">
        <v>570</v>
      </c>
      <c r="C127" s="6" t="s">
        <v>770</v>
      </c>
      <c r="D127" s="6" t="s">
        <v>856</v>
      </c>
      <c r="E127" s="6" t="s">
        <v>772</v>
      </c>
      <c r="F127" s="8">
        <v>186983765</v>
      </c>
      <c r="G127" s="8">
        <v>186983907</v>
      </c>
      <c r="H127" s="43">
        <v>2.8937949584080601E-2</v>
      </c>
      <c r="I127" s="6">
        <v>192</v>
      </c>
      <c r="J127" s="50">
        <v>0.41056154413559798</v>
      </c>
      <c r="K127" s="8">
        <v>50764</v>
      </c>
      <c r="L127" s="6" t="s">
        <v>362</v>
      </c>
      <c r="M127" s="6" t="s">
        <v>730</v>
      </c>
      <c r="N127" s="6" t="s">
        <v>730</v>
      </c>
      <c r="O127" s="6" t="s">
        <v>730</v>
      </c>
      <c r="P127" s="6" t="s">
        <v>731</v>
      </c>
    </row>
    <row r="128" spans="1:16" ht="18" customHeight="1" x14ac:dyDescent="0.15">
      <c r="A128" s="5" t="s">
        <v>726</v>
      </c>
      <c r="B128" s="6" t="s">
        <v>570</v>
      </c>
      <c r="C128" s="6" t="s">
        <v>770</v>
      </c>
      <c r="D128" s="6" t="s">
        <v>857</v>
      </c>
      <c r="E128" s="6" t="s">
        <v>772</v>
      </c>
      <c r="F128" s="8">
        <v>186984211</v>
      </c>
      <c r="G128" s="8">
        <v>186984392</v>
      </c>
      <c r="H128" s="43">
        <v>0.21652694791555399</v>
      </c>
      <c r="I128" s="6">
        <v>54</v>
      </c>
      <c r="J128" s="50">
        <v>0.83815021368616704</v>
      </c>
      <c r="K128" s="8">
        <v>51210</v>
      </c>
      <c r="L128" s="6" t="s">
        <v>362</v>
      </c>
      <c r="M128" s="6" t="s">
        <v>730</v>
      </c>
      <c r="N128" s="6" t="s">
        <v>730</v>
      </c>
      <c r="O128" s="6" t="s">
        <v>730</v>
      </c>
      <c r="P128" s="6" t="s">
        <v>731</v>
      </c>
    </row>
    <row r="129" spans="1:16" ht="18" customHeight="1" x14ac:dyDescent="0.15">
      <c r="A129" s="5" t="s">
        <v>726</v>
      </c>
      <c r="B129" s="6" t="s">
        <v>570</v>
      </c>
      <c r="C129" s="6" t="s">
        <v>770</v>
      </c>
      <c r="D129" s="6" t="s">
        <v>858</v>
      </c>
      <c r="E129" s="6" t="s">
        <v>772</v>
      </c>
      <c r="F129" s="8">
        <v>186984320</v>
      </c>
      <c r="G129" s="8">
        <v>186984640</v>
      </c>
      <c r="H129" s="43">
        <v>0.21485464274883301</v>
      </c>
      <c r="I129" s="6">
        <v>55</v>
      </c>
      <c r="J129" s="50">
        <v>0.83669059685296199</v>
      </c>
      <c r="K129" s="8">
        <v>51319</v>
      </c>
      <c r="L129" s="6" t="s">
        <v>362</v>
      </c>
      <c r="M129" s="6" t="s">
        <v>730</v>
      </c>
      <c r="N129" s="6" t="s">
        <v>730</v>
      </c>
      <c r="O129" s="6" t="s">
        <v>730</v>
      </c>
      <c r="P129" s="6" t="s">
        <v>731</v>
      </c>
    </row>
    <row r="130" spans="1:16" ht="18" customHeight="1" x14ac:dyDescent="0.15">
      <c r="A130" s="5" t="s">
        <v>726</v>
      </c>
      <c r="B130" s="6" t="s">
        <v>570</v>
      </c>
      <c r="C130" s="6" t="s">
        <v>770</v>
      </c>
      <c r="D130" s="6" t="s">
        <v>859</v>
      </c>
      <c r="E130" s="6" t="s">
        <v>772</v>
      </c>
      <c r="F130" s="8">
        <v>186985100</v>
      </c>
      <c r="G130" s="8">
        <v>186985283</v>
      </c>
      <c r="H130" s="43">
        <v>5.8052103106792201E-2</v>
      </c>
      <c r="I130" s="6">
        <v>156</v>
      </c>
      <c r="J130" s="50">
        <v>0.58253915986887805</v>
      </c>
      <c r="K130" s="8">
        <v>52099</v>
      </c>
      <c r="L130" s="6" t="s">
        <v>362</v>
      </c>
      <c r="M130" s="6" t="s">
        <v>730</v>
      </c>
      <c r="N130" s="6" t="s">
        <v>730</v>
      </c>
      <c r="O130" s="6" t="s">
        <v>730</v>
      </c>
      <c r="P130" s="6" t="s">
        <v>731</v>
      </c>
    </row>
    <row r="131" spans="1:16" ht="18" customHeight="1" x14ac:dyDescent="0.15">
      <c r="A131" s="5" t="s">
        <v>726</v>
      </c>
      <c r="B131" s="6" t="s">
        <v>570</v>
      </c>
      <c r="C131" s="6" t="s">
        <v>770</v>
      </c>
      <c r="D131" s="6" t="s">
        <v>860</v>
      </c>
      <c r="E131" s="6" t="s">
        <v>772</v>
      </c>
      <c r="F131" s="8">
        <v>186985820</v>
      </c>
      <c r="G131" s="8">
        <v>186986000</v>
      </c>
      <c r="H131" s="43">
        <v>0.19638685767467201</v>
      </c>
      <c r="I131" s="6">
        <v>61</v>
      </c>
      <c r="J131" s="50">
        <v>0.82090327692667298</v>
      </c>
      <c r="K131" s="8">
        <v>52819</v>
      </c>
      <c r="L131" s="6" t="s">
        <v>362</v>
      </c>
      <c r="M131" s="6" t="s">
        <v>730</v>
      </c>
      <c r="N131" s="6" t="s">
        <v>730</v>
      </c>
      <c r="O131" s="6" t="s">
        <v>730</v>
      </c>
      <c r="P131" s="6" t="s">
        <v>731</v>
      </c>
    </row>
    <row r="132" spans="1:16" ht="18" customHeight="1" x14ac:dyDescent="0.15">
      <c r="A132" s="5" t="s">
        <v>726</v>
      </c>
      <c r="B132" s="6" t="s">
        <v>570</v>
      </c>
      <c r="C132" s="6" t="s">
        <v>770</v>
      </c>
      <c r="D132" s="6" t="s">
        <v>861</v>
      </c>
      <c r="E132" s="6" t="s">
        <v>772</v>
      </c>
      <c r="F132" s="8">
        <v>186986020</v>
      </c>
      <c r="G132" s="8">
        <v>186986260</v>
      </c>
      <c r="H132" s="43">
        <v>0.21321018040180201</v>
      </c>
      <c r="I132" s="6">
        <v>57</v>
      </c>
      <c r="J132" s="50">
        <v>0.83520317779436304</v>
      </c>
      <c r="K132" s="8">
        <v>53019</v>
      </c>
      <c r="L132" s="6" t="s">
        <v>362</v>
      </c>
      <c r="M132" s="6" t="s">
        <v>730</v>
      </c>
      <c r="N132" s="6" t="s">
        <v>730</v>
      </c>
      <c r="O132" s="6" t="s">
        <v>730</v>
      </c>
      <c r="P132" s="6" t="s">
        <v>731</v>
      </c>
    </row>
    <row r="133" spans="1:16" ht="18" customHeight="1" x14ac:dyDescent="0.15">
      <c r="A133" s="5" t="s">
        <v>726</v>
      </c>
      <c r="B133" s="6" t="s">
        <v>570</v>
      </c>
      <c r="C133" s="6" t="s">
        <v>770</v>
      </c>
      <c r="D133" s="6" t="s">
        <v>862</v>
      </c>
      <c r="E133" s="6" t="s">
        <v>772</v>
      </c>
      <c r="F133" s="8">
        <v>186986522</v>
      </c>
      <c r="G133" s="8">
        <v>186986714</v>
      </c>
      <c r="H133" s="43">
        <v>0.25850557593198897</v>
      </c>
      <c r="I133" s="6">
        <v>43</v>
      </c>
      <c r="J133" s="50">
        <v>0.86761883496512104</v>
      </c>
      <c r="K133" s="8">
        <v>53521</v>
      </c>
      <c r="L133" s="6" t="s">
        <v>362</v>
      </c>
      <c r="M133" s="6" t="s">
        <v>730</v>
      </c>
      <c r="N133" s="6" t="s">
        <v>730</v>
      </c>
      <c r="O133" s="6" t="s">
        <v>730</v>
      </c>
      <c r="P133" s="6" t="s">
        <v>731</v>
      </c>
    </row>
    <row r="134" spans="1:16" ht="18" customHeight="1" x14ac:dyDescent="0.15">
      <c r="A134" s="5" t="s">
        <v>726</v>
      </c>
      <c r="B134" s="6" t="s">
        <v>570</v>
      </c>
      <c r="C134" s="6" t="s">
        <v>770</v>
      </c>
      <c r="D134" s="6" t="s">
        <v>863</v>
      </c>
      <c r="E134" s="6" t="s">
        <v>772</v>
      </c>
      <c r="F134" s="8">
        <v>186986617</v>
      </c>
      <c r="G134" s="8">
        <v>186986820</v>
      </c>
      <c r="H134" s="43">
        <v>0.25374581320927703</v>
      </c>
      <c r="I134" s="6">
        <v>45</v>
      </c>
      <c r="J134" s="50">
        <v>0.86443374251837801</v>
      </c>
      <c r="K134" s="8">
        <v>53616</v>
      </c>
      <c r="L134" s="6" t="s">
        <v>362</v>
      </c>
      <c r="M134" s="6" t="s">
        <v>730</v>
      </c>
      <c r="N134" s="6" t="s">
        <v>730</v>
      </c>
      <c r="O134" s="6" t="s">
        <v>730</v>
      </c>
      <c r="P134" s="6" t="s">
        <v>731</v>
      </c>
    </row>
    <row r="135" spans="1:16" ht="18" customHeight="1" x14ac:dyDescent="0.15">
      <c r="A135" s="5" t="s">
        <v>726</v>
      </c>
      <c r="B135" s="6" t="s">
        <v>570</v>
      </c>
      <c r="C135" s="6" t="s">
        <v>770</v>
      </c>
      <c r="D135" s="6" t="s">
        <v>864</v>
      </c>
      <c r="E135" s="6" t="s">
        <v>772</v>
      </c>
      <c r="F135" s="8">
        <v>186986940</v>
      </c>
      <c r="G135" s="8">
        <v>186987115</v>
      </c>
      <c r="H135" s="43">
        <v>0.159357520250174</v>
      </c>
      <c r="I135" s="6">
        <v>80</v>
      </c>
      <c r="J135" s="50">
        <v>0.78529905203099604</v>
      </c>
      <c r="K135" s="8">
        <v>53939</v>
      </c>
      <c r="L135" s="6" t="s">
        <v>362</v>
      </c>
      <c r="M135" s="6" t="s">
        <v>730</v>
      </c>
      <c r="N135" s="6" t="s">
        <v>730</v>
      </c>
      <c r="O135" s="6" t="s">
        <v>730</v>
      </c>
      <c r="P135" s="6" t="s">
        <v>731</v>
      </c>
    </row>
    <row r="136" spans="1:16" ht="18" customHeight="1" x14ac:dyDescent="0.15">
      <c r="A136" s="5" t="s">
        <v>726</v>
      </c>
      <c r="B136" s="6" t="s">
        <v>570</v>
      </c>
      <c r="C136" s="6" t="s">
        <v>770</v>
      </c>
      <c r="D136" s="6" t="s">
        <v>865</v>
      </c>
      <c r="E136" s="6" t="s">
        <v>772</v>
      </c>
      <c r="F136" s="8">
        <v>186987385</v>
      </c>
      <c r="G136" s="8">
        <v>186987520</v>
      </c>
      <c r="H136" s="43">
        <v>0.117100948897692</v>
      </c>
      <c r="I136" s="6">
        <v>105</v>
      </c>
      <c r="J136" s="50">
        <v>0.72968765068589003</v>
      </c>
      <c r="K136" s="8">
        <v>54384</v>
      </c>
      <c r="L136" s="6" t="s">
        <v>362</v>
      </c>
      <c r="M136" s="6" t="s">
        <v>730</v>
      </c>
      <c r="N136" s="6" t="s">
        <v>730</v>
      </c>
      <c r="O136" s="6" t="s">
        <v>730</v>
      </c>
      <c r="P136" s="6" t="s">
        <v>731</v>
      </c>
    </row>
    <row r="137" spans="1:16" ht="18" customHeight="1" x14ac:dyDescent="0.15">
      <c r="A137" s="5" t="s">
        <v>726</v>
      </c>
      <c r="B137" s="6" t="s">
        <v>570</v>
      </c>
      <c r="C137" s="6" t="s">
        <v>770</v>
      </c>
      <c r="D137" s="6" t="s">
        <v>866</v>
      </c>
      <c r="E137" s="6" t="s">
        <v>772</v>
      </c>
      <c r="F137" s="8">
        <v>186987860</v>
      </c>
      <c r="G137" s="8">
        <v>186988060</v>
      </c>
      <c r="H137" s="43">
        <v>5.8432209950227E-2</v>
      </c>
      <c r="I137" s="6">
        <v>155</v>
      </c>
      <c r="J137" s="50">
        <v>0.58543493540761105</v>
      </c>
      <c r="K137" s="8">
        <v>54859</v>
      </c>
      <c r="L137" s="6" t="s">
        <v>362</v>
      </c>
      <c r="M137" s="6" t="s">
        <v>730</v>
      </c>
      <c r="N137" s="6" t="s">
        <v>730</v>
      </c>
      <c r="O137" s="6" t="s">
        <v>730</v>
      </c>
      <c r="P137" s="6" t="s">
        <v>731</v>
      </c>
    </row>
    <row r="138" spans="1:16" ht="18" customHeight="1" x14ac:dyDescent="0.15">
      <c r="A138" s="5" t="s">
        <v>726</v>
      </c>
      <c r="B138" s="6" t="s">
        <v>570</v>
      </c>
      <c r="C138" s="6" t="s">
        <v>770</v>
      </c>
      <c r="D138" s="6" t="s">
        <v>867</v>
      </c>
      <c r="E138" s="6" t="s">
        <v>772</v>
      </c>
      <c r="F138" s="8">
        <v>186988226</v>
      </c>
      <c r="G138" s="8">
        <v>186988440</v>
      </c>
      <c r="H138" s="43">
        <v>6.0619974365601202E-2</v>
      </c>
      <c r="I138" s="6">
        <v>151</v>
      </c>
      <c r="J138" s="50">
        <v>0.59593722605033805</v>
      </c>
      <c r="K138" s="8">
        <v>55225</v>
      </c>
      <c r="L138" s="6" t="s">
        <v>362</v>
      </c>
      <c r="M138" s="6" t="s">
        <v>730</v>
      </c>
      <c r="N138" s="6" t="s">
        <v>730</v>
      </c>
      <c r="O138" s="6" t="s">
        <v>730</v>
      </c>
      <c r="P138" s="6" t="s">
        <v>731</v>
      </c>
    </row>
    <row r="139" spans="1:16" ht="18" customHeight="1" x14ac:dyDescent="0.15">
      <c r="A139" s="5" t="s">
        <v>726</v>
      </c>
      <c r="B139" s="6" t="s">
        <v>570</v>
      </c>
      <c r="C139" s="6" t="s">
        <v>770</v>
      </c>
      <c r="D139" s="6" t="s">
        <v>868</v>
      </c>
      <c r="E139" s="6" t="s">
        <v>772</v>
      </c>
      <c r="F139" s="8">
        <v>186988540</v>
      </c>
      <c r="G139" s="8">
        <v>186988740</v>
      </c>
      <c r="H139" s="43">
        <v>5.01178010151936E-2</v>
      </c>
      <c r="I139" s="6">
        <v>166</v>
      </c>
      <c r="J139" s="50">
        <v>0.54628505795460802</v>
      </c>
      <c r="K139" s="8">
        <v>55539</v>
      </c>
      <c r="L139" s="6" t="s">
        <v>362</v>
      </c>
      <c r="M139" s="6" t="s">
        <v>730</v>
      </c>
      <c r="N139" s="6" t="s">
        <v>730</v>
      </c>
      <c r="O139" s="6" t="s">
        <v>730</v>
      </c>
      <c r="P139" s="6" t="s">
        <v>731</v>
      </c>
    </row>
    <row r="140" spans="1:16" ht="18" customHeight="1" x14ac:dyDescent="0.15">
      <c r="A140" s="5" t="s">
        <v>726</v>
      </c>
      <c r="B140" s="6" t="s">
        <v>570</v>
      </c>
      <c r="C140" s="6" t="s">
        <v>770</v>
      </c>
      <c r="D140" s="6" t="s">
        <v>869</v>
      </c>
      <c r="E140" s="6" t="s">
        <v>772</v>
      </c>
      <c r="F140" s="8">
        <v>186988760</v>
      </c>
      <c r="G140" s="8">
        <v>186988940</v>
      </c>
      <c r="H140" s="43">
        <v>4.9765207446538499E-2</v>
      </c>
      <c r="I140" s="6">
        <v>167</v>
      </c>
      <c r="J140" s="50">
        <v>0.54571771879265396</v>
      </c>
      <c r="K140" s="8">
        <v>55759</v>
      </c>
      <c r="L140" s="6" t="s">
        <v>362</v>
      </c>
      <c r="M140" s="6" t="s">
        <v>730</v>
      </c>
      <c r="N140" s="6" t="s">
        <v>730</v>
      </c>
      <c r="O140" s="6" t="s">
        <v>730</v>
      </c>
      <c r="P140" s="6" t="s">
        <v>731</v>
      </c>
    </row>
    <row r="141" spans="1:16" ht="18" customHeight="1" x14ac:dyDescent="0.15">
      <c r="A141" s="5" t="s">
        <v>726</v>
      </c>
      <c r="B141" s="6" t="s">
        <v>570</v>
      </c>
      <c r="C141" s="6" t="s">
        <v>770</v>
      </c>
      <c r="D141" s="6" t="s">
        <v>870</v>
      </c>
      <c r="E141" s="6" t="s">
        <v>772</v>
      </c>
      <c r="F141" s="8">
        <v>186988969</v>
      </c>
      <c r="G141" s="8">
        <v>186989140</v>
      </c>
      <c r="H141" s="43">
        <v>4.88713383674622E-2</v>
      </c>
      <c r="I141" s="6">
        <v>168</v>
      </c>
      <c r="J141" s="50">
        <v>0.54399050554002804</v>
      </c>
      <c r="K141" s="8">
        <v>55968</v>
      </c>
      <c r="L141" s="6" t="s">
        <v>362</v>
      </c>
      <c r="M141" s="6" t="s">
        <v>730</v>
      </c>
      <c r="N141" s="6" t="s">
        <v>730</v>
      </c>
      <c r="O141" s="6" t="s">
        <v>730</v>
      </c>
      <c r="P141" s="6" t="s">
        <v>731</v>
      </c>
    </row>
    <row r="142" spans="1:16" ht="18" customHeight="1" x14ac:dyDescent="0.15">
      <c r="A142" s="5" t="s">
        <v>726</v>
      </c>
      <c r="B142" s="6" t="s">
        <v>570</v>
      </c>
      <c r="C142" s="6" t="s">
        <v>770</v>
      </c>
      <c r="D142" s="6" t="s">
        <v>871</v>
      </c>
      <c r="E142" s="6" t="s">
        <v>772</v>
      </c>
      <c r="F142" s="8">
        <v>186989400</v>
      </c>
      <c r="G142" s="8">
        <v>186989709</v>
      </c>
      <c r="H142" s="43">
        <v>8.6382424602141794E-2</v>
      </c>
      <c r="I142" s="6">
        <v>132</v>
      </c>
      <c r="J142" s="50">
        <v>0.66652273222894798</v>
      </c>
      <c r="K142" s="8">
        <v>56399</v>
      </c>
      <c r="L142" s="6" t="s">
        <v>362</v>
      </c>
      <c r="M142" s="6" t="s">
        <v>730</v>
      </c>
      <c r="N142" s="6" t="s">
        <v>730</v>
      </c>
      <c r="O142" s="6" t="s">
        <v>730</v>
      </c>
      <c r="P142" s="6" t="s">
        <v>731</v>
      </c>
    </row>
    <row r="143" spans="1:16" ht="18" customHeight="1" x14ac:dyDescent="0.15">
      <c r="A143" s="5" t="s">
        <v>726</v>
      </c>
      <c r="B143" s="6" t="s">
        <v>570</v>
      </c>
      <c r="C143" s="6" t="s">
        <v>770</v>
      </c>
      <c r="D143" s="6" t="s">
        <v>872</v>
      </c>
      <c r="E143" s="6" t="s">
        <v>772</v>
      </c>
      <c r="F143" s="8">
        <v>186989960</v>
      </c>
      <c r="G143" s="8">
        <v>186990160</v>
      </c>
      <c r="H143" s="43">
        <v>5.2135197015908998E-2</v>
      </c>
      <c r="I143" s="6">
        <v>161</v>
      </c>
      <c r="J143" s="50">
        <v>0.54940759539421402</v>
      </c>
      <c r="K143" s="8">
        <v>56959</v>
      </c>
      <c r="L143" s="6" t="s">
        <v>362</v>
      </c>
      <c r="M143" s="6" t="s">
        <v>730</v>
      </c>
      <c r="N143" s="6" t="s">
        <v>730</v>
      </c>
      <c r="O143" s="6" t="s">
        <v>730</v>
      </c>
      <c r="P143" s="6" t="s">
        <v>731</v>
      </c>
    </row>
    <row r="144" spans="1:16" ht="18" customHeight="1" x14ac:dyDescent="0.15">
      <c r="A144" s="5" t="s">
        <v>726</v>
      </c>
      <c r="B144" s="6" t="s">
        <v>570</v>
      </c>
      <c r="C144" s="6" t="s">
        <v>770</v>
      </c>
      <c r="D144" s="6" t="s">
        <v>873</v>
      </c>
      <c r="E144" s="6" t="s">
        <v>772</v>
      </c>
      <c r="F144" s="8">
        <v>186990320</v>
      </c>
      <c r="G144" s="8">
        <v>186990520</v>
      </c>
      <c r="H144" s="43">
        <v>0.10039485303255199</v>
      </c>
      <c r="I144" s="6">
        <v>122</v>
      </c>
      <c r="J144" s="50">
        <v>0.69730761511641803</v>
      </c>
      <c r="K144" s="8">
        <v>57319</v>
      </c>
      <c r="L144" s="6" t="s">
        <v>362</v>
      </c>
      <c r="M144" s="6" t="s">
        <v>730</v>
      </c>
      <c r="N144" s="6" t="s">
        <v>730</v>
      </c>
      <c r="O144" s="6" t="s">
        <v>730</v>
      </c>
      <c r="P144" s="6" t="s">
        <v>731</v>
      </c>
    </row>
    <row r="145" spans="1:16" ht="18" customHeight="1" x14ac:dyDescent="0.15">
      <c r="A145" s="5" t="s">
        <v>726</v>
      </c>
      <c r="B145" s="6" t="s">
        <v>570</v>
      </c>
      <c r="C145" s="6" t="s">
        <v>770</v>
      </c>
      <c r="D145" s="6" t="s">
        <v>874</v>
      </c>
      <c r="E145" s="6" t="s">
        <v>772</v>
      </c>
      <c r="F145" s="8">
        <v>186990460</v>
      </c>
      <c r="G145" s="8">
        <v>186990617</v>
      </c>
      <c r="H145" s="43">
        <v>5.5702584294172401E-2</v>
      </c>
      <c r="I145" s="6">
        <v>158</v>
      </c>
      <c r="J145" s="50">
        <v>0.556071441293429</v>
      </c>
      <c r="K145" s="8">
        <v>57459</v>
      </c>
      <c r="L145" s="6" t="s">
        <v>362</v>
      </c>
      <c r="M145" s="6" t="s">
        <v>730</v>
      </c>
      <c r="N145" s="6" t="s">
        <v>730</v>
      </c>
      <c r="O145" s="6" t="s">
        <v>730</v>
      </c>
      <c r="P145" s="6" t="s">
        <v>731</v>
      </c>
    </row>
    <row r="146" spans="1:16" ht="18" customHeight="1" x14ac:dyDescent="0.15">
      <c r="A146" s="5" t="s">
        <v>726</v>
      </c>
      <c r="B146" s="6" t="s">
        <v>570</v>
      </c>
      <c r="C146" s="6" t="s">
        <v>770</v>
      </c>
      <c r="D146" s="6" t="s">
        <v>875</v>
      </c>
      <c r="E146" s="6" t="s">
        <v>772</v>
      </c>
      <c r="F146" s="8">
        <v>186991560</v>
      </c>
      <c r="G146" s="8">
        <v>186991800</v>
      </c>
      <c r="H146" s="43">
        <v>2.7947619557380701E-2</v>
      </c>
      <c r="I146" s="6">
        <v>199</v>
      </c>
      <c r="J146" s="50">
        <v>0.35763740163876701</v>
      </c>
      <c r="K146" s="8">
        <v>58559</v>
      </c>
      <c r="L146" s="6" t="s">
        <v>362</v>
      </c>
      <c r="M146" s="6" t="s">
        <v>730</v>
      </c>
      <c r="N146" s="6" t="s">
        <v>730</v>
      </c>
      <c r="O146" s="6" t="s">
        <v>730</v>
      </c>
      <c r="P146" s="6" t="s">
        <v>731</v>
      </c>
    </row>
    <row r="147" spans="1:16" ht="18" customHeight="1" x14ac:dyDescent="0.15">
      <c r="A147" s="5" t="s">
        <v>726</v>
      </c>
      <c r="B147" s="6" t="s">
        <v>570</v>
      </c>
      <c r="C147" s="6" t="s">
        <v>770</v>
      </c>
      <c r="D147" s="6" t="s">
        <v>876</v>
      </c>
      <c r="E147" s="6" t="s">
        <v>772</v>
      </c>
      <c r="F147" s="8">
        <v>186992180</v>
      </c>
      <c r="G147" s="8">
        <v>186992400</v>
      </c>
      <c r="H147" s="43">
        <v>0.132904301469143</v>
      </c>
      <c r="I147" s="6">
        <v>94</v>
      </c>
      <c r="J147" s="50">
        <v>0.75356107410422501</v>
      </c>
      <c r="K147" s="8">
        <v>59179</v>
      </c>
      <c r="L147" s="6" t="s">
        <v>362</v>
      </c>
      <c r="M147" s="6" t="s">
        <v>730</v>
      </c>
      <c r="N147" s="6" t="s">
        <v>730</v>
      </c>
      <c r="O147" s="6" t="s">
        <v>730</v>
      </c>
      <c r="P147" s="6" t="s">
        <v>731</v>
      </c>
    </row>
    <row r="148" spans="1:16" ht="18" customHeight="1" x14ac:dyDescent="0.15">
      <c r="A148" s="5" t="s">
        <v>726</v>
      </c>
      <c r="B148" s="6" t="s">
        <v>570</v>
      </c>
      <c r="C148" s="6" t="s">
        <v>770</v>
      </c>
      <c r="D148" s="6" t="s">
        <v>877</v>
      </c>
      <c r="E148" s="6" t="s">
        <v>772</v>
      </c>
      <c r="F148" s="8">
        <v>186992780</v>
      </c>
      <c r="G148" s="8">
        <v>186993240</v>
      </c>
      <c r="H148" s="43">
        <v>0.142186551139905</v>
      </c>
      <c r="I148" s="6">
        <v>90</v>
      </c>
      <c r="J148" s="50">
        <v>0.76367760886960501</v>
      </c>
      <c r="K148" s="8">
        <v>59779</v>
      </c>
      <c r="L148" s="6" t="s">
        <v>362</v>
      </c>
      <c r="M148" s="6" t="s">
        <v>730</v>
      </c>
      <c r="N148" s="6" t="s">
        <v>730</v>
      </c>
      <c r="O148" s="6" t="s">
        <v>730</v>
      </c>
      <c r="P148" s="6" t="s">
        <v>731</v>
      </c>
    </row>
    <row r="149" spans="1:16" ht="18" customHeight="1" x14ac:dyDescent="0.15">
      <c r="A149" s="5" t="s">
        <v>726</v>
      </c>
      <c r="B149" s="6" t="s">
        <v>570</v>
      </c>
      <c r="C149" s="6" t="s">
        <v>770</v>
      </c>
      <c r="D149" s="6" t="s">
        <v>878</v>
      </c>
      <c r="E149" s="6" t="s">
        <v>772</v>
      </c>
      <c r="F149" s="8">
        <v>186992920</v>
      </c>
      <c r="G149" s="8">
        <v>186993095</v>
      </c>
      <c r="H149" s="43">
        <v>0.12791148630472299</v>
      </c>
      <c r="I149" s="6">
        <v>99</v>
      </c>
      <c r="J149" s="50">
        <v>0.74413177559781296</v>
      </c>
      <c r="K149" s="8">
        <v>59919</v>
      </c>
      <c r="L149" s="6" t="s">
        <v>362</v>
      </c>
      <c r="M149" s="6" t="s">
        <v>730</v>
      </c>
      <c r="N149" s="6" t="s">
        <v>730</v>
      </c>
      <c r="O149" s="6" t="s">
        <v>730</v>
      </c>
      <c r="P149" s="6" t="s">
        <v>731</v>
      </c>
    </row>
    <row r="150" spans="1:16" ht="18" customHeight="1" x14ac:dyDescent="0.15">
      <c r="A150" s="5" t="s">
        <v>726</v>
      </c>
      <c r="B150" s="6" t="s">
        <v>570</v>
      </c>
      <c r="C150" s="6" t="s">
        <v>770</v>
      </c>
      <c r="D150" s="6" t="s">
        <v>879</v>
      </c>
      <c r="E150" s="6" t="s">
        <v>772</v>
      </c>
      <c r="F150" s="8">
        <v>186993180</v>
      </c>
      <c r="G150" s="8">
        <v>186993513</v>
      </c>
      <c r="H150" s="43">
        <v>0.107902301045565</v>
      </c>
      <c r="I150" s="6">
        <v>117</v>
      </c>
      <c r="J150" s="50">
        <v>0.71236599544564805</v>
      </c>
      <c r="K150" s="8">
        <v>60179</v>
      </c>
      <c r="L150" s="6" t="s">
        <v>362</v>
      </c>
      <c r="M150" s="6" t="s">
        <v>730</v>
      </c>
      <c r="N150" s="6" t="s">
        <v>730</v>
      </c>
      <c r="O150" s="6" t="s">
        <v>730</v>
      </c>
      <c r="P150" s="6" t="s">
        <v>731</v>
      </c>
    </row>
    <row r="151" spans="1:16" ht="18" customHeight="1" x14ac:dyDescent="0.15">
      <c r="A151" s="5" t="s">
        <v>726</v>
      </c>
      <c r="B151" s="6" t="s">
        <v>570</v>
      </c>
      <c r="C151" s="6" t="s">
        <v>770</v>
      </c>
      <c r="D151" s="6" t="s">
        <v>880</v>
      </c>
      <c r="E151" s="6" t="s">
        <v>772</v>
      </c>
      <c r="F151" s="8">
        <v>186994140</v>
      </c>
      <c r="G151" s="8">
        <v>186994360</v>
      </c>
      <c r="H151" s="43">
        <v>5.8508354883927603E-2</v>
      </c>
      <c r="I151" s="6">
        <v>154</v>
      </c>
      <c r="J151" s="50">
        <v>0.58597968526143196</v>
      </c>
      <c r="K151" s="8">
        <v>61139</v>
      </c>
      <c r="L151" s="6" t="s">
        <v>362</v>
      </c>
      <c r="M151" s="6" t="s">
        <v>730</v>
      </c>
      <c r="N151" s="6" t="s">
        <v>730</v>
      </c>
      <c r="O151" s="6" t="s">
        <v>730</v>
      </c>
      <c r="P151" s="6" t="s">
        <v>731</v>
      </c>
    </row>
    <row r="152" spans="1:16" ht="18" customHeight="1" x14ac:dyDescent="0.15">
      <c r="A152" s="5" t="s">
        <v>726</v>
      </c>
      <c r="B152" s="6" t="s">
        <v>570</v>
      </c>
      <c r="C152" s="6" t="s">
        <v>770</v>
      </c>
      <c r="D152" s="6" t="s">
        <v>881</v>
      </c>
      <c r="E152" s="6" t="s">
        <v>772</v>
      </c>
      <c r="F152" s="8">
        <v>186871740</v>
      </c>
      <c r="G152" s="8">
        <v>186871851</v>
      </c>
      <c r="H152" s="43">
        <v>6.5006947288146405E-2</v>
      </c>
      <c r="I152" s="6">
        <v>146</v>
      </c>
      <c r="J152" s="50">
        <v>0.60476790789122703</v>
      </c>
      <c r="K152" s="8">
        <v>61150</v>
      </c>
      <c r="L152" s="6" t="s">
        <v>362</v>
      </c>
      <c r="M152" s="6" t="s">
        <v>730</v>
      </c>
      <c r="N152" s="6" t="s">
        <v>730</v>
      </c>
      <c r="O152" s="6" t="s">
        <v>730</v>
      </c>
      <c r="P152" s="6" t="s">
        <v>731</v>
      </c>
    </row>
    <row r="153" spans="1:16" ht="18" customHeight="1" x14ac:dyDescent="0.15">
      <c r="A153" s="5" t="s">
        <v>726</v>
      </c>
      <c r="B153" s="6" t="s">
        <v>570</v>
      </c>
      <c r="C153" s="6" t="s">
        <v>770</v>
      </c>
      <c r="D153" s="6" t="s">
        <v>882</v>
      </c>
      <c r="E153" s="6" t="s">
        <v>772</v>
      </c>
      <c r="F153" s="8">
        <v>186871420</v>
      </c>
      <c r="G153" s="8">
        <v>186871637</v>
      </c>
      <c r="H153" s="43">
        <v>6.4384248394232499E-2</v>
      </c>
      <c r="I153" s="6">
        <v>147</v>
      </c>
      <c r="J153" s="50">
        <v>0.60387649903952001</v>
      </c>
      <c r="K153" s="8">
        <v>61364</v>
      </c>
      <c r="L153" s="6" t="s">
        <v>362</v>
      </c>
      <c r="M153" s="6" t="s">
        <v>730</v>
      </c>
      <c r="N153" s="6" t="s">
        <v>730</v>
      </c>
      <c r="O153" s="6" t="s">
        <v>730</v>
      </c>
      <c r="P153" s="6" t="s">
        <v>731</v>
      </c>
    </row>
    <row r="154" spans="1:16" ht="18" customHeight="1" x14ac:dyDescent="0.15">
      <c r="A154" s="5" t="s">
        <v>726</v>
      </c>
      <c r="B154" s="6" t="s">
        <v>570</v>
      </c>
      <c r="C154" s="6" t="s">
        <v>770</v>
      </c>
      <c r="D154" s="6" t="s">
        <v>883</v>
      </c>
      <c r="E154" s="6" t="s">
        <v>772</v>
      </c>
      <c r="F154" s="8">
        <v>186870945</v>
      </c>
      <c r="G154" s="8">
        <v>186871160</v>
      </c>
      <c r="H154" s="43">
        <v>6.2946867484312802E-2</v>
      </c>
      <c r="I154" s="6">
        <v>149</v>
      </c>
      <c r="J154" s="50">
        <v>0.60147855709925502</v>
      </c>
      <c r="K154" s="8">
        <v>61841</v>
      </c>
      <c r="L154" s="6" t="s">
        <v>362</v>
      </c>
      <c r="M154" s="6" t="s">
        <v>730</v>
      </c>
      <c r="N154" s="6" t="s">
        <v>730</v>
      </c>
      <c r="O154" s="6" t="s">
        <v>730</v>
      </c>
      <c r="P154" s="6" t="s">
        <v>731</v>
      </c>
    </row>
    <row r="155" spans="1:16" ht="18" customHeight="1" x14ac:dyDescent="0.15">
      <c r="A155" s="5" t="s">
        <v>726</v>
      </c>
      <c r="B155" s="6" t="s">
        <v>570</v>
      </c>
      <c r="C155" s="6" t="s">
        <v>770</v>
      </c>
      <c r="D155" s="6" t="s">
        <v>884</v>
      </c>
      <c r="E155" s="6" t="s">
        <v>772</v>
      </c>
      <c r="F155" s="8">
        <v>186999680</v>
      </c>
      <c r="G155" s="8">
        <v>186999800</v>
      </c>
      <c r="H155" s="43">
        <v>7.2715029120445293E-2</v>
      </c>
      <c r="I155" s="6">
        <v>143</v>
      </c>
      <c r="J155" s="50">
        <v>0.63209228253663996</v>
      </c>
      <c r="K155" s="8">
        <v>66679</v>
      </c>
      <c r="L155" s="6" t="s">
        <v>362</v>
      </c>
      <c r="M155" s="6" t="s">
        <v>730</v>
      </c>
      <c r="N155" s="6" t="s">
        <v>730</v>
      </c>
      <c r="O155" s="6" t="s">
        <v>730</v>
      </c>
      <c r="P155" s="6" t="s">
        <v>731</v>
      </c>
    </row>
    <row r="156" spans="1:16" ht="18" customHeight="1" x14ac:dyDescent="0.15">
      <c r="A156" s="5" t="s">
        <v>726</v>
      </c>
      <c r="B156" s="6" t="s">
        <v>570</v>
      </c>
      <c r="C156" s="6" t="s">
        <v>770</v>
      </c>
      <c r="D156" s="6" t="s">
        <v>885</v>
      </c>
      <c r="E156" s="6" t="s">
        <v>772</v>
      </c>
      <c r="F156" s="8">
        <v>186999820</v>
      </c>
      <c r="G156" s="8">
        <v>186999893</v>
      </c>
      <c r="H156" s="43">
        <v>7.4190617753909199E-2</v>
      </c>
      <c r="I156" s="6">
        <v>141</v>
      </c>
      <c r="J156" s="50">
        <v>0.63902806895299402</v>
      </c>
      <c r="K156" s="8">
        <v>66819</v>
      </c>
      <c r="L156" s="6" t="s">
        <v>362</v>
      </c>
      <c r="M156" s="6" t="s">
        <v>730</v>
      </c>
      <c r="N156" s="6" t="s">
        <v>730</v>
      </c>
      <c r="O156" s="6" t="s">
        <v>730</v>
      </c>
      <c r="P156" s="6" t="s">
        <v>731</v>
      </c>
    </row>
    <row r="157" spans="1:16" ht="18" customHeight="1" x14ac:dyDescent="0.15">
      <c r="A157" s="5" t="s">
        <v>726</v>
      </c>
      <c r="B157" s="6" t="s">
        <v>570</v>
      </c>
      <c r="C157" s="6" t="s">
        <v>770</v>
      </c>
      <c r="D157" s="6" t="s">
        <v>886</v>
      </c>
      <c r="E157" s="6" t="s">
        <v>772</v>
      </c>
      <c r="F157" s="8">
        <v>187000420</v>
      </c>
      <c r="G157" s="8">
        <v>187000637</v>
      </c>
      <c r="H157" s="43">
        <v>0.151832405191201</v>
      </c>
      <c r="I157" s="6">
        <v>86</v>
      </c>
      <c r="J157" s="50">
        <v>0.77636671830350801</v>
      </c>
      <c r="K157" s="8">
        <v>67419</v>
      </c>
      <c r="L157" s="6" t="s">
        <v>362</v>
      </c>
      <c r="M157" s="6" t="s">
        <v>730</v>
      </c>
      <c r="N157" s="6" t="s">
        <v>730</v>
      </c>
      <c r="O157" s="6" t="s">
        <v>730</v>
      </c>
      <c r="P157" s="6" t="s">
        <v>731</v>
      </c>
    </row>
    <row r="158" spans="1:16" ht="18" customHeight="1" x14ac:dyDescent="0.15">
      <c r="A158" s="5" t="s">
        <v>726</v>
      </c>
      <c r="B158" s="6" t="s">
        <v>570</v>
      </c>
      <c r="C158" s="6" t="s">
        <v>770</v>
      </c>
      <c r="D158" s="6" t="s">
        <v>887</v>
      </c>
      <c r="E158" s="6" t="s">
        <v>772</v>
      </c>
      <c r="F158" s="8">
        <v>187000750</v>
      </c>
      <c r="G158" s="8">
        <v>187000960</v>
      </c>
      <c r="H158" s="43">
        <v>0.17315359986745399</v>
      </c>
      <c r="I158" s="6">
        <v>71</v>
      </c>
      <c r="J158" s="50">
        <v>0.79985786112267099</v>
      </c>
      <c r="K158" s="8">
        <v>67749</v>
      </c>
      <c r="L158" s="6" t="s">
        <v>362</v>
      </c>
      <c r="M158" s="6" t="s">
        <v>730</v>
      </c>
      <c r="N158" s="6" t="s">
        <v>730</v>
      </c>
      <c r="O158" s="6" t="s">
        <v>730</v>
      </c>
      <c r="P158" s="6" t="s">
        <v>731</v>
      </c>
    </row>
    <row r="159" spans="1:16" ht="18" customHeight="1" x14ac:dyDescent="0.15">
      <c r="A159" s="5" t="s">
        <v>726</v>
      </c>
      <c r="B159" s="6" t="s">
        <v>570</v>
      </c>
      <c r="C159" s="6" t="s">
        <v>770</v>
      </c>
      <c r="D159" s="6" t="s">
        <v>888</v>
      </c>
      <c r="E159" s="6" t="s">
        <v>772</v>
      </c>
      <c r="F159" s="8">
        <v>187000960</v>
      </c>
      <c r="G159" s="8">
        <v>187001100</v>
      </c>
      <c r="H159" s="43">
        <v>0.259320116960085</v>
      </c>
      <c r="I159" s="6">
        <v>41</v>
      </c>
      <c r="J159" s="50">
        <v>0.86820789461566505</v>
      </c>
      <c r="K159" s="8">
        <v>67959</v>
      </c>
      <c r="L159" s="6" t="s">
        <v>362</v>
      </c>
      <c r="M159" s="6" t="s">
        <v>730</v>
      </c>
      <c r="N159" s="6" t="s">
        <v>730</v>
      </c>
      <c r="O159" s="6" t="s">
        <v>730</v>
      </c>
      <c r="P159" s="6" t="s">
        <v>731</v>
      </c>
    </row>
    <row r="160" spans="1:16" ht="18" customHeight="1" x14ac:dyDescent="0.15">
      <c r="A160" s="5" t="s">
        <v>726</v>
      </c>
      <c r="B160" s="6" t="s">
        <v>570</v>
      </c>
      <c r="C160" s="6" t="s">
        <v>770</v>
      </c>
      <c r="D160" s="6" t="s">
        <v>889</v>
      </c>
      <c r="E160" s="6" t="s">
        <v>772</v>
      </c>
      <c r="F160" s="8">
        <v>187001520</v>
      </c>
      <c r="G160" s="8">
        <v>187001715</v>
      </c>
      <c r="H160" s="43">
        <v>0.16849186557989901</v>
      </c>
      <c r="I160" s="6">
        <v>76</v>
      </c>
      <c r="J160" s="50">
        <v>0.79401939378985198</v>
      </c>
      <c r="K160" s="8">
        <v>68519</v>
      </c>
      <c r="L160" s="6" t="s">
        <v>362</v>
      </c>
      <c r="M160" s="6" t="s">
        <v>730</v>
      </c>
      <c r="N160" s="6" t="s">
        <v>730</v>
      </c>
      <c r="O160" s="6" t="s">
        <v>730</v>
      </c>
      <c r="P160" s="6" t="s">
        <v>731</v>
      </c>
    </row>
    <row r="161" spans="1:16" ht="18" customHeight="1" x14ac:dyDescent="0.15">
      <c r="A161" s="5" t="s">
        <v>726</v>
      </c>
      <c r="B161" s="6" t="s">
        <v>570</v>
      </c>
      <c r="C161" s="6" t="s">
        <v>770</v>
      </c>
      <c r="D161" s="6" t="s">
        <v>890</v>
      </c>
      <c r="E161" s="6" t="s">
        <v>772</v>
      </c>
      <c r="F161" s="8">
        <v>187002422</v>
      </c>
      <c r="G161" s="8">
        <v>187002620</v>
      </c>
      <c r="H161" s="43">
        <v>1.4274571950619E-2</v>
      </c>
      <c r="I161" s="6">
        <v>210</v>
      </c>
      <c r="J161" s="50">
        <v>0.184408685762741</v>
      </c>
      <c r="K161" s="8">
        <v>69421</v>
      </c>
      <c r="L161" s="6" t="s">
        <v>362</v>
      </c>
      <c r="M161" s="6" t="s">
        <v>730</v>
      </c>
      <c r="N161" s="6" t="s">
        <v>730</v>
      </c>
      <c r="O161" s="6" t="s">
        <v>730</v>
      </c>
      <c r="P161" s="6" t="s">
        <v>731</v>
      </c>
    </row>
    <row r="162" spans="1:16" ht="18" customHeight="1" x14ac:dyDescent="0.15">
      <c r="A162" s="5" t="s">
        <v>726</v>
      </c>
      <c r="B162" s="6" t="s">
        <v>570</v>
      </c>
      <c r="C162" s="6" t="s">
        <v>770</v>
      </c>
      <c r="D162" s="6" t="s">
        <v>891</v>
      </c>
      <c r="E162" s="6" t="s">
        <v>772</v>
      </c>
      <c r="F162" s="8">
        <v>187005920</v>
      </c>
      <c r="G162" s="8">
        <v>187006133</v>
      </c>
      <c r="H162" s="43">
        <v>0.100587969789138</v>
      </c>
      <c r="I162" s="6">
        <v>121</v>
      </c>
      <c r="J162" s="50">
        <v>0.69795227921775005</v>
      </c>
      <c r="K162" s="8">
        <v>72919</v>
      </c>
      <c r="L162" s="6" t="s">
        <v>362</v>
      </c>
      <c r="M162" s="6" t="s">
        <v>730</v>
      </c>
      <c r="N162" s="6" t="s">
        <v>730</v>
      </c>
      <c r="O162" s="6" t="s">
        <v>730</v>
      </c>
      <c r="P162" s="6" t="s">
        <v>731</v>
      </c>
    </row>
    <row r="163" spans="1:16" ht="18" customHeight="1" x14ac:dyDescent="0.15">
      <c r="A163" s="5" t="s">
        <v>726</v>
      </c>
      <c r="B163" s="6" t="s">
        <v>570</v>
      </c>
      <c r="C163" s="6" t="s">
        <v>770</v>
      </c>
      <c r="D163" s="6" t="s">
        <v>892</v>
      </c>
      <c r="E163" s="6" t="s">
        <v>772</v>
      </c>
      <c r="F163" s="8">
        <v>187006720</v>
      </c>
      <c r="G163" s="8">
        <v>187007040</v>
      </c>
      <c r="H163" s="43">
        <v>0.114426435186313</v>
      </c>
      <c r="I163" s="6">
        <v>109</v>
      </c>
      <c r="J163" s="50">
        <v>0.72361633971539197</v>
      </c>
      <c r="K163" s="8">
        <v>73719</v>
      </c>
      <c r="L163" s="6" t="s">
        <v>362</v>
      </c>
      <c r="M163" s="6" t="s">
        <v>730</v>
      </c>
      <c r="N163" s="6" t="s">
        <v>730</v>
      </c>
      <c r="O163" s="6" t="s">
        <v>730</v>
      </c>
      <c r="P163" s="6" t="s">
        <v>731</v>
      </c>
    </row>
    <row r="164" spans="1:16" ht="18" customHeight="1" x14ac:dyDescent="0.15">
      <c r="A164" s="5" t="s">
        <v>726</v>
      </c>
      <c r="B164" s="6" t="s">
        <v>570</v>
      </c>
      <c r="C164" s="6" t="s">
        <v>770</v>
      </c>
      <c r="D164" s="6" t="s">
        <v>893</v>
      </c>
      <c r="E164" s="6" t="s">
        <v>772</v>
      </c>
      <c r="F164" s="8">
        <v>187006920</v>
      </c>
      <c r="G164" s="8">
        <v>187007160</v>
      </c>
      <c r="H164" s="43">
        <v>0.108358958592782</v>
      </c>
      <c r="I164" s="6">
        <v>115</v>
      </c>
      <c r="J164" s="50">
        <v>0.71291508939718695</v>
      </c>
      <c r="K164" s="8">
        <v>73919</v>
      </c>
      <c r="L164" s="6" t="s">
        <v>362</v>
      </c>
      <c r="M164" s="6" t="s">
        <v>730</v>
      </c>
      <c r="N164" s="6" t="s">
        <v>730</v>
      </c>
      <c r="O164" s="6" t="s">
        <v>730</v>
      </c>
      <c r="P164" s="6" t="s">
        <v>731</v>
      </c>
    </row>
    <row r="165" spans="1:16" ht="18" customHeight="1" x14ac:dyDescent="0.15">
      <c r="A165" s="5" t="s">
        <v>726</v>
      </c>
      <c r="B165" s="6" t="s">
        <v>570</v>
      </c>
      <c r="C165" s="6" t="s">
        <v>770</v>
      </c>
      <c r="D165" s="6" t="s">
        <v>894</v>
      </c>
      <c r="E165" s="6" t="s">
        <v>772</v>
      </c>
      <c r="F165" s="8">
        <v>187007060</v>
      </c>
      <c r="G165" s="8">
        <v>187007261</v>
      </c>
      <c r="H165" s="43">
        <v>0.126015344491372</v>
      </c>
      <c r="I165" s="6">
        <v>101</v>
      </c>
      <c r="J165" s="50">
        <v>0.74017430257683203</v>
      </c>
      <c r="K165" s="8">
        <v>74059</v>
      </c>
      <c r="L165" s="6" t="s">
        <v>362</v>
      </c>
      <c r="M165" s="6" t="s">
        <v>730</v>
      </c>
      <c r="N165" s="6" t="s">
        <v>730</v>
      </c>
      <c r="O165" s="6" t="s">
        <v>730</v>
      </c>
      <c r="P165" s="6" t="s">
        <v>731</v>
      </c>
    </row>
    <row r="166" spans="1:16" ht="18" customHeight="1" x14ac:dyDescent="0.15">
      <c r="A166" s="5" t="s">
        <v>726</v>
      </c>
      <c r="B166" s="6" t="s">
        <v>570</v>
      </c>
      <c r="C166" s="6" t="s">
        <v>770</v>
      </c>
      <c r="D166" s="6" t="s">
        <v>895</v>
      </c>
      <c r="E166" s="6" t="s">
        <v>772</v>
      </c>
      <c r="F166" s="8">
        <v>187007305</v>
      </c>
      <c r="G166" s="8">
        <v>187007540</v>
      </c>
      <c r="H166" s="43">
        <v>0.11485955004508699</v>
      </c>
      <c r="I166" s="6">
        <v>108</v>
      </c>
      <c r="J166" s="50">
        <v>0.72480922894872002</v>
      </c>
      <c r="K166" s="8">
        <v>74304</v>
      </c>
      <c r="L166" s="6" t="s">
        <v>362</v>
      </c>
      <c r="M166" s="6" t="s">
        <v>730</v>
      </c>
      <c r="N166" s="6" t="s">
        <v>730</v>
      </c>
      <c r="O166" s="6" t="s">
        <v>730</v>
      </c>
      <c r="P166" s="6" t="s">
        <v>731</v>
      </c>
    </row>
    <row r="167" spans="1:16" ht="18" customHeight="1" x14ac:dyDescent="0.15">
      <c r="A167" s="5" t="s">
        <v>726</v>
      </c>
      <c r="B167" s="6" t="s">
        <v>570</v>
      </c>
      <c r="C167" s="6" t="s">
        <v>770</v>
      </c>
      <c r="D167" s="6" t="s">
        <v>896</v>
      </c>
      <c r="E167" s="6" t="s">
        <v>772</v>
      </c>
      <c r="F167" s="8">
        <v>187010000</v>
      </c>
      <c r="G167" s="8">
        <v>187010200</v>
      </c>
      <c r="H167" s="43">
        <v>1.6207183782871001E-2</v>
      </c>
      <c r="I167" s="6">
        <v>204</v>
      </c>
      <c r="J167" s="50">
        <v>0.31072896566164498</v>
      </c>
      <c r="K167" s="8">
        <v>76999</v>
      </c>
      <c r="L167" s="6" t="s">
        <v>362</v>
      </c>
      <c r="M167" s="6" t="s">
        <v>730</v>
      </c>
      <c r="N167" s="6" t="s">
        <v>730</v>
      </c>
      <c r="O167" s="6" t="s">
        <v>730</v>
      </c>
      <c r="P167" s="6" t="s">
        <v>731</v>
      </c>
    </row>
    <row r="168" spans="1:16" ht="18" customHeight="1" x14ac:dyDescent="0.15">
      <c r="A168" s="5" t="s">
        <v>726</v>
      </c>
      <c r="B168" s="6" t="s">
        <v>570</v>
      </c>
      <c r="C168" s="6" t="s">
        <v>770</v>
      </c>
      <c r="D168" s="6" t="s">
        <v>897</v>
      </c>
      <c r="E168" s="6" t="s">
        <v>772</v>
      </c>
      <c r="F168" s="8">
        <v>187011440</v>
      </c>
      <c r="G168" s="8">
        <v>187011620</v>
      </c>
      <c r="H168" s="43">
        <v>0.19641086459159901</v>
      </c>
      <c r="I168" s="6">
        <v>60</v>
      </c>
      <c r="J168" s="50">
        <v>0.82092760387389296</v>
      </c>
      <c r="K168" s="8">
        <v>78439</v>
      </c>
      <c r="L168" s="6" t="s">
        <v>362</v>
      </c>
      <c r="M168" s="6" t="s">
        <v>730</v>
      </c>
      <c r="N168" s="6" t="s">
        <v>730</v>
      </c>
      <c r="O168" s="6" t="s">
        <v>730</v>
      </c>
      <c r="P168" s="6" t="s">
        <v>731</v>
      </c>
    </row>
    <row r="169" spans="1:16" ht="18" customHeight="1" x14ac:dyDescent="0.15">
      <c r="A169" s="5" t="s">
        <v>726</v>
      </c>
      <c r="B169" s="6" t="s">
        <v>570</v>
      </c>
      <c r="C169" s="6" t="s">
        <v>770</v>
      </c>
      <c r="D169" s="6" t="s">
        <v>898</v>
      </c>
      <c r="E169" s="6" t="s">
        <v>772</v>
      </c>
      <c r="F169" s="8">
        <v>187011880</v>
      </c>
      <c r="G169" s="8">
        <v>187012165</v>
      </c>
      <c r="H169" s="43">
        <v>0.32363622463666503</v>
      </c>
      <c r="I169" s="6">
        <v>27</v>
      </c>
      <c r="J169" s="50">
        <v>0.90122043081285896</v>
      </c>
      <c r="K169" s="8">
        <v>78879</v>
      </c>
      <c r="L169" s="6" t="s">
        <v>362</v>
      </c>
      <c r="M169" s="6" t="s">
        <v>730</v>
      </c>
      <c r="N169" s="6" t="s">
        <v>730</v>
      </c>
      <c r="O169" s="6" t="s">
        <v>730</v>
      </c>
      <c r="P169" s="6" t="s">
        <v>731</v>
      </c>
    </row>
    <row r="170" spans="1:16" ht="18" customHeight="1" x14ac:dyDescent="0.15">
      <c r="A170" s="5" t="s">
        <v>726</v>
      </c>
      <c r="B170" s="6" t="s">
        <v>570</v>
      </c>
      <c r="C170" s="6" t="s">
        <v>770</v>
      </c>
      <c r="D170" s="6" t="s">
        <v>899</v>
      </c>
      <c r="E170" s="6" t="s">
        <v>772</v>
      </c>
      <c r="F170" s="8">
        <v>187012060</v>
      </c>
      <c r="G170" s="8">
        <v>187012242</v>
      </c>
      <c r="H170" s="43">
        <v>0.32111558088889502</v>
      </c>
      <c r="I170" s="6">
        <v>28</v>
      </c>
      <c r="J170" s="50">
        <v>0.90019783021007205</v>
      </c>
      <c r="K170" s="8">
        <v>79059</v>
      </c>
      <c r="L170" s="6" t="s">
        <v>362</v>
      </c>
      <c r="M170" s="6" t="s">
        <v>730</v>
      </c>
      <c r="N170" s="6" t="s">
        <v>730</v>
      </c>
      <c r="O170" s="6" t="s">
        <v>730</v>
      </c>
      <c r="P170" s="6" t="s">
        <v>731</v>
      </c>
    </row>
    <row r="171" spans="1:16" ht="18" customHeight="1" x14ac:dyDescent="0.15">
      <c r="A171" s="5" t="s">
        <v>726</v>
      </c>
      <c r="B171" s="6" t="s">
        <v>570</v>
      </c>
      <c r="C171" s="6" t="s">
        <v>770</v>
      </c>
      <c r="D171" s="6" t="s">
        <v>900</v>
      </c>
      <c r="E171" s="6" t="s">
        <v>772</v>
      </c>
      <c r="F171" s="8">
        <v>187012625</v>
      </c>
      <c r="G171" s="8">
        <v>187012826</v>
      </c>
      <c r="H171" s="43">
        <v>0.54295549713648295</v>
      </c>
      <c r="I171" s="6">
        <v>10</v>
      </c>
      <c r="J171" s="50">
        <v>0.961530408249615</v>
      </c>
      <c r="K171" s="8">
        <v>79624</v>
      </c>
      <c r="L171" s="6" t="s">
        <v>362</v>
      </c>
      <c r="M171" s="6" t="s">
        <v>730</v>
      </c>
      <c r="N171" s="6" t="s">
        <v>730</v>
      </c>
      <c r="O171" s="6" t="s">
        <v>730</v>
      </c>
      <c r="P171" s="6" t="s">
        <v>731</v>
      </c>
    </row>
    <row r="172" spans="1:16" ht="18" customHeight="1" x14ac:dyDescent="0.15">
      <c r="A172" s="5" t="s">
        <v>726</v>
      </c>
      <c r="B172" s="6" t="s">
        <v>570</v>
      </c>
      <c r="C172" s="6" t="s">
        <v>770</v>
      </c>
      <c r="D172" s="6" t="s">
        <v>901</v>
      </c>
      <c r="E172" s="6" t="s">
        <v>772</v>
      </c>
      <c r="F172" s="8">
        <v>187012785</v>
      </c>
      <c r="G172" s="8">
        <v>187013026</v>
      </c>
      <c r="H172" s="43">
        <v>0.56789925637153504</v>
      </c>
      <c r="I172" s="6">
        <v>7</v>
      </c>
      <c r="J172" s="50">
        <v>0.965716380810557</v>
      </c>
      <c r="K172" s="8">
        <v>79784</v>
      </c>
      <c r="L172" s="6" t="s">
        <v>362</v>
      </c>
      <c r="M172" s="6" t="s">
        <v>730</v>
      </c>
      <c r="N172" s="6" t="s">
        <v>730</v>
      </c>
      <c r="O172" s="6" t="s">
        <v>730</v>
      </c>
      <c r="P172" s="6" t="s">
        <v>731</v>
      </c>
    </row>
    <row r="173" spans="1:16" ht="18" customHeight="1" x14ac:dyDescent="0.15">
      <c r="A173" s="5" t="s">
        <v>726</v>
      </c>
      <c r="B173" s="6" t="s">
        <v>570</v>
      </c>
      <c r="C173" s="6" t="s">
        <v>770</v>
      </c>
      <c r="D173" s="6" t="s">
        <v>902</v>
      </c>
      <c r="E173" s="6" t="s">
        <v>772</v>
      </c>
      <c r="F173" s="8">
        <v>187012957</v>
      </c>
      <c r="G173" s="8">
        <v>187013160</v>
      </c>
      <c r="H173" s="43">
        <v>0.48312581215913503</v>
      </c>
      <c r="I173" s="6">
        <v>15</v>
      </c>
      <c r="J173" s="50">
        <v>0.94984739184717104</v>
      </c>
      <c r="K173" s="8">
        <v>79956</v>
      </c>
      <c r="L173" s="6" t="s">
        <v>362</v>
      </c>
      <c r="M173" s="6" t="s">
        <v>730</v>
      </c>
      <c r="N173" s="6" t="s">
        <v>730</v>
      </c>
      <c r="O173" s="6" t="s">
        <v>730</v>
      </c>
      <c r="P173" s="6" t="s">
        <v>731</v>
      </c>
    </row>
    <row r="174" spans="1:16" ht="18" customHeight="1" x14ac:dyDescent="0.15">
      <c r="A174" s="5" t="s">
        <v>726</v>
      </c>
      <c r="B174" s="6" t="s">
        <v>570</v>
      </c>
      <c r="C174" s="6" t="s">
        <v>770</v>
      </c>
      <c r="D174" s="6" t="s">
        <v>903</v>
      </c>
      <c r="E174" s="6" t="s">
        <v>772</v>
      </c>
      <c r="F174" s="8">
        <v>187013140</v>
      </c>
      <c r="G174" s="8">
        <v>187013341</v>
      </c>
      <c r="H174" s="43">
        <v>0.35674816943131998</v>
      </c>
      <c r="I174" s="6">
        <v>19</v>
      </c>
      <c r="J174" s="50">
        <v>0.91428226383095601</v>
      </c>
      <c r="K174" s="8">
        <v>80139</v>
      </c>
      <c r="L174" s="6" t="s">
        <v>362</v>
      </c>
      <c r="M174" s="6" t="s">
        <v>730</v>
      </c>
      <c r="N174" s="6" t="s">
        <v>730</v>
      </c>
      <c r="O174" s="6" t="s">
        <v>730</v>
      </c>
      <c r="P174" s="6" t="s">
        <v>731</v>
      </c>
    </row>
    <row r="175" spans="1:16" ht="18" customHeight="1" x14ac:dyDescent="0.15">
      <c r="A175" s="5" t="s">
        <v>726</v>
      </c>
      <c r="B175" s="6" t="s">
        <v>570</v>
      </c>
      <c r="C175" s="6" t="s">
        <v>770</v>
      </c>
      <c r="D175" s="6" t="s">
        <v>904</v>
      </c>
      <c r="E175" s="6" t="s">
        <v>772</v>
      </c>
      <c r="F175" s="8">
        <v>187013360</v>
      </c>
      <c r="G175" s="8">
        <v>187013650</v>
      </c>
      <c r="H175" s="43">
        <v>0.32512778788805002</v>
      </c>
      <c r="I175" s="6">
        <v>26</v>
      </c>
      <c r="J175" s="50">
        <v>0.90185901317738604</v>
      </c>
      <c r="K175" s="8">
        <v>80359</v>
      </c>
      <c r="L175" s="6" t="s">
        <v>362</v>
      </c>
      <c r="M175" s="6" t="s">
        <v>730</v>
      </c>
      <c r="N175" s="6" t="s">
        <v>730</v>
      </c>
      <c r="O175" s="6" t="s">
        <v>730</v>
      </c>
      <c r="P175" s="6" t="s">
        <v>731</v>
      </c>
    </row>
    <row r="176" spans="1:16" ht="18" customHeight="1" x14ac:dyDescent="0.15">
      <c r="A176" s="5" t="s">
        <v>726</v>
      </c>
      <c r="B176" s="6" t="s">
        <v>570</v>
      </c>
      <c r="C176" s="6" t="s">
        <v>770</v>
      </c>
      <c r="D176" s="6" t="s">
        <v>905</v>
      </c>
      <c r="E176" s="6" t="s">
        <v>772</v>
      </c>
      <c r="F176" s="8">
        <v>187014129</v>
      </c>
      <c r="G176" s="8">
        <v>187014189</v>
      </c>
      <c r="H176" s="43">
        <v>0.15841459884093401</v>
      </c>
      <c r="I176" s="6">
        <v>82</v>
      </c>
      <c r="J176" s="50">
        <v>0.78400016681335205</v>
      </c>
      <c r="K176" s="8">
        <v>81128</v>
      </c>
      <c r="L176" s="6" t="s">
        <v>362</v>
      </c>
      <c r="M176" s="6" t="s">
        <v>730</v>
      </c>
      <c r="N176" s="6" t="s">
        <v>730</v>
      </c>
      <c r="O176" s="6" t="s">
        <v>730</v>
      </c>
      <c r="P176" s="6" t="s">
        <v>731</v>
      </c>
    </row>
    <row r="177" spans="1:16" ht="18" customHeight="1" x14ac:dyDescent="0.15">
      <c r="A177" s="5" t="s">
        <v>726</v>
      </c>
      <c r="B177" s="6" t="s">
        <v>570</v>
      </c>
      <c r="C177" s="6" t="s">
        <v>770</v>
      </c>
      <c r="D177" s="6" t="s">
        <v>906</v>
      </c>
      <c r="E177" s="6" t="s">
        <v>772</v>
      </c>
      <c r="F177" s="8">
        <v>187015035</v>
      </c>
      <c r="G177" s="8">
        <v>187015280</v>
      </c>
      <c r="H177" s="43">
        <v>8.9768023445055994E-2</v>
      </c>
      <c r="I177" s="6">
        <v>128</v>
      </c>
      <c r="J177" s="50">
        <v>0.67757324800367003</v>
      </c>
      <c r="K177" s="8">
        <v>82034</v>
      </c>
      <c r="L177" s="6" t="s">
        <v>362</v>
      </c>
      <c r="M177" s="6" t="s">
        <v>730</v>
      </c>
      <c r="N177" s="6" t="s">
        <v>730</v>
      </c>
      <c r="O177" s="6" t="s">
        <v>730</v>
      </c>
      <c r="P177" s="6" t="s">
        <v>731</v>
      </c>
    </row>
    <row r="178" spans="1:16" ht="18" customHeight="1" x14ac:dyDescent="0.15">
      <c r="A178" s="5" t="s">
        <v>726</v>
      </c>
      <c r="B178" s="6" t="s">
        <v>570</v>
      </c>
      <c r="C178" s="6" t="s">
        <v>770</v>
      </c>
      <c r="D178" s="6" t="s">
        <v>907</v>
      </c>
      <c r="E178" s="6" t="s">
        <v>772</v>
      </c>
      <c r="F178" s="8">
        <v>187015396</v>
      </c>
      <c r="G178" s="8">
        <v>187015538</v>
      </c>
      <c r="H178" s="43">
        <v>0.100723624229431</v>
      </c>
      <c r="I178" s="6">
        <v>120</v>
      </c>
      <c r="J178" s="50">
        <v>0.69841536003447502</v>
      </c>
      <c r="K178" s="8">
        <v>82395</v>
      </c>
      <c r="L178" s="6" t="s">
        <v>362</v>
      </c>
      <c r="M178" s="6" t="s">
        <v>730</v>
      </c>
      <c r="N178" s="6" t="s">
        <v>730</v>
      </c>
      <c r="O178" s="6" t="s">
        <v>730</v>
      </c>
      <c r="P178" s="6" t="s">
        <v>731</v>
      </c>
    </row>
    <row r="179" spans="1:16" ht="18" customHeight="1" x14ac:dyDescent="0.15">
      <c r="A179" s="5" t="s">
        <v>726</v>
      </c>
      <c r="B179" s="6" t="s">
        <v>570</v>
      </c>
      <c r="C179" s="6" t="s">
        <v>770</v>
      </c>
      <c r="D179" s="6" t="s">
        <v>908</v>
      </c>
      <c r="E179" s="6" t="s">
        <v>772</v>
      </c>
      <c r="F179" s="8">
        <v>187015980</v>
      </c>
      <c r="G179" s="8">
        <v>187016180</v>
      </c>
      <c r="H179" s="43">
        <v>0.183453702582763</v>
      </c>
      <c r="I179" s="6">
        <v>65</v>
      </c>
      <c r="J179" s="50">
        <v>0.80894310708982797</v>
      </c>
      <c r="K179" s="8">
        <v>82979</v>
      </c>
      <c r="L179" s="6" t="s">
        <v>362</v>
      </c>
      <c r="M179" s="6" t="s">
        <v>730</v>
      </c>
      <c r="N179" s="6" t="s">
        <v>730</v>
      </c>
      <c r="O179" s="6" t="s">
        <v>730</v>
      </c>
      <c r="P179" s="6" t="s">
        <v>731</v>
      </c>
    </row>
    <row r="180" spans="1:16" ht="18" customHeight="1" x14ac:dyDescent="0.15">
      <c r="A180" s="5" t="s">
        <v>726</v>
      </c>
      <c r="B180" s="6" t="s">
        <v>570</v>
      </c>
      <c r="C180" s="6" t="s">
        <v>770</v>
      </c>
      <c r="D180" s="6" t="s">
        <v>909</v>
      </c>
      <c r="E180" s="6" t="s">
        <v>772</v>
      </c>
      <c r="F180" s="8">
        <v>187016090</v>
      </c>
      <c r="G180" s="8">
        <v>187016200</v>
      </c>
      <c r="H180" s="43">
        <v>0.17912529523556001</v>
      </c>
      <c r="I180" s="6">
        <v>67</v>
      </c>
      <c r="J180" s="50">
        <v>0.80549649996046901</v>
      </c>
      <c r="K180" s="8">
        <v>83089</v>
      </c>
      <c r="L180" s="6" t="s">
        <v>362</v>
      </c>
      <c r="M180" s="6" t="s">
        <v>730</v>
      </c>
      <c r="N180" s="6" t="s">
        <v>730</v>
      </c>
      <c r="O180" s="6" t="s">
        <v>730</v>
      </c>
      <c r="P180" s="6" t="s">
        <v>731</v>
      </c>
    </row>
    <row r="181" spans="1:16" ht="18" customHeight="1" x14ac:dyDescent="0.15">
      <c r="A181" s="5" t="s">
        <v>726</v>
      </c>
      <c r="B181" s="6" t="s">
        <v>570</v>
      </c>
      <c r="C181" s="6" t="s">
        <v>770</v>
      </c>
      <c r="D181" s="6" t="s">
        <v>910</v>
      </c>
      <c r="E181" s="6" t="s">
        <v>772</v>
      </c>
      <c r="F181" s="8">
        <v>187016620</v>
      </c>
      <c r="G181" s="8">
        <v>187016960</v>
      </c>
      <c r="H181" s="43">
        <v>0.25880992527191499</v>
      </c>
      <c r="I181" s="6">
        <v>42</v>
      </c>
      <c r="J181" s="50">
        <v>0.86783169575329699</v>
      </c>
      <c r="K181" s="8">
        <v>83619</v>
      </c>
      <c r="L181" s="6" t="s">
        <v>362</v>
      </c>
      <c r="M181" s="6" t="s">
        <v>730</v>
      </c>
      <c r="N181" s="6" t="s">
        <v>730</v>
      </c>
      <c r="O181" s="6" t="s">
        <v>730</v>
      </c>
      <c r="P181" s="6" t="s">
        <v>731</v>
      </c>
    </row>
    <row r="182" spans="1:16" ht="18" customHeight="1" x14ac:dyDescent="0.15">
      <c r="A182" s="5" t="s">
        <v>726</v>
      </c>
      <c r="B182" s="6" t="s">
        <v>570</v>
      </c>
      <c r="C182" s="6" t="s">
        <v>770</v>
      </c>
      <c r="D182" s="6" t="s">
        <v>911</v>
      </c>
      <c r="E182" s="6" t="s">
        <v>772</v>
      </c>
      <c r="F182" s="8">
        <v>187016983</v>
      </c>
      <c r="G182" s="8">
        <v>187017111</v>
      </c>
      <c r="H182" s="43">
        <v>0.246432205805412</v>
      </c>
      <c r="I182" s="6">
        <v>46</v>
      </c>
      <c r="J182" s="50">
        <v>0.86001579513930204</v>
      </c>
      <c r="K182" s="8">
        <v>83982</v>
      </c>
      <c r="L182" s="6" t="s">
        <v>362</v>
      </c>
      <c r="M182" s="6" t="s">
        <v>730</v>
      </c>
      <c r="N182" s="6" t="s">
        <v>730</v>
      </c>
      <c r="O182" s="6" t="s">
        <v>730</v>
      </c>
      <c r="P182" s="6" t="s">
        <v>731</v>
      </c>
    </row>
    <row r="183" spans="1:16" ht="18" customHeight="1" x14ac:dyDescent="0.15">
      <c r="A183" s="5" t="s">
        <v>726</v>
      </c>
      <c r="B183" s="6" t="s">
        <v>570</v>
      </c>
      <c r="C183" s="6" t="s">
        <v>770</v>
      </c>
      <c r="D183" s="6" t="s">
        <v>912</v>
      </c>
      <c r="E183" s="6" t="s">
        <v>772</v>
      </c>
      <c r="F183" s="8">
        <v>187017040</v>
      </c>
      <c r="G183" s="8">
        <v>187017241</v>
      </c>
      <c r="H183" s="43">
        <v>0.144171383518439</v>
      </c>
      <c r="I183" s="6">
        <v>89</v>
      </c>
      <c r="J183" s="50">
        <v>0.7671667881566</v>
      </c>
      <c r="K183" s="8">
        <v>84039</v>
      </c>
      <c r="L183" s="6" t="s">
        <v>362</v>
      </c>
      <c r="M183" s="6" t="s">
        <v>730</v>
      </c>
      <c r="N183" s="6" t="s">
        <v>730</v>
      </c>
      <c r="O183" s="6" t="s">
        <v>730</v>
      </c>
      <c r="P183" s="6" t="s">
        <v>731</v>
      </c>
    </row>
    <row r="184" spans="1:16" ht="18" customHeight="1" x14ac:dyDescent="0.15">
      <c r="A184" s="5" t="s">
        <v>726</v>
      </c>
      <c r="B184" s="6" t="s">
        <v>570</v>
      </c>
      <c r="C184" s="6" t="s">
        <v>770</v>
      </c>
      <c r="D184" s="6" t="s">
        <v>913</v>
      </c>
      <c r="E184" s="6" t="s">
        <v>772</v>
      </c>
      <c r="F184" s="8">
        <v>187017405</v>
      </c>
      <c r="G184" s="8">
        <v>187017600</v>
      </c>
      <c r="H184" s="43">
        <v>0.170644151476713</v>
      </c>
      <c r="I184" s="6">
        <v>75</v>
      </c>
      <c r="J184" s="50">
        <v>0.79663714707464095</v>
      </c>
      <c r="K184" s="8">
        <v>84404</v>
      </c>
      <c r="L184" s="6" t="s">
        <v>362</v>
      </c>
      <c r="M184" s="6" t="s">
        <v>730</v>
      </c>
      <c r="N184" s="6" t="s">
        <v>730</v>
      </c>
      <c r="O184" s="6" t="s">
        <v>730</v>
      </c>
      <c r="P184" s="6" t="s">
        <v>731</v>
      </c>
    </row>
    <row r="185" spans="1:16" ht="18" customHeight="1" x14ac:dyDescent="0.15">
      <c r="A185" s="5" t="s">
        <v>726</v>
      </c>
      <c r="B185" s="6" t="s">
        <v>570</v>
      </c>
      <c r="C185" s="6" t="s">
        <v>770</v>
      </c>
      <c r="D185" s="6" t="s">
        <v>914</v>
      </c>
      <c r="E185" s="6" t="s">
        <v>772</v>
      </c>
      <c r="F185" s="8">
        <v>187017560</v>
      </c>
      <c r="G185" s="8">
        <v>187017790</v>
      </c>
      <c r="H185" s="43">
        <v>0.253949717833446</v>
      </c>
      <c r="I185" s="6">
        <v>44</v>
      </c>
      <c r="J185" s="50">
        <v>0.86456840954763203</v>
      </c>
      <c r="K185" s="8">
        <v>84559</v>
      </c>
      <c r="L185" s="6" t="s">
        <v>362</v>
      </c>
      <c r="M185" s="6" t="s">
        <v>730</v>
      </c>
      <c r="N185" s="6" t="s">
        <v>730</v>
      </c>
      <c r="O185" s="6" t="s">
        <v>730</v>
      </c>
      <c r="P185" s="6" t="s">
        <v>731</v>
      </c>
    </row>
    <row r="186" spans="1:16" ht="18" customHeight="1" x14ac:dyDescent="0.15">
      <c r="A186" s="5" t="s">
        <v>726</v>
      </c>
      <c r="B186" s="6" t="s">
        <v>570</v>
      </c>
      <c r="C186" s="6" t="s">
        <v>770</v>
      </c>
      <c r="D186" s="6" t="s">
        <v>915</v>
      </c>
      <c r="E186" s="6" t="s">
        <v>772</v>
      </c>
      <c r="F186" s="8">
        <v>187017960</v>
      </c>
      <c r="G186" s="8">
        <v>187018140</v>
      </c>
      <c r="H186" s="43">
        <v>0.24137299851729299</v>
      </c>
      <c r="I186" s="6">
        <v>48</v>
      </c>
      <c r="J186" s="50">
        <v>0.85625554415471195</v>
      </c>
      <c r="K186" s="8">
        <v>84959</v>
      </c>
      <c r="L186" s="6" t="s">
        <v>362</v>
      </c>
      <c r="M186" s="6" t="s">
        <v>730</v>
      </c>
      <c r="N186" s="6" t="s">
        <v>730</v>
      </c>
      <c r="O186" s="6" t="s">
        <v>730</v>
      </c>
      <c r="P186" s="6" t="s">
        <v>731</v>
      </c>
    </row>
    <row r="187" spans="1:16" ht="18" customHeight="1" x14ac:dyDescent="0.15">
      <c r="A187" s="5" t="s">
        <v>726</v>
      </c>
      <c r="B187" s="6" t="s">
        <v>570</v>
      </c>
      <c r="C187" s="6" t="s">
        <v>770</v>
      </c>
      <c r="D187" s="6" t="s">
        <v>916</v>
      </c>
      <c r="E187" s="6" t="s">
        <v>772</v>
      </c>
      <c r="F187" s="8">
        <v>187019358</v>
      </c>
      <c r="G187" s="8">
        <v>187019481</v>
      </c>
      <c r="H187" s="43">
        <v>7.6620892836497395E-2</v>
      </c>
      <c r="I187" s="6">
        <v>140</v>
      </c>
      <c r="J187" s="50">
        <v>0.64576055159615198</v>
      </c>
      <c r="K187" s="8">
        <v>86357</v>
      </c>
      <c r="L187" s="6" t="s">
        <v>362</v>
      </c>
      <c r="M187" s="6" t="s">
        <v>730</v>
      </c>
      <c r="N187" s="6" t="s">
        <v>730</v>
      </c>
      <c r="O187" s="6" t="s">
        <v>730</v>
      </c>
      <c r="P187" s="6" t="s">
        <v>731</v>
      </c>
    </row>
    <row r="188" spans="1:16" ht="18" customHeight="1" x14ac:dyDescent="0.15">
      <c r="A188" s="5" t="s">
        <v>726</v>
      </c>
      <c r="B188" s="6" t="s">
        <v>570</v>
      </c>
      <c r="C188" s="6" t="s">
        <v>770</v>
      </c>
      <c r="D188" s="6" t="s">
        <v>917</v>
      </c>
      <c r="E188" s="6" t="s">
        <v>772</v>
      </c>
      <c r="F188" s="8">
        <v>187019664</v>
      </c>
      <c r="G188" s="8">
        <v>187019820</v>
      </c>
      <c r="H188" s="43">
        <v>0.15855282659714001</v>
      </c>
      <c r="I188" s="6">
        <v>81</v>
      </c>
      <c r="J188" s="50">
        <v>0.78421476524061495</v>
      </c>
      <c r="K188" s="8">
        <v>86663</v>
      </c>
      <c r="L188" s="6" t="s">
        <v>362</v>
      </c>
      <c r="M188" s="6" t="s">
        <v>730</v>
      </c>
      <c r="N188" s="6" t="s">
        <v>730</v>
      </c>
      <c r="O188" s="6" t="s">
        <v>730</v>
      </c>
      <c r="P188" s="6" t="s">
        <v>731</v>
      </c>
    </row>
    <row r="189" spans="1:16" ht="18" customHeight="1" x14ac:dyDescent="0.15">
      <c r="A189" s="5" t="s">
        <v>726</v>
      </c>
      <c r="B189" s="6" t="s">
        <v>570</v>
      </c>
      <c r="C189" s="6" t="s">
        <v>770</v>
      </c>
      <c r="D189" s="6" t="s">
        <v>918</v>
      </c>
      <c r="E189" s="6" t="s">
        <v>772</v>
      </c>
      <c r="F189" s="8">
        <v>187019721</v>
      </c>
      <c r="G189" s="8">
        <v>187019960</v>
      </c>
      <c r="H189" s="43">
        <v>0.15478029388647799</v>
      </c>
      <c r="I189" s="6">
        <v>84</v>
      </c>
      <c r="J189" s="50">
        <v>0.77889498317531003</v>
      </c>
      <c r="K189" s="8">
        <v>86720</v>
      </c>
      <c r="L189" s="6" t="s">
        <v>362</v>
      </c>
      <c r="M189" s="6" t="s">
        <v>730</v>
      </c>
      <c r="N189" s="6" t="s">
        <v>730</v>
      </c>
      <c r="O189" s="6" t="s">
        <v>730</v>
      </c>
      <c r="P189" s="6" t="s">
        <v>731</v>
      </c>
    </row>
    <row r="190" spans="1:16" ht="18" customHeight="1" x14ac:dyDescent="0.15">
      <c r="A190" s="5" t="s">
        <v>726</v>
      </c>
      <c r="B190" s="6" t="s">
        <v>570</v>
      </c>
      <c r="C190" s="6" t="s">
        <v>770</v>
      </c>
      <c r="D190" s="6" t="s">
        <v>919</v>
      </c>
      <c r="E190" s="6" t="s">
        <v>772</v>
      </c>
      <c r="F190" s="8">
        <v>187020420</v>
      </c>
      <c r="G190" s="8">
        <v>187020640</v>
      </c>
      <c r="H190" s="43">
        <v>6.1067930780924297E-2</v>
      </c>
      <c r="I190" s="6">
        <v>150</v>
      </c>
      <c r="J190" s="50">
        <v>0.597273470508355</v>
      </c>
      <c r="K190" s="8">
        <v>87419</v>
      </c>
      <c r="L190" s="6" t="s">
        <v>362</v>
      </c>
      <c r="M190" s="6" t="s">
        <v>730</v>
      </c>
      <c r="N190" s="6" t="s">
        <v>730</v>
      </c>
      <c r="O190" s="6" t="s">
        <v>730</v>
      </c>
      <c r="P190" s="6" t="s">
        <v>731</v>
      </c>
    </row>
    <row r="191" spans="1:16" ht="18" customHeight="1" x14ac:dyDescent="0.15">
      <c r="A191" s="5" t="s">
        <v>726</v>
      </c>
      <c r="B191" s="6" t="s">
        <v>570</v>
      </c>
      <c r="C191" s="6" t="s">
        <v>770</v>
      </c>
      <c r="D191" s="6" t="s">
        <v>920</v>
      </c>
      <c r="E191" s="6" t="s">
        <v>772</v>
      </c>
      <c r="F191" s="8">
        <v>187020660</v>
      </c>
      <c r="G191" s="8">
        <v>187020921</v>
      </c>
      <c r="H191" s="43">
        <v>5.9857946175795297E-2</v>
      </c>
      <c r="I191" s="6">
        <v>152</v>
      </c>
      <c r="J191" s="50">
        <v>0.59324736074343198</v>
      </c>
      <c r="K191" s="8">
        <v>87659</v>
      </c>
      <c r="L191" s="6" t="s">
        <v>362</v>
      </c>
      <c r="M191" s="6" t="s">
        <v>730</v>
      </c>
      <c r="N191" s="6" t="s">
        <v>730</v>
      </c>
      <c r="O191" s="6" t="s">
        <v>730</v>
      </c>
      <c r="P191" s="6" t="s">
        <v>731</v>
      </c>
    </row>
    <row r="192" spans="1:16" ht="18" customHeight="1" x14ac:dyDescent="0.15">
      <c r="A192" s="5" t="s">
        <v>726</v>
      </c>
      <c r="B192" s="6" t="s">
        <v>570</v>
      </c>
      <c r="C192" s="6" t="s">
        <v>770</v>
      </c>
      <c r="D192" s="6" t="s">
        <v>921</v>
      </c>
      <c r="E192" s="6" t="s">
        <v>772</v>
      </c>
      <c r="F192" s="8">
        <v>187021280</v>
      </c>
      <c r="G192" s="8">
        <v>187021460</v>
      </c>
      <c r="H192" s="43">
        <v>9.0260781920873195E-2</v>
      </c>
      <c r="I192" s="6">
        <v>127</v>
      </c>
      <c r="J192" s="50">
        <v>0.67870184459077298</v>
      </c>
      <c r="K192" s="8">
        <v>88279</v>
      </c>
      <c r="L192" s="6" t="s">
        <v>362</v>
      </c>
      <c r="M192" s="6" t="s">
        <v>730</v>
      </c>
      <c r="N192" s="6" t="s">
        <v>730</v>
      </c>
      <c r="O192" s="6" t="s">
        <v>730</v>
      </c>
      <c r="P192" s="6" t="s">
        <v>731</v>
      </c>
    </row>
    <row r="193" spans="1:16" ht="18" customHeight="1" x14ac:dyDescent="0.15">
      <c r="A193" s="5" t="s">
        <v>726</v>
      </c>
      <c r="B193" s="6" t="s">
        <v>570</v>
      </c>
      <c r="C193" s="6" t="s">
        <v>770</v>
      </c>
      <c r="D193" s="6" t="s">
        <v>922</v>
      </c>
      <c r="E193" s="6" t="s">
        <v>772</v>
      </c>
      <c r="F193" s="8">
        <v>187021740</v>
      </c>
      <c r="G193" s="8">
        <v>187021920</v>
      </c>
      <c r="H193" s="43">
        <v>0.105248741232432</v>
      </c>
      <c r="I193" s="6">
        <v>118</v>
      </c>
      <c r="J193" s="50">
        <v>0.70882555580558304</v>
      </c>
      <c r="K193" s="8">
        <v>88739</v>
      </c>
      <c r="L193" s="6" t="s">
        <v>362</v>
      </c>
      <c r="M193" s="6" t="s">
        <v>730</v>
      </c>
      <c r="N193" s="6" t="s">
        <v>730</v>
      </c>
      <c r="O193" s="6" t="s">
        <v>730</v>
      </c>
      <c r="P193" s="6" t="s">
        <v>731</v>
      </c>
    </row>
    <row r="194" spans="1:16" ht="18" customHeight="1" x14ac:dyDescent="0.15">
      <c r="A194" s="5" t="s">
        <v>726</v>
      </c>
      <c r="B194" s="6" t="s">
        <v>570</v>
      </c>
      <c r="C194" s="6" t="s">
        <v>770</v>
      </c>
      <c r="D194" s="6" t="s">
        <v>923</v>
      </c>
      <c r="E194" s="6" t="s">
        <v>772</v>
      </c>
      <c r="F194" s="8">
        <v>187023958</v>
      </c>
      <c r="G194" s="8">
        <v>187024245</v>
      </c>
      <c r="H194" s="43">
        <v>4.72159064733065E-2</v>
      </c>
      <c r="I194" s="6">
        <v>172</v>
      </c>
      <c r="J194" s="50">
        <v>0.53988272673800797</v>
      </c>
      <c r="K194" s="8">
        <v>90957</v>
      </c>
      <c r="L194" s="6" t="s">
        <v>362</v>
      </c>
      <c r="M194" s="6" t="s">
        <v>730</v>
      </c>
      <c r="N194" s="6" t="s">
        <v>730</v>
      </c>
      <c r="O194" s="6" t="s">
        <v>730</v>
      </c>
      <c r="P194" s="6" t="s">
        <v>731</v>
      </c>
    </row>
    <row r="195" spans="1:16" ht="18" customHeight="1" x14ac:dyDescent="0.15">
      <c r="A195" s="5" t="s">
        <v>726</v>
      </c>
      <c r="B195" s="6" t="s">
        <v>570</v>
      </c>
      <c r="C195" s="6" t="s">
        <v>770</v>
      </c>
      <c r="D195" s="6" t="s">
        <v>924</v>
      </c>
      <c r="E195" s="6" t="s">
        <v>772</v>
      </c>
      <c r="F195" s="8">
        <v>187024600</v>
      </c>
      <c r="G195" s="8">
        <v>187024831</v>
      </c>
      <c r="H195" s="43">
        <v>0.26962664035650402</v>
      </c>
      <c r="I195" s="6">
        <v>40</v>
      </c>
      <c r="J195" s="50">
        <v>0.87430266371383902</v>
      </c>
      <c r="K195" s="8">
        <v>91599</v>
      </c>
      <c r="L195" s="6" t="s">
        <v>362</v>
      </c>
      <c r="M195" s="6" t="s">
        <v>730</v>
      </c>
      <c r="N195" s="6" t="s">
        <v>730</v>
      </c>
      <c r="O195" s="6" t="s">
        <v>730</v>
      </c>
      <c r="P195" s="6" t="s">
        <v>731</v>
      </c>
    </row>
    <row r="196" spans="1:16" ht="18" customHeight="1" x14ac:dyDescent="0.15">
      <c r="A196" s="5" t="s">
        <v>726</v>
      </c>
      <c r="B196" s="6" t="s">
        <v>570</v>
      </c>
      <c r="C196" s="6" t="s">
        <v>770</v>
      </c>
      <c r="D196" s="6" t="s">
        <v>925</v>
      </c>
      <c r="E196" s="6" t="s">
        <v>772</v>
      </c>
      <c r="F196" s="8">
        <v>187031007</v>
      </c>
      <c r="G196" s="8">
        <v>187031241</v>
      </c>
      <c r="H196" s="43">
        <v>0.137011246039317</v>
      </c>
      <c r="I196" s="6">
        <v>93</v>
      </c>
      <c r="J196" s="50">
        <v>0.75781307695047795</v>
      </c>
      <c r="K196" s="8">
        <v>98006</v>
      </c>
      <c r="L196" s="6" t="s">
        <v>362</v>
      </c>
      <c r="M196" s="6" t="s">
        <v>730</v>
      </c>
      <c r="N196" s="6" t="s">
        <v>730</v>
      </c>
      <c r="O196" s="6" t="s">
        <v>730</v>
      </c>
      <c r="P196" s="6" t="s">
        <v>731</v>
      </c>
    </row>
    <row r="197" spans="1:16" ht="18" customHeight="1" x14ac:dyDescent="0.15">
      <c r="A197" s="5" t="s">
        <v>726</v>
      </c>
      <c r="B197" s="6" t="s">
        <v>570</v>
      </c>
      <c r="C197" s="6" t="s">
        <v>770</v>
      </c>
      <c r="D197" s="6" t="s">
        <v>926</v>
      </c>
      <c r="E197" s="6" t="s">
        <v>772</v>
      </c>
      <c r="F197" s="8">
        <v>187031540</v>
      </c>
      <c r="G197" s="8">
        <v>187031720</v>
      </c>
      <c r="H197" s="43">
        <v>7.7986144102536695E-2</v>
      </c>
      <c r="I197" s="6">
        <v>137</v>
      </c>
      <c r="J197" s="50">
        <v>0.64779967106492098</v>
      </c>
      <c r="K197" s="8">
        <v>98539</v>
      </c>
      <c r="L197" s="6" t="s">
        <v>362</v>
      </c>
      <c r="M197" s="6" t="s">
        <v>730</v>
      </c>
      <c r="N197" s="6" t="s">
        <v>730</v>
      </c>
      <c r="O197" s="6" t="s">
        <v>730</v>
      </c>
      <c r="P197" s="6" t="s">
        <v>731</v>
      </c>
    </row>
    <row r="198" spans="1:16" ht="18" customHeight="1" x14ac:dyDescent="0.15">
      <c r="A198" s="5" t="s">
        <v>726</v>
      </c>
      <c r="B198" s="6" t="s">
        <v>570</v>
      </c>
      <c r="C198" s="6" t="s">
        <v>770</v>
      </c>
      <c r="D198" s="6" t="s">
        <v>927</v>
      </c>
      <c r="E198" s="6" t="s">
        <v>772</v>
      </c>
      <c r="F198" s="8">
        <v>187031980</v>
      </c>
      <c r="G198" s="8">
        <v>187032220</v>
      </c>
      <c r="H198" s="43">
        <v>0.15705324594791101</v>
      </c>
      <c r="I198" s="6">
        <v>83</v>
      </c>
      <c r="J198" s="50">
        <v>0.78205574867483296</v>
      </c>
      <c r="K198" s="8">
        <v>98979</v>
      </c>
      <c r="L198" s="6" t="s">
        <v>362</v>
      </c>
      <c r="M198" s="6" t="s">
        <v>730</v>
      </c>
      <c r="N198" s="6" t="s">
        <v>730</v>
      </c>
      <c r="O198" s="6" t="s">
        <v>730</v>
      </c>
      <c r="P198" s="6" t="s">
        <v>731</v>
      </c>
    </row>
    <row r="199" spans="1:16" ht="18" customHeight="1" x14ac:dyDescent="0.15">
      <c r="A199" s="5" t="s">
        <v>726</v>
      </c>
      <c r="B199" s="6" t="s">
        <v>570</v>
      </c>
      <c r="C199" s="6" t="s">
        <v>770</v>
      </c>
      <c r="D199" s="6" t="s">
        <v>928</v>
      </c>
      <c r="E199" s="6" t="s">
        <v>772</v>
      </c>
      <c r="F199" s="8">
        <v>187032120</v>
      </c>
      <c r="G199" s="8">
        <v>187032360</v>
      </c>
      <c r="H199" s="43">
        <v>0.15471120751821099</v>
      </c>
      <c r="I199" s="6">
        <v>85</v>
      </c>
      <c r="J199" s="50">
        <v>0.77880288830369104</v>
      </c>
      <c r="K199" s="8">
        <v>99119</v>
      </c>
      <c r="L199" s="6" t="s">
        <v>362</v>
      </c>
      <c r="M199" s="6" t="s">
        <v>730</v>
      </c>
      <c r="N199" s="6" t="s">
        <v>730</v>
      </c>
      <c r="O199" s="6" t="s">
        <v>730</v>
      </c>
      <c r="P199" s="6" t="s">
        <v>731</v>
      </c>
    </row>
    <row r="200" spans="1:16" ht="18" customHeight="1" x14ac:dyDescent="0.15">
      <c r="A200" s="5" t="s">
        <v>726</v>
      </c>
      <c r="B200" s="6" t="s">
        <v>570</v>
      </c>
      <c r="C200" s="6" t="s">
        <v>770</v>
      </c>
      <c r="D200" s="6" t="s">
        <v>929</v>
      </c>
      <c r="E200" s="6" t="s">
        <v>772</v>
      </c>
      <c r="F200" s="8">
        <v>187032420</v>
      </c>
      <c r="G200" s="8">
        <v>187032560</v>
      </c>
      <c r="H200" s="43">
        <v>7.6957657933235196E-2</v>
      </c>
      <c r="I200" s="6">
        <v>139</v>
      </c>
      <c r="J200" s="50">
        <v>0.64632441547993202</v>
      </c>
      <c r="K200" s="8">
        <v>99419</v>
      </c>
      <c r="L200" s="6" t="s">
        <v>362</v>
      </c>
      <c r="M200" s="6" t="s">
        <v>730</v>
      </c>
      <c r="N200" s="6" t="s">
        <v>730</v>
      </c>
      <c r="O200" s="6" t="s">
        <v>730</v>
      </c>
      <c r="P200" s="6" t="s">
        <v>731</v>
      </c>
    </row>
    <row r="201" spans="1:16" ht="18" customHeight="1" x14ac:dyDescent="0.15">
      <c r="A201" s="5" t="s">
        <v>726</v>
      </c>
      <c r="B201" s="6" t="s">
        <v>570</v>
      </c>
      <c r="C201" s="6" t="s">
        <v>770</v>
      </c>
      <c r="D201" s="6" t="s">
        <v>930</v>
      </c>
      <c r="E201" s="6" t="s">
        <v>772</v>
      </c>
      <c r="F201" s="8">
        <v>186828496</v>
      </c>
      <c r="G201" s="8">
        <v>186828714</v>
      </c>
      <c r="H201" s="43">
        <v>0.114271515837082</v>
      </c>
      <c r="I201" s="6">
        <v>110</v>
      </c>
      <c r="J201" s="50">
        <v>0.72320191279310697</v>
      </c>
      <c r="K201" s="8">
        <v>104287</v>
      </c>
      <c r="L201" s="6" t="s">
        <v>362</v>
      </c>
      <c r="M201" s="6" t="s">
        <v>730</v>
      </c>
      <c r="N201" s="6" t="s">
        <v>730</v>
      </c>
      <c r="O201" s="6" t="s">
        <v>730</v>
      </c>
      <c r="P201" s="6" t="s">
        <v>731</v>
      </c>
    </row>
    <row r="202" spans="1:16" ht="18" customHeight="1" x14ac:dyDescent="0.15">
      <c r="A202" s="5" t="s">
        <v>726</v>
      </c>
      <c r="B202" s="6" t="s">
        <v>570</v>
      </c>
      <c r="C202" s="6" t="s">
        <v>770</v>
      </c>
      <c r="D202" s="6" t="s">
        <v>931</v>
      </c>
      <c r="E202" s="6" t="s">
        <v>772</v>
      </c>
      <c r="F202" s="8">
        <v>186828320</v>
      </c>
      <c r="G202" s="8">
        <v>186828683</v>
      </c>
      <c r="H202" s="43">
        <v>4.2443307546468897E-2</v>
      </c>
      <c r="I202" s="6">
        <v>181</v>
      </c>
      <c r="J202" s="50">
        <v>0.49402469358906698</v>
      </c>
      <c r="K202" s="8">
        <v>104318</v>
      </c>
      <c r="L202" s="6" t="s">
        <v>362</v>
      </c>
      <c r="M202" s="6" t="s">
        <v>730</v>
      </c>
      <c r="N202" s="6" t="s">
        <v>730</v>
      </c>
      <c r="O202" s="6" t="s">
        <v>730</v>
      </c>
      <c r="P202" s="6" t="s">
        <v>731</v>
      </c>
    </row>
    <row r="203" spans="1:16" ht="18" customHeight="1" x14ac:dyDescent="0.15">
      <c r="A203" s="5" t="s">
        <v>726</v>
      </c>
      <c r="B203" s="6" t="s">
        <v>570</v>
      </c>
      <c r="C203" s="6" t="s">
        <v>770</v>
      </c>
      <c r="D203" s="6" t="s">
        <v>932</v>
      </c>
      <c r="E203" s="6" t="s">
        <v>772</v>
      </c>
      <c r="F203" s="8">
        <v>187038550</v>
      </c>
      <c r="G203" s="8">
        <v>187038736</v>
      </c>
      <c r="H203" s="43">
        <v>1.49158904185662E-2</v>
      </c>
      <c r="I203" s="6">
        <v>208</v>
      </c>
      <c r="J203" s="50">
        <v>0.26342217592379402</v>
      </c>
      <c r="K203" s="8">
        <v>105549</v>
      </c>
      <c r="L203" s="6" t="s">
        <v>362</v>
      </c>
      <c r="M203" s="6" t="s">
        <v>730</v>
      </c>
      <c r="N203" s="6" t="s">
        <v>730</v>
      </c>
      <c r="O203" s="6" t="s">
        <v>730</v>
      </c>
      <c r="P203" s="6" t="s">
        <v>731</v>
      </c>
    </row>
    <row r="204" spans="1:16" ht="18" customHeight="1" x14ac:dyDescent="0.15">
      <c r="A204" s="5" t="s">
        <v>726</v>
      </c>
      <c r="B204" s="6" t="s">
        <v>570</v>
      </c>
      <c r="C204" s="6" t="s">
        <v>770</v>
      </c>
      <c r="D204" s="6" t="s">
        <v>933</v>
      </c>
      <c r="E204" s="6" t="s">
        <v>772</v>
      </c>
      <c r="F204" s="8">
        <v>187039800</v>
      </c>
      <c r="G204" s="8">
        <v>187039962</v>
      </c>
      <c r="H204" s="43">
        <v>1.5059263660357499E-2</v>
      </c>
      <c r="I204" s="6">
        <v>207</v>
      </c>
      <c r="J204" s="50">
        <v>0.27293618433570499</v>
      </c>
      <c r="K204" s="8">
        <v>106799</v>
      </c>
      <c r="L204" s="6" t="s">
        <v>362</v>
      </c>
      <c r="M204" s="6" t="s">
        <v>730</v>
      </c>
      <c r="N204" s="6" t="s">
        <v>730</v>
      </c>
      <c r="O204" s="6" t="s">
        <v>730</v>
      </c>
      <c r="P204" s="6" t="s">
        <v>731</v>
      </c>
    </row>
    <row r="205" spans="1:16" ht="18" customHeight="1" x14ac:dyDescent="0.15">
      <c r="A205" s="5" t="s">
        <v>726</v>
      </c>
      <c r="B205" s="6" t="s">
        <v>570</v>
      </c>
      <c r="C205" s="6" t="s">
        <v>770</v>
      </c>
      <c r="D205" s="6" t="s">
        <v>934</v>
      </c>
      <c r="E205" s="6" t="s">
        <v>772</v>
      </c>
      <c r="F205" s="8">
        <v>187040320</v>
      </c>
      <c r="G205" s="8">
        <v>187040500</v>
      </c>
      <c r="H205" s="43">
        <v>4.3530770219289298E-2</v>
      </c>
      <c r="I205" s="6">
        <v>177</v>
      </c>
      <c r="J205" s="50">
        <v>0.515037094250413</v>
      </c>
      <c r="K205" s="8">
        <v>107319</v>
      </c>
      <c r="L205" s="6" t="s">
        <v>362</v>
      </c>
      <c r="M205" s="6" t="s">
        <v>730</v>
      </c>
      <c r="N205" s="6" t="s">
        <v>730</v>
      </c>
      <c r="O205" s="6" t="s">
        <v>730</v>
      </c>
      <c r="P205" s="6" t="s">
        <v>731</v>
      </c>
    </row>
    <row r="206" spans="1:16" ht="18" customHeight="1" x14ac:dyDescent="0.15">
      <c r="A206" s="5" t="s">
        <v>726</v>
      </c>
      <c r="B206" s="6" t="s">
        <v>570</v>
      </c>
      <c r="C206" s="6" t="s">
        <v>770</v>
      </c>
      <c r="D206" s="6" t="s">
        <v>935</v>
      </c>
      <c r="E206" s="6" t="s">
        <v>772</v>
      </c>
      <c r="F206" s="8">
        <v>187040943</v>
      </c>
      <c r="G206" s="8">
        <v>187041300</v>
      </c>
      <c r="H206" s="43">
        <v>1.42294065310405E-2</v>
      </c>
      <c r="I206" s="6">
        <v>211</v>
      </c>
      <c r="J206" s="50">
        <v>0.17501066475989699</v>
      </c>
      <c r="K206" s="8">
        <v>107942</v>
      </c>
      <c r="L206" s="6" t="s">
        <v>362</v>
      </c>
      <c r="M206" s="6" t="s">
        <v>730</v>
      </c>
      <c r="N206" s="6" t="s">
        <v>730</v>
      </c>
      <c r="O206" s="6" t="s">
        <v>730</v>
      </c>
      <c r="P206" s="6" t="s">
        <v>731</v>
      </c>
    </row>
    <row r="207" spans="1:16" ht="18" customHeight="1" x14ac:dyDescent="0.15">
      <c r="A207" s="5" t="s">
        <v>726</v>
      </c>
      <c r="B207" s="6" t="s">
        <v>570</v>
      </c>
      <c r="C207" s="6" t="s">
        <v>770</v>
      </c>
      <c r="D207" s="6" t="s">
        <v>936</v>
      </c>
      <c r="E207" s="6" t="s">
        <v>772</v>
      </c>
      <c r="F207" s="8">
        <v>187041340</v>
      </c>
      <c r="G207" s="8">
        <v>187041617</v>
      </c>
      <c r="H207" s="43">
        <v>0.19071186161958301</v>
      </c>
      <c r="I207" s="6">
        <v>63</v>
      </c>
      <c r="J207" s="50">
        <v>0.81672512374162298</v>
      </c>
      <c r="K207" s="8">
        <v>108339</v>
      </c>
      <c r="L207" s="6" t="s">
        <v>362</v>
      </c>
      <c r="M207" s="6" t="s">
        <v>730</v>
      </c>
      <c r="N207" s="6" t="s">
        <v>730</v>
      </c>
      <c r="O207" s="6" t="s">
        <v>730</v>
      </c>
      <c r="P207" s="6" t="s">
        <v>731</v>
      </c>
    </row>
    <row r="208" spans="1:16" ht="18" customHeight="1" x14ac:dyDescent="0.15">
      <c r="A208" s="5" t="s">
        <v>726</v>
      </c>
      <c r="B208" s="6" t="s">
        <v>570</v>
      </c>
      <c r="C208" s="6" t="s">
        <v>770</v>
      </c>
      <c r="D208" s="6" t="s">
        <v>937</v>
      </c>
      <c r="E208" s="6" t="s">
        <v>772</v>
      </c>
      <c r="F208" s="8">
        <v>187041897</v>
      </c>
      <c r="G208" s="8">
        <v>187042080</v>
      </c>
      <c r="H208" s="43">
        <v>0.23250772517460999</v>
      </c>
      <c r="I208" s="6">
        <v>51</v>
      </c>
      <c r="J208" s="50">
        <v>0.85024070645454697</v>
      </c>
      <c r="K208" s="8">
        <v>108896</v>
      </c>
      <c r="L208" s="6" t="s">
        <v>362</v>
      </c>
      <c r="M208" s="6" t="s">
        <v>730</v>
      </c>
      <c r="N208" s="6" t="s">
        <v>730</v>
      </c>
      <c r="O208" s="6" t="s">
        <v>730</v>
      </c>
      <c r="P208" s="6" t="s">
        <v>731</v>
      </c>
    </row>
    <row r="209" spans="1:16" ht="18" customHeight="1" x14ac:dyDescent="0.15">
      <c r="A209" s="5" t="s">
        <v>726</v>
      </c>
      <c r="B209" s="6" t="s">
        <v>570</v>
      </c>
      <c r="C209" s="6" t="s">
        <v>770</v>
      </c>
      <c r="D209" s="6" t="s">
        <v>938</v>
      </c>
      <c r="E209" s="6" t="s">
        <v>772</v>
      </c>
      <c r="F209" s="8">
        <v>187041897</v>
      </c>
      <c r="G209" s="8">
        <v>187042340</v>
      </c>
      <c r="H209" s="43">
        <v>0.289389255528267</v>
      </c>
      <c r="I209" s="6">
        <v>32</v>
      </c>
      <c r="J209" s="50">
        <v>0.88540965275889305</v>
      </c>
      <c r="K209" s="8">
        <v>108896</v>
      </c>
      <c r="L209" s="6" t="s">
        <v>362</v>
      </c>
      <c r="M209" s="6" t="s">
        <v>730</v>
      </c>
      <c r="N209" s="6" t="s">
        <v>730</v>
      </c>
      <c r="O209" s="6" t="s">
        <v>730</v>
      </c>
      <c r="P209" s="6" t="s">
        <v>731</v>
      </c>
    </row>
    <row r="210" spans="1:16" ht="18" customHeight="1" x14ac:dyDescent="0.15">
      <c r="A210" s="5" t="s">
        <v>726</v>
      </c>
      <c r="B210" s="6" t="s">
        <v>570</v>
      </c>
      <c r="C210" s="6" t="s">
        <v>770</v>
      </c>
      <c r="D210" s="6" t="s">
        <v>939</v>
      </c>
      <c r="E210" s="6" t="s">
        <v>772</v>
      </c>
      <c r="F210" s="8">
        <v>187042380</v>
      </c>
      <c r="G210" s="8">
        <v>187042562</v>
      </c>
      <c r="H210" s="43">
        <v>0.246408943946545</v>
      </c>
      <c r="I210" s="6">
        <v>47</v>
      </c>
      <c r="J210" s="50">
        <v>0.85999494347025596</v>
      </c>
      <c r="K210" s="8">
        <v>109379</v>
      </c>
      <c r="L210" s="6" t="s">
        <v>362</v>
      </c>
      <c r="M210" s="6" t="s">
        <v>730</v>
      </c>
      <c r="N210" s="6" t="s">
        <v>730</v>
      </c>
      <c r="O210" s="6" t="s">
        <v>730</v>
      </c>
      <c r="P210" s="6" t="s">
        <v>731</v>
      </c>
    </row>
    <row r="211" spans="1:16" ht="18" customHeight="1" x14ac:dyDescent="0.15">
      <c r="A211" s="5" t="s">
        <v>726</v>
      </c>
      <c r="B211" s="6" t="s">
        <v>570</v>
      </c>
      <c r="C211" s="6" t="s">
        <v>770</v>
      </c>
      <c r="D211" s="6" t="s">
        <v>940</v>
      </c>
      <c r="E211" s="6" t="s">
        <v>772</v>
      </c>
      <c r="F211" s="8">
        <v>187042520</v>
      </c>
      <c r="G211" s="8">
        <v>187042840</v>
      </c>
      <c r="H211" s="43">
        <v>0.227818574087742</v>
      </c>
      <c r="I211" s="6">
        <v>53</v>
      </c>
      <c r="J211" s="50">
        <v>0.84663076125099601</v>
      </c>
      <c r="K211" s="8">
        <v>109519</v>
      </c>
      <c r="L211" s="6" t="s">
        <v>362</v>
      </c>
      <c r="M211" s="6" t="s">
        <v>730</v>
      </c>
      <c r="N211" s="6" t="s">
        <v>730</v>
      </c>
      <c r="O211" s="6" t="s">
        <v>730</v>
      </c>
      <c r="P211" s="6" t="s">
        <v>731</v>
      </c>
    </row>
    <row r="212" spans="1:16" ht="18" customHeight="1" x14ac:dyDescent="0.15">
      <c r="A212" s="5" t="s">
        <v>726</v>
      </c>
      <c r="B212" s="6" t="s">
        <v>570</v>
      </c>
      <c r="C212" s="6" t="s">
        <v>770</v>
      </c>
      <c r="D212" s="6" t="s">
        <v>941</v>
      </c>
      <c r="E212" s="6" t="s">
        <v>772</v>
      </c>
      <c r="F212" s="8">
        <v>187043037</v>
      </c>
      <c r="G212" s="8">
        <v>187043360</v>
      </c>
      <c r="H212" s="43">
        <v>0.130636424972461</v>
      </c>
      <c r="I212" s="6">
        <v>96</v>
      </c>
      <c r="J212" s="50">
        <v>0.74986772222449105</v>
      </c>
      <c r="K212" s="8">
        <v>110036</v>
      </c>
      <c r="L212" s="6" t="s">
        <v>362</v>
      </c>
      <c r="M212" s="6" t="s">
        <v>730</v>
      </c>
      <c r="N212" s="6" t="s">
        <v>730</v>
      </c>
      <c r="O212" s="6" t="s">
        <v>730</v>
      </c>
      <c r="P212" s="6" t="s">
        <v>731</v>
      </c>
    </row>
    <row r="213" spans="1:16" ht="18" customHeight="1" x14ac:dyDescent="0.15">
      <c r="A213" s="5" t="s">
        <v>726</v>
      </c>
      <c r="B213" s="6" t="s">
        <v>570</v>
      </c>
      <c r="C213" s="6" t="s">
        <v>770</v>
      </c>
      <c r="D213" s="6" t="s">
        <v>942</v>
      </c>
      <c r="E213" s="6" t="s">
        <v>772</v>
      </c>
      <c r="F213" s="8">
        <v>187044240</v>
      </c>
      <c r="G213" s="8">
        <v>187044480</v>
      </c>
      <c r="H213" s="43">
        <v>0.214553135518844</v>
      </c>
      <c r="I213" s="6">
        <v>56</v>
      </c>
      <c r="J213" s="50">
        <v>0.83640475522312596</v>
      </c>
      <c r="K213" s="8">
        <v>111239</v>
      </c>
      <c r="L213" s="6" t="s">
        <v>362</v>
      </c>
      <c r="M213" s="6" t="s">
        <v>730</v>
      </c>
      <c r="N213" s="6" t="s">
        <v>730</v>
      </c>
      <c r="O213" s="6" t="s">
        <v>730</v>
      </c>
      <c r="P213" s="6" t="s">
        <v>731</v>
      </c>
    </row>
    <row r="214" spans="1:16" ht="18" customHeight="1" x14ac:dyDescent="0.15">
      <c r="A214" s="5" t="s">
        <v>726</v>
      </c>
      <c r="B214" s="6" t="s">
        <v>570</v>
      </c>
      <c r="C214" s="6" t="s">
        <v>770</v>
      </c>
      <c r="D214" s="6" t="s">
        <v>943</v>
      </c>
      <c r="E214" s="6" t="s">
        <v>772</v>
      </c>
      <c r="F214" s="8">
        <v>187044997</v>
      </c>
      <c r="G214" s="8">
        <v>187045160</v>
      </c>
      <c r="H214" s="43">
        <v>0.108241117917574</v>
      </c>
      <c r="I214" s="6">
        <v>116</v>
      </c>
      <c r="J214" s="50">
        <v>0.71278129118747702</v>
      </c>
      <c r="K214" s="8">
        <v>111996</v>
      </c>
      <c r="L214" s="6" t="s">
        <v>362</v>
      </c>
      <c r="M214" s="6" t="s">
        <v>730</v>
      </c>
      <c r="N214" s="6" t="s">
        <v>730</v>
      </c>
      <c r="O214" s="6" t="s">
        <v>730</v>
      </c>
      <c r="P214" s="6" t="s">
        <v>731</v>
      </c>
    </row>
    <row r="215" spans="1:16" ht="18" customHeight="1" x14ac:dyDescent="0.15">
      <c r="A215" s="5" t="s">
        <v>726</v>
      </c>
      <c r="B215" s="6" t="s">
        <v>570</v>
      </c>
      <c r="C215" s="6" t="s">
        <v>770</v>
      </c>
      <c r="D215" s="6" t="s">
        <v>944</v>
      </c>
      <c r="E215" s="6" t="s">
        <v>772</v>
      </c>
      <c r="F215" s="8">
        <v>187045240</v>
      </c>
      <c r="G215" s="8">
        <v>187045440</v>
      </c>
      <c r="H215" s="43">
        <v>0.110521239730028</v>
      </c>
      <c r="I215" s="6">
        <v>113</v>
      </c>
      <c r="J215" s="50">
        <v>0.71506541776753296</v>
      </c>
      <c r="K215" s="8">
        <v>112239</v>
      </c>
      <c r="L215" s="6" t="s">
        <v>362</v>
      </c>
      <c r="M215" s="6" t="s">
        <v>730</v>
      </c>
      <c r="N215" s="6" t="s">
        <v>730</v>
      </c>
      <c r="O215" s="6" t="s">
        <v>730</v>
      </c>
      <c r="P215" s="6" t="s">
        <v>731</v>
      </c>
    </row>
    <row r="216" spans="1:16" ht="18" customHeight="1" x14ac:dyDescent="0.15">
      <c r="A216" s="5" t="s">
        <v>726</v>
      </c>
      <c r="B216" s="6" t="s">
        <v>570</v>
      </c>
      <c r="C216" s="6" t="s">
        <v>770</v>
      </c>
      <c r="D216" s="6" t="s">
        <v>945</v>
      </c>
      <c r="E216" s="6" t="s">
        <v>772</v>
      </c>
      <c r="F216" s="8">
        <v>187045505</v>
      </c>
      <c r="G216" s="8">
        <v>187045700</v>
      </c>
      <c r="H216" s="43">
        <v>8.0019096915538504E-2</v>
      </c>
      <c r="I216" s="6">
        <v>134</v>
      </c>
      <c r="J216" s="50">
        <v>0.64995086825481097</v>
      </c>
      <c r="K216" s="8">
        <v>112504</v>
      </c>
      <c r="L216" s="6" t="s">
        <v>362</v>
      </c>
      <c r="M216" s="6" t="s">
        <v>730</v>
      </c>
      <c r="N216" s="6" t="s">
        <v>730</v>
      </c>
      <c r="O216" s="6" t="s">
        <v>730</v>
      </c>
      <c r="P216" s="6" t="s">
        <v>731</v>
      </c>
    </row>
    <row r="217" spans="1:16" ht="18" customHeight="1" x14ac:dyDescent="0.15">
      <c r="A217" s="5" t="s">
        <v>726</v>
      </c>
      <c r="B217" s="6" t="s">
        <v>570</v>
      </c>
      <c r="C217" s="6" t="s">
        <v>770</v>
      </c>
      <c r="D217" s="6" t="s">
        <v>946</v>
      </c>
      <c r="E217" s="6" t="s">
        <v>772</v>
      </c>
      <c r="F217" s="8">
        <v>187045874</v>
      </c>
      <c r="G217" s="8">
        <v>187045952</v>
      </c>
      <c r="H217" s="43">
        <v>7.8785725511037394E-2</v>
      </c>
      <c r="I217" s="6">
        <v>135</v>
      </c>
      <c r="J217" s="50">
        <v>0.64873538971334999</v>
      </c>
      <c r="K217" s="8">
        <v>112873</v>
      </c>
      <c r="L217" s="6" t="s">
        <v>362</v>
      </c>
      <c r="M217" s="6" t="s">
        <v>730</v>
      </c>
      <c r="N217" s="6" t="s">
        <v>730</v>
      </c>
      <c r="O217" s="6" t="s">
        <v>730</v>
      </c>
      <c r="P217" s="6" t="s">
        <v>731</v>
      </c>
    </row>
    <row r="218" spans="1:16" ht="18" customHeight="1" x14ac:dyDescent="0.15">
      <c r="A218" s="5" t="s">
        <v>726</v>
      </c>
      <c r="B218" s="6" t="s">
        <v>570</v>
      </c>
      <c r="C218" s="6" t="s">
        <v>770</v>
      </c>
      <c r="D218" s="6" t="s">
        <v>947</v>
      </c>
      <c r="E218" s="6" t="s">
        <v>772</v>
      </c>
      <c r="F218" s="8">
        <v>187046060</v>
      </c>
      <c r="G218" s="8">
        <v>187046410</v>
      </c>
      <c r="H218" s="43">
        <v>4.3680759576650803E-2</v>
      </c>
      <c r="I218" s="6">
        <v>176</v>
      </c>
      <c r="J218" s="50">
        <v>0.51715440747810404</v>
      </c>
      <c r="K218" s="8">
        <v>113059</v>
      </c>
      <c r="L218" s="6" t="s">
        <v>362</v>
      </c>
      <c r="M218" s="6" t="s">
        <v>730</v>
      </c>
      <c r="N218" s="6" t="s">
        <v>730</v>
      </c>
      <c r="O218" s="6" t="s">
        <v>730</v>
      </c>
      <c r="P218" s="6" t="s">
        <v>731</v>
      </c>
    </row>
    <row r="219" spans="1:16" ht="18" customHeight="1" x14ac:dyDescent="0.15">
      <c r="A219" s="5" t="s">
        <v>726</v>
      </c>
      <c r="B219" s="6" t="s">
        <v>570</v>
      </c>
      <c r="C219" s="6" t="s">
        <v>770</v>
      </c>
      <c r="D219" s="6" t="s">
        <v>948</v>
      </c>
      <c r="E219" s="6" t="s">
        <v>772</v>
      </c>
      <c r="F219" s="8">
        <v>187051400</v>
      </c>
      <c r="G219" s="8">
        <v>187051587</v>
      </c>
      <c r="H219" s="43">
        <v>2.80359100836974E-2</v>
      </c>
      <c r="I219" s="6">
        <v>198</v>
      </c>
      <c r="J219" s="50">
        <v>0.36350454001652499</v>
      </c>
      <c r="K219" s="8">
        <v>118399</v>
      </c>
      <c r="L219" s="6" t="s">
        <v>362</v>
      </c>
      <c r="M219" s="6" t="s">
        <v>730</v>
      </c>
      <c r="N219" s="6" t="s">
        <v>730</v>
      </c>
      <c r="O219" s="6" t="s">
        <v>730</v>
      </c>
      <c r="P219" s="6" t="s">
        <v>731</v>
      </c>
    </row>
    <row r="220" spans="1:16" ht="18" customHeight="1" x14ac:dyDescent="0.15">
      <c r="A220" s="5" t="s">
        <v>726</v>
      </c>
      <c r="B220" s="6" t="s">
        <v>570</v>
      </c>
      <c r="C220" s="6" t="s">
        <v>770</v>
      </c>
      <c r="D220" s="6" t="s">
        <v>949</v>
      </c>
      <c r="E220" s="6" t="s">
        <v>772</v>
      </c>
      <c r="F220" s="8">
        <v>187065280</v>
      </c>
      <c r="G220" s="8">
        <v>187066160</v>
      </c>
      <c r="H220" s="43">
        <v>1.38825201071226E-2</v>
      </c>
      <c r="I220" s="6">
        <v>215</v>
      </c>
      <c r="J220" s="50">
        <v>6.9392616945282606E-2</v>
      </c>
      <c r="K220" s="8">
        <v>132279</v>
      </c>
      <c r="L220" s="6" t="s">
        <v>362</v>
      </c>
      <c r="M220" s="6" t="s">
        <v>730</v>
      </c>
      <c r="N220" s="6" t="s">
        <v>730</v>
      </c>
      <c r="O220" s="6" t="s">
        <v>730</v>
      </c>
      <c r="P220" s="6" t="s">
        <v>731</v>
      </c>
    </row>
    <row r="221" spans="1:16" ht="18" customHeight="1" x14ac:dyDescent="0.15">
      <c r="A221" s="5" t="s">
        <v>726</v>
      </c>
      <c r="B221" s="6" t="s">
        <v>570</v>
      </c>
      <c r="C221" s="6" t="s">
        <v>770</v>
      </c>
      <c r="D221" s="6" t="s">
        <v>950</v>
      </c>
      <c r="E221" s="6" t="s">
        <v>772</v>
      </c>
      <c r="F221" s="8">
        <v>187065320</v>
      </c>
      <c r="G221" s="8">
        <v>187065580</v>
      </c>
      <c r="H221" s="43">
        <v>9.74169419361995E-2</v>
      </c>
      <c r="I221" s="6">
        <v>124</v>
      </c>
      <c r="J221" s="50">
        <v>0.688040785864654</v>
      </c>
      <c r="K221" s="8">
        <v>132319</v>
      </c>
      <c r="L221" s="6" t="s">
        <v>362</v>
      </c>
      <c r="M221" s="6" t="s">
        <v>730</v>
      </c>
      <c r="N221" s="6" t="s">
        <v>730</v>
      </c>
      <c r="O221" s="6" t="s">
        <v>730</v>
      </c>
      <c r="P221" s="6" t="s">
        <v>731</v>
      </c>
    </row>
    <row r="222" spans="1:16" ht="18" customHeight="1" x14ac:dyDescent="0.15">
      <c r="A222" s="5" t="s">
        <v>726</v>
      </c>
      <c r="B222" s="6" t="s">
        <v>570</v>
      </c>
      <c r="C222" s="6" t="s">
        <v>770</v>
      </c>
      <c r="D222" s="6" t="s">
        <v>951</v>
      </c>
      <c r="E222" s="6" t="s">
        <v>772</v>
      </c>
      <c r="F222" s="8">
        <v>187066442</v>
      </c>
      <c r="G222" s="8">
        <v>187066540</v>
      </c>
      <c r="H222" s="43">
        <v>1.38719723774837E-2</v>
      </c>
      <c r="I222" s="6">
        <v>216</v>
      </c>
      <c r="J222" s="50">
        <v>6.5041568671062297E-2</v>
      </c>
      <c r="K222" s="8">
        <v>133441</v>
      </c>
      <c r="L222" s="6" t="s">
        <v>362</v>
      </c>
      <c r="M222" s="6" t="s">
        <v>730</v>
      </c>
      <c r="N222" s="6" t="s">
        <v>730</v>
      </c>
      <c r="O222" s="6" t="s">
        <v>730</v>
      </c>
      <c r="P222" s="6" t="s">
        <v>731</v>
      </c>
    </row>
    <row r="223" spans="1:16" ht="18" customHeight="1" x14ac:dyDescent="0.15">
      <c r="A223" s="5" t="s">
        <v>726</v>
      </c>
      <c r="B223" s="6" t="s">
        <v>570</v>
      </c>
      <c r="C223" s="6" t="s">
        <v>770</v>
      </c>
      <c r="D223" s="6" t="s">
        <v>952</v>
      </c>
      <c r="E223" s="6" t="s">
        <v>772</v>
      </c>
      <c r="F223" s="8">
        <v>187066758</v>
      </c>
      <c r="G223" s="8">
        <v>187066933</v>
      </c>
      <c r="H223" s="43">
        <v>1.3775705144955601E-2</v>
      </c>
      <c r="I223" s="6">
        <v>218</v>
      </c>
      <c r="J223" s="50">
        <v>2.0721780524019798E-2</v>
      </c>
      <c r="K223" s="8">
        <v>133757</v>
      </c>
      <c r="L223" s="6" t="s">
        <v>362</v>
      </c>
      <c r="M223" s="6" t="s">
        <v>730</v>
      </c>
      <c r="N223" s="6" t="s">
        <v>730</v>
      </c>
      <c r="O223" s="6" t="s">
        <v>730</v>
      </c>
      <c r="P223" s="6" t="s">
        <v>731</v>
      </c>
    </row>
    <row r="224" spans="1:16" ht="18" customHeight="1" x14ac:dyDescent="0.15">
      <c r="A224" s="5" t="s">
        <v>726</v>
      </c>
      <c r="B224" s="6" t="s">
        <v>570</v>
      </c>
      <c r="C224" s="6" t="s">
        <v>770</v>
      </c>
      <c r="D224" s="6" t="s">
        <v>953</v>
      </c>
      <c r="E224" s="6" t="s">
        <v>772</v>
      </c>
      <c r="F224" s="8">
        <v>187067263</v>
      </c>
      <c r="G224" s="8">
        <v>187067300</v>
      </c>
      <c r="H224" s="43">
        <v>1.38502682630832E-2</v>
      </c>
      <c r="I224" s="6">
        <v>217</v>
      </c>
      <c r="J224" s="50">
        <v>5.5941987181436503E-2</v>
      </c>
      <c r="K224" s="8">
        <v>134262</v>
      </c>
      <c r="L224" s="6" t="s">
        <v>362</v>
      </c>
      <c r="M224" s="6" t="s">
        <v>730</v>
      </c>
      <c r="N224" s="6" t="s">
        <v>730</v>
      </c>
      <c r="O224" s="6" t="s">
        <v>730</v>
      </c>
      <c r="P224" s="6" t="s">
        <v>731</v>
      </c>
    </row>
    <row r="225" spans="1:16" ht="18" customHeight="1" x14ac:dyDescent="0.15">
      <c r="A225" s="5" t="s">
        <v>726</v>
      </c>
      <c r="B225" s="6" t="s">
        <v>570</v>
      </c>
      <c r="C225" s="6" t="s">
        <v>770</v>
      </c>
      <c r="D225" s="6" t="s">
        <v>954</v>
      </c>
      <c r="E225" s="6" t="s">
        <v>772</v>
      </c>
      <c r="F225" s="8">
        <v>187067540</v>
      </c>
      <c r="G225" s="8">
        <v>187067600</v>
      </c>
      <c r="H225" s="43">
        <v>2.81629012181209E-2</v>
      </c>
      <c r="I225" s="6">
        <v>195</v>
      </c>
      <c r="J225" s="50">
        <v>0.37178091498861399</v>
      </c>
      <c r="K225" s="8">
        <v>134539</v>
      </c>
      <c r="L225" s="6" t="s">
        <v>362</v>
      </c>
      <c r="M225" s="6" t="s">
        <v>730</v>
      </c>
      <c r="N225" s="6" t="s">
        <v>730</v>
      </c>
      <c r="O225" s="6" t="s">
        <v>730</v>
      </c>
      <c r="P225" s="6" t="s">
        <v>731</v>
      </c>
    </row>
    <row r="226" spans="1:16" ht="18" customHeight="1" x14ac:dyDescent="0.15">
      <c r="A226" s="5" t="s">
        <v>726</v>
      </c>
      <c r="B226" s="6" t="s">
        <v>570</v>
      </c>
      <c r="C226" s="6" t="s">
        <v>770</v>
      </c>
      <c r="D226" s="6" t="s">
        <v>955</v>
      </c>
      <c r="E226" s="6" t="s">
        <v>772</v>
      </c>
      <c r="F226" s="8">
        <v>187068391</v>
      </c>
      <c r="G226" s="8">
        <v>187068680</v>
      </c>
      <c r="H226" s="43">
        <v>3.0219457470453698E-2</v>
      </c>
      <c r="I226" s="6">
        <v>189</v>
      </c>
      <c r="J226" s="50">
        <v>0.44000757610642</v>
      </c>
      <c r="K226" s="8">
        <v>135390</v>
      </c>
      <c r="L226" s="6" t="s">
        <v>362</v>
      </c>
      <c r="M226" s="6" t="s">
        <v>730</v>
      </c>
      <c r="N226" s="6" t="s">
        <v>730</v>
      </c>
      <c r="O226" s="6" t="s">
        <v>730</v>
      </c>
      <c r="P226" s="6" t="s">
        <v>731</v>
      </c>
    </row>
    <row r="227" spans="1:16" ht="18" customHeight="1" x14ac:dyDescent="0.15">
      <c r="A227" s="5" t="s">
        <v>726</v>
      </c>
      <c r="B227" s="6" t="s">
        <v>570</v>
      </c>
      <c r="C227" s="6" t="s">
        <v>770</v>
      </c>
      <c r="D227" s="6" t="s">
        <v>956</v>
      </c>
      <c r="E227" s="6" t="s">
        <v>772</v>
      </c>
      <c r="F227" s="8">
        <v>187068660</v>
      </c>
      <c r="G227" s="8">
        <v>187069139</v>
      </c>
      <c r="H227" s="43">
        <v>4.7484177809495202E-2</v>
      </c>
      <c r="I227" s="6">
        <v>171</v>
      </c>
      <c r="J227" s="50">
        <v>0.54067769662037901</v>
      </c>
      <c r="K227" s="8">
        <v>135659</v>
      </c>
      <c r="L227" s="6" t="s">
        <v>362</v>
      </c>
      <c r="M227" s="6" t="s">
        <v>730</v>
      </c>
      <c r="N227" s="6" t="s">
        <v>730</v>
      </c>
      <c r="O227" s="6" t="s">
        <v>730</v>
      </c>
      <c r="P227" s="6" t="s">
        <v>731</v>
      </c>
    </row>
    <row r="228" spans="1:16" ht="18" customHeight="1" x14ac:dyDescent="0.15">
      <c r="A228" s="5" t="s">
        <v>726</v>
      </c>
      <c r="B228" s="6" t="s">
        <v>570</v>
      </c>
      <c r="C228" s="6" t="s">
        <v>770</v>
      </c>
      <c r="D228" s="6" t="s">
        <v>957</v>
      </c>
      <c r="E228" s="6" t="s">
        <v>772</v>
      </c>
      <c r="F228" s="8">
        <v>187068820</v>
      </c>
      <c r="G228" s="8">
        <v>187069180</v>
      </c>
      <c r="H228" s="43">
        <v>4.7839388251304599E-2</v>
      </c>
      <c r="I228" s="6">
        <v>169</v>
      </c>
      <c r="J228" s="50">
        <v>0.54162905402059303</v>
      </c>
      <c r="K228" s="8">
        <v>135819</v>
      </c>
      <c r="L228" s="6" t="s">
        <v>362</v>
      </c>
      <c r="M228" s="6" t="s">
        <v>730</v>
      </c>
      <c r="N228" s="6" t="s">
        <v>730</v>
      </c>
      <c r="O228" s="6" t="s">
        <v>730</v>
      </c>
      <c r="P228" s="6" t="s">
        <v>731</v>
      </c>
    </row>
    <row r="229" spans="1:16" ht="18" customHeight="1" x14ac:dyDescent="0.15">
      <c r="A229" s="5" t="s">
        <v>726</v>
      </c>
      <c r="B229" s="6" t="s">
        <v>570</v>
      </c>
      <c r="C229" s="6" t="s">
        <v>770</v>
      </c>
      <c r="D229" s="6" t="s">
        <v>958</v>
      </c>
      <c r="E229" s="6" t="s">
        <v>772</v>
      </c>
      <c r="F229" s="8">
        <v>187068860</v>
      </c>
      <c r="G229" s="8">
        <v>187069039</v>
      </c>
      <c r="H229" s="43">
        <v>4.7610376889889103E-2</v>
      </c>
      <c r="I229" s="6">
        <v>170</v>
      </c>
      <c r="J229" s="50">
        <v>0.54102174915963397</v>
      </c>
      <c r="K229" s="8">
        <v>135859</v>
      </c>
      <c r="L229" s="6" t="s">
        <v>362</v>
      </c>
      <c r="M229" s="6" t="s">
        <v>730</v>
      </c>
      <c r="N229" s="6" t="s">
        <v>730</v>
      </c>
      <c r="O229" s="6" t="s">
        <v>730</v>
      </c>
      <c r="P229" s="6" t="s">
        <v>731</v>
      </c>
    </row>
    <row r="230" spans="1:16" ht="18" customHeight="1" x14ac:dyDescent="0.15">
      <c r="A230" s="5" t="s">
        <v>726</v>
      </c>
      <c r="B230" s="6" t="s">
        <v>570</v>
      </c>
      <c r="C230" s="6" t="s">
        <v>770</v>
      </c>
      <c r="D230" s="6" t="s">
        <v>959</v>
      </c>
      <c r="E230" s="6" t="s">
        <v>772</v>
      </c>
      <c r="F230" s="8">
        <v>187069340</v>
      </c>
      <c r="G230" s="8">
        <v>187069530</v>
      </c>
      <c r="H230" s="43">
        <v>2.9888028135666499E-2</v>
      </c>
      <c r="I230" s="6">
        <v>191</v>
      </c>
      <c r="J230" s="50">
        <v>0.43487632788206998</v>
      </c>
      <c r="K230" s="8">
        <v>136339</v>
      </c>
      <c r="L230" s="6" t="s">
        <v>362</v>
      </c>
      <c r="M230" s="6" t="s">
        <v>730</v>
      </c>
      <c r="N230" s="6" t="s">
        <v>730</v>
      </c>
      <c r="O230" s="6" t="s">
        <v>730</v>
      </c>
      <c r="P230" s="6" t="s">
        <v>731</v>
      </c>
    </row>
    <row r="231" spans="1:16" ht="18" customHeight="1" x14ac:dyDescent="0.15">
      <c r="A231" s="5" t="s">
        <v>726</v>
      </c>
      <c r="B231" s="6" t="s">
        <v>570</v>
      </c>
      <c r="C231" s="6" t="s">
        <v>770</v>
      </c>
      <c r="D231" s="6" t="s">
        <v>960</v>
      </c>
      <c r="E231" s="6" t="s">
        <v>772</v>
      </c>
      <c r="F231" s="8">
        <v>187069651</v>
      </c>
      <c r="G231" s="8">
        <v>187069860</v>
      </c>
      <c r="H231" s="43">
        <v>2.7864104280104999E-2</v>
      </c>
      <c r="I231" s="6">
        <v>200</v>
      </c>
      <c r="J231" s="50">
        <v>0.35211692225889601</v>
      </c>
      <c r="K231" s="8">
        <v>136650</v>
      </c>
      <c r="L231" s="6" t="s">
        <v>362</v>
      </c>
      <c r="M231" s="6" t="s">
        <v>730</v>
      </c>
      <c r="N231" s="6" t="s">
        <v>730</v>
      </c>
      <c r="O231" s="6" t="s">
        <v>730</v>
      </c>
      <c r="P231" s="6" t="s">
        <v>731</v>
      </c>
    </row>
    <row r="232" spans="1:16" ht="18" customHeight="1" x14ac:dyDescent="0.15">
      <c r="A232" s="5" t="s">
        <v>726</v>
      </c>
      <c r="B232" s="6" t="s">
        <v>570</v>
      </c>
      <c r="C232" s="6" t="s">
        <v>770</v>
      </c>
      <c r="D232" s="6" t="s">
        <v>961</v>
      </c>
      <c r="E232" s="6" t="s">
        <v>772</v>
      </c>
      <c r="F232" s="8">
        <v>187069780</v>
      </c>
      <c r="G232" s="8">
        <v>187069950</v>
      </c>
      <c r="H232" s="43">
        <v>2.7624887915758001E-2</v>
      </c>
      <c r="I232" s="6">
        <v>201</v>
      </c>
      <c r="J232" s="50">
        <v>0.33874752712237399</v>
      </c>
      <c r="K232" s="8">
        <v>136779</v>
      </c>
      <c r="L232" s="6" t="s">
        <v>362</v>
      </c>
      <c r="M232" s="6" t="s">
        <v>730</v>
      </c>
      <c r="N232" s="6" t="s">
        <v>730</v>
      </c>
      <c r="O232" s="6" t="s">
        <v>730</v>
      </c>
      <c r="P232" s="6" t="s">
        <v>731</v>
      </c>
    </row>
    <row r="233" spans="1:16" ht="18" customHeight="1" x14ac:dyDescent="0.15">
      <c r="A233" s="5" t="s">
        <v>726</v>
      </c>
      <c r="B233" s="6" t="s">
        <v>570</v>
      </c>
      <c r="C233" s="6" t="s">
        <v>770</v>
      </c>
      <c r="D233" s="6" t="s">
        <v>962</v>
      </c>
      <c r="E233" s="6" t="s">
        <v>772</v>
      </c>
      <c r="F233" s="8">
        <v>187071680</v>
      </c>
      <c r="G233" s="8">
        <v>187071880</v>
      </c>
      <c r="H233" s="43">
        <v>8.6667961799181403E-2</v>
      </c>
      <c r="I233" s="6">
        <v>131</v>
      </c>
      <c r="J233" s="50">
        <v>0.66775819361991096</v>
      </c>
      <c r="K233" s="8">
        <v>138679</v>
      </c>
      <c r="L233" s="6" t="s">
        <v>362</v>
      </c>
      <c r="M233" s="6" t="s">
        <v>730</v>
      </c>
      <c r="N233" s="6" t="s">
        <v>730</v>
      </c>
      <c r="O233" s="6" t="s">
        <v>730</v>
      </c>
      <c r="P233" s="6" t="s">
        <v>731</v>
      </c>
    </row>
    <row r="234" spans="1:16" ht="18" customHeight="1" x14ac:dyDescent="0.15">
      <c r="A234" s="5" t="s">
        <v>726</v>
      </c>
      <c r="B234" s="6" t="s">
        <v>570</v>
      </c>
      <c r="C234" s="6" t="s">
        <v>770</v>
      </c>
      <c r="D234" s="6" t="s">
        <v>963</v>
      </c>
      <c r="E234" s="6" t="s">
        <v>772</v>
      </c>
      <c r="F234" s="8">
        <v>187072120</v>
      </c>
      <c r="G234" s="8">
        <v>187072380</v>
      </c>
      <c r="H234" s="43">
        <v>1.39265599159094E-2</v>
      </c>
      <c r="I234" s="6">
        <v>214</v>
      </c>
      <c r="J234" s="50">
        <v>8.6749893786810806E-2</v>
      </c>
      <c r="K234" s="8">
        <v>139119</v>
      </c>
      <c r="L234" s="6" t="s">
        <v>362</v>
      </c>
      <c r="M234" s="6" t="s">
        <v>730</v>
      </c>
      <c r="N234" s="6" t="s">
        <v>730</v>
      </c>
      <c r="O234" s="6" t="s">
        <v>730</v>
      </c>
      <c r="P234" s="6" t="s">
        <v>731</v>
      </c>
    </row>
    <row r="235" spans="1:16" ht="18" customHeight="1" x14ac:dyDescent="0.15">
      <c r="A235" s="5" t="s">
        <v>726</v>
      </c>
      <c r="B235" s="6" t="s">
        <v>570</v>
      </c>
      <c r="C235" s="6" t="s">
        <v>770</v>
      </c>
      <c r="D235" s="6" t="s">
        <v>964</v>
      </c>
      <c r="E235" s="6" t="s">
        <v>772</v>
      </c>
      <c r="F235" s="8">
        <v>187072266</v>
      </c>
      <c r="G235" s="8">
        <v>187072429</v>
      </c>
      <c r="H235" s="43">
        <v>2.8117524889799302E-2</v>
      </c>
      <c r="I235" s="6">
        <v>196</v>
      </c>
      <c r="J235" s="50">
        <v>0.36890251584075201</v>
      </c>
      <c r="K235" s="8">
        <v>139265</v>
      </c>
      <c r="L235" s="6" t="s">
        <v>362</v>
      </c>
      <c r="M235" s="6" t="s">
        <v>730</v>
      </c>
      <c r="N235" s="6" t="s">
        <v>730</v>
      </c>
      <c r="O235" s="6" t="s">
        <v>730</v>
      </c>
      <c r="P235" s="6" t="s">
        <v>731</v>
      </c>
    </row>
    <row r="236" spans="1:16" ht="18" customHeight="1" x14ac:dyDescent="0.15">
      <c r="A236" s="5" t="s">
        <v>726</v>
      </c>
      <c r="B236" s="6" t="s">
        <v>570</v>
      </c>
      <c r="C236" s="6" t="s">
        <v>770</v>
      </c>
      <c r="D236" s="6" t="s">
        <v>965</v>
      </c>
      <c r="E236" s="6" t="s">
        <v>772</v>
      </c>
      <c r="F236" s="8">
        <v>187072506</v>
      </c>
      <c r="G236" s="8">
        <v>187072701</v>
      </c>
      <c r="H236" s="43">
        <v>8.7071824532288802E-2</v>
      </c>
      <c r="I236" s="6">
        <v>130</v>
      </c>
      <c r="J236" s="50">
        <v>0.66938983672274299</v>
      </c>
      <c r="K236" s="8">
        <v>139505</v>
      </c>
      <c r="L236" s="6" t="s">
        <v>362</v>
      </c>
      <c r="M236" s="6" t="s">
        <v>730</v>
      </c>
      <c r="N236" s="6" t="s">
        <v>730</v>
      </c>
      <c r="O236" s="6" t="s">
        <v>730</v>
      </c>
      <c r="P236" s="6" t="s">
        <v>731</v>
      </c>
    </row>
    <row r="237" spans="1:16" ht="18" customHeight="1" x14ac:dyDescent="0.15">
      <c r="A237" s="5" t="s">
        <v>726</v>
      </c>
      <c r="B237" s="6" t="s">
        <v>570</v>
      </c>
      <c r="C237" s="6" t="s">
        <v>770</v>
      </c>
      <c r="D237" s="6" t="s">
        <v>966</v>
      </c>
      <c r="E237" s="6" t="s">
        <v>772</v>
      </c>
      <c r="F237" s="8">
        <v>187072690</v>
      </c>
      <c r="G237" s="8">
        <v>187072880</v>
      </c>
      <c r="H237" s="43">
        <v>7.2425119005716798E-2</v>
      </c>
      <c r="I237" s="6">
        <v>145</v>
      </c>
      <c r="J237" s="50">
        <v>0.63040155970484502</v>
      </c>
      <c r="K237" s="8">
        <v>139689</v>
      </c>
      <c r="L237" s="6" t="s">
        <v>362</v>
      </c>
      <c r="M237" s="6" t="s">
        <v>730</v>
      </c>
      <c r="N237" s="6" t="s">
        <v>730</v>
      </c>
      <c r="O237" s="6" t="s">
        <v>730</v>
      </c>
      <c r="P237" s="6" t="s">
        <v>731</v>
      </c>
    </row>
    <row r="238" spans="1:16" ht="18" customHeight="1" x14ac:dyDescent="0.15">
      <c r="A238" s="5" t="s">
        <v>726</v>
      </c>
      <c r="B238" s="6" t="s">
        <v>570</v>
      </c>
      <c r="C238" s="6" t="s">
        <v>770</v>
      </c>
      <c r="D238" s="6" t="s">
        <v>967</v>
      </c>
      <c r="E238" s="6" t="s">
        <v>772</v>
      </c>
      <c r="F238" s="8">
        <v>187073564</v>
      </c>
      <c r="G238" s="8">
        <v>187074020</v>
      </c>
      <c r="H238" s="43">
        <v>4.2888100330646203E-2</v>
      </c>
      <c r="I238" s="6">
        <v>178</v>
      </c>
      <c r="J238" s="50">
        <v>0.503861468461416</v>
      </c>
      <c r="K238" s="8">
        <v>140563</v>
      </c>
      <c r="L238" s="6" t="s">
        <v>362</v>
      </c>
      <c r="M238" s="6" t="s">
        <v>730</v>
      </c>
      <c r="N238" s="6" t="s">
        <v>730</v>
      </c>
      <c r="O238" s="6" t="s">
        <v>730</v>
      </c>
      <c r="P238" s="6" t="s">
        <v>731</v>
      </c>
    </row>
    <row r="239" spans="1:16" ht="18" customHeight="1" x14ac:dyDescent="0.15">
      <c r="A239" s="5" t="s">
        <v>726</v>
      </c>
      <c r="B239" s="6" t="s">
        <v>570</v>
      </c>
      <c r="C239" s="6" t="s">
        <v>770</v>
      </c>
      <c r="D239" s="6" t="s">
        <v>968</v>
      </c>
      <c r="E239" s="6" t="s">
        <v>772</v>
      </c>
      <c r="F239" s="8">
        <v>186789274</v>
      </c>
      <c r="G239" s="8">
        <v>186789465</v>
      </c>
      <c r="H239" s="43">
        <v>1.414104952262E-2</v>
      </c>
      <c r="I239" s="6">
        <v>212</v>
      </c>
      <c r="J239" s="50">
        <v>0.15410426008286801</v>
      </c>
      <c r="K239" s="8">
        <v>143536</v>
      </c>
      <c r="L239" s="6" t="s">
        <v>362</v>
      </c>
      <c r="M239" s="6" t="s">
        <v>730</v>
      </c>
      <c r="N239" s="6" t="s">
        <v>730</v>
      </c>
      <c r="O239" s="6" t="s">
        <v>730</v>
      </c>
      <c r="P239" s="6" t="s">
        <v>731</v>
      </c>
    </row>
    <row r="240" spans="1:16" ht="18" customHeight="1" x14ac:dyDescent="0.15">
      <c r="A240" s="5" t="s">
        <v>726</v>
      </c>
      <c r="B240" s="6" t="s">
        <v>570</v>
      </c>
      <c r="C240" s="6" t="s">
        <v>770</v>
      </c>
      <c r="D240" s="6" t="s">
        <v>969</v>
      </c>
      <c r="E240" s="6" t="s">
        <v>772</v>
      </c>
      <c r="F240" s="8">
        <v>186788860</v>
      </c>
      <c r="G240" s="8">
        <v>186789321</v>
      </c>
      <c r="H240" s="43">
        <v>9.8220966183222305E-2</v>
      </c>
      <c r="I240" s="6">
        <v>123</v>
      </c>
      <c r="J240" s="50">
        <v>0.68980101425993501</v>
      </c>
      <c r="K240" s="8">
        <v>143680</v>
      </c>
      <c r="L240" s="6" t="s">
        <v>362</v>
      </c>
      <c r="M240" s="6" t="s">
        <v>730</v>
      </c>
      <c r="N240" s="6" t="s">
        <v>730</v>
      </c>
      <c r="O240" s="6" t="s">
        <v>730</v>
      </c>
      <c r="P240" s="6" t="s">
        <v>731</v>
      </c>
    </row>
    <row r="241" spans="1:16" ht="18" customHeight="1" x14ac:dyDescent="0.15">
      <c r="A241" s="5" t="s">
        <v>726</v>
      </c>
      <c r="B241" s="6" t="s">
        <v>570</v>
      </c>
      <c r="C241" s="6" t="s">
        <v>770</v>
      </c>
      <c r="D241" s="6" t="s">
        <v>970</v>
      </c>
      <c r="E241" s="6" t="s">
        <v>772</v>
      </c>
      <c r="F241" s="8">
        <v>186788731</v>
      </c>
      <c r="G241" s="8">
        <v>186788920</v>
      </c>
      <c r="H241" s="43">
        <v>4.4177898993858898E-2</v>
      </c>
      <c r="I241" s="6">
        <v>174</v>
      </c>
      <c r="J241" s="50">
        <v>0.52300330064544598</v>
      </c>
      <c r="K241" s="8">
        <v>144081</v>
      </c>
      <c r="L241" s="6" t="s">
        <v>362</v>
      </c>
      <c r="M241" s="6" t="s">
        <v>730</v>
      </c>
      <c r="N241" s="6" t="s">
        <v>730</v>
      </c>
      <c r="O241" s="6" t="s">
        <v>730</v>
      </c>
      <c r="P241" s="6" t="s">
        <v>731</v>
      </c>
    </row>
    <row r="242" spans="1:16" ht="18" customHeight="1" x14ac:dyDescent="0.15">
      <c r="A242" s="5" t="s">
        <v>726</v>
      </c>
      <c r="B242" s="6" t="s">
        <v>570</v>
      </c>
      <c r="C242" s="6" t="s">
        <v>770</v>
      </c>
      <c r="D242" s="6" t="s">
        <v>971</v>
      </c>
      <c r="E242" s="6" t="s">
        <v>772</v>
      </c>
      <c r="F242" s="8">
        <v>186788480</v>
      </c>
      <c r="G242" s="8">
        <v>186788820</v>
      </c>
      <c r="H242" s="43">
        <v>4.39930260181427E-2</v>
      </c>
      <c r="I242" s="6">
        <v>175</v>
      </c>
      <c r="J242" s="50">
        <v>0.52096678763530802</v>
      </c>
      <c r="K242" s="8">
        <v>144181</v>
      </c>
      <c r="L242" s="6" t="s">
        <v>362</v>
      </c>
      <c r="M242" s="6" t="s">
        <v>730</v>
      </c>
      <c r="N242" s="6" t="s">
        <v>730</v>
      </c>
      <c r="O242" s="6" t="s">
        <v>730</v>
      </c>
      <c r="P242" s="6" t="s">
        <v>731</v>
      </c>
    </row>
    <row r="243" spans="1:16" ht="18" customHeight="1" x14ac:dyDescent="0.15">
      <c r="A243" s="5" t="s">
        <v>726</v>
      </c>
      <c r="B243" s="6" t="s">
        <v>570</v>
      </c>
      <c r="C243" s="6" t="s">
        <v>770</v>
      </c>
      <c r="D243" s="6" t="s">
        <v>972</v>
      </c>
      <c r="E243" s="6" t="s">
        <v>772</v>
      </c>
      <c r="F243" s="8">
        <v>186788260</v>
      </c>
      <c r="G243" s="8">
        <v>186788480</v>
      </c>
      <c r="H243" s="43">
        <v>4.2390761467126697E-2</v>
      </c>
      <c r="I243" s="6">
        <v>184</v>
      </c>
      <c r="J243" s="50">
        <v>0.49282572261893498</v>
      </c>
      <c r="K243" s="8">
        <v>144521</v>
      </c>
      <c r="L243" s="6" t="s">
        <v>362</v>
      </c>
      <c r="M243" s="6" t="s">
        <v>730</v>
      </c>
      <c r="N243" s="6" t="s">
        <v>730</v>
      </c>
      <c r="O243" s="6" t="s">
        <v>730</v>
      </c>
      <c r="P243" s="6" t="s">
        <v>731</v>
      </c>
    </row>
    <row r="244" spans="1:16" ht="18" customHeight="1" x14ac:dyDescent="0.15">
      <c r="A244" s="5" t="s">
        <v>726</v>
      </c>
      <c r="B244" s="6" t="s">
        <v>570</v>
      </c>
      <c r="C244" s="6" t="s">
        <v>770</v>
      </c>
      <c r="D244" s="6" t="s">
        <v>973</v>
      </c>
      <c r="E244" s="6" t="s">
        <v>772</v>
      </c>
      <c r="F244" s="8">
        <v>186787929</v>
      </c>
      <c r="G244" s="8">
        <v>186788220</v>
      </c>
      <c r="H244" s="43">
        <v>8.9583620429039001E-2</v>
      </c>
      <c r="I244" s="6">
        <v>129</v>
      </c>
      <c r="J244" s="50">
        <v>0.67709713489379098</v>
      </c>
      <c r="K244" s="8">
        <v>144781</v>
      </c>
      <c r="L244" s="6" t="s">
        <v>362</v>
      </c>
      <c r="M244" s="6" t="s">
        <v>730</v>
      </c>
      <c r="N244" s="6" t="s">
        <v>730</v>
      </c>
      <c r="O244" s="6" t="s">
        <v>730</v>
      </c>
      <c r="P244" s="6" t="s">
        <v>731</v>
      </c>
    </row>
    <row r="245" spans="1:16" ht="18" customHeight="1" x14ac:dyDescent="0.15">
      <c r="A245" s="5" t="s">
        <v>726</v>
      </c>
      <c r="B245" s="6" t="s">
        <v>570</v>
      </c>
      <c r="C245" s="6" t="s">
        <v>770</v>
      </c>
      <c r="D245" s="6" t="s">
        <v>974</v>
      </c>
      <c r="E245" s="6" t="s">
        <v>772</v>
      </c>
      <c r="F245" s="8">
        <v>186787854</v>
      </c>
      <c r="G245" s="8">
        <v>186787880</v>
      </c>
      <c r="H245" s="43">
        <v>0.118214045579617</v>
      </c>
      <c r="I245" s="6">
        <v>104</v>
      </c>
      <c r="J245" s="50">
        <v>0.73157125145635904</v>
      </c>
      <c r="K245" s="8">
        <v>145121</v>
      </c>
      <c r="L245" s="6" t="s">
        <v>362</v>
      </c>
      <c r="M245" s="6" t="s">
        <v>730</v>
      </c>
      <c r="N245" s="6" t="s">
        <v>730</v>
      </c>
      <c r="O245" s="6" t="s">
        <v>730</v>
      </c>
      <c r="P245" s="6" t="s">
        <v>731</v>
      </c>
    </row>
    <row r="246" spans="1:16" ht="18" customHeight="1" x14ac:dyDescent="0.15">
      <c r="A246" s="5" t="s">
        <v>726</v>
      </c>
      <c r="B246" s="6" t="s">
        <v>570</v>
      </c>
      <c r="C246" s="6" t="s">
        <v>770</v>
      </c>
      <c r="D246" s="6" t="s">
        <v>975</v>
      </c>
      <c r="E246" s="6" t="s">
        <v>772</v>
      </c>
      <c r="F246" s="8">
        <v>186787619</v>
      </c>
      <c r="G246" s="8">
        <v>186787853</v>
      </c>
      <c r="H246" s="43">
        <v>0.16383189192184999</v>
      </c>
      <c r="I246" s="6">
        <v>79</v>
      </c>
      <c r="J246" s="50">
        <v>0.79006626486658804</v>
      </c>
      <c r="K246" s="8">
        <v>145148</v>
      </c>
      <c r="L246" s="6" t="s">
        <v>362</v>
      </c>
      <c r="M246" s="6" t="s">
        <v>730</v>
      </c>
      <c r="N246" s="6" t="s">
        <v>730</v>
      </c>
      <c r="O246" s="6" t="s">
        <v>730</v>
      </c>
      <c r="P246" s="6" t="s">
        <v>731</v>
      </c>
    </row>
    <row r="247" spans="1:16" ht="18" customHeight="1" x14ac:dyDescent="0.15">
      <c r="A247" s="5" t="s">
        <v>726</v>
      </c>
      <c r="B247" s="6" t="s">
        <v>570</v>
      </c>
      <c r="C247" s="6" t="s">
        <v>770</v>
      </c>
      <c r="D247" s="6" t="s">
        <v>976</v>
      </c>
      <c r="E247" s="6" t="s">
        <v>772</v>
      </c>
      <c r="F247" s="8">
        <v>186787400</v>
      </c>
      <c r="G247" s="8">
        <v>186787700</v>
      </c>
      <c r="H247" s="43">
        <v>0.206281774319135</v>
      </c>
      <c r="I247" s="6">
        <v>59</v>
      </c>
      <c r="J247" s="50">
        <v>0.83005802845731502</v>
      </c>
      <c r="K247" s="8">
        <v>145301</v>
      </c>
      <c r="L247" s="6" t="s">
        <v>362</v>
      </c>
      <c r="M247" s="6" t="s">
        <v>730</v>
      </c>
      <c r="N247" s="6" t="s">
        <v>730</v>
      </c>
      <c r="O247" s="6" t="s">
        <v>730</v>
      </c>
      <c r="P247" s="6" t="s">
        <v>731</v>
      </c>
    </row>
    <row r="248" spans="1:16" ht="18" customHeight="1" x14ac:dyDescent="0.15">
      <c r="A248" s="5" t="s">
        <v>726</v>
      </c>
      <c r="B248" s="6" t="s">
        <v>570</v>
      </c>
      <c r="C248" s="6" t="s">
        <v>770</v>
      </c>
      <c r="D248" s="6" t="s">
        <v>977</v>
      </c>
      <c r="E248" s="6" t="s">
        <v>772</v>
      </c>
      <c r="F248" s="8">
        <v>186787120</v>
      </c>
      <c r="G248" s="8">
        <v>186787379</v>
      </c>
      <c r="H248" s="43">
        <v>0.24092192718615901</v>
      </c>
      <c r="I248" s="6">
        <v>49</v>
      </c>
      <c r="J248" s="50">
        <v>0.85591583571317498</v>
      </c>
      <c r="K248" s="8">
        <v>145622</v>
      </c>
      <c r="L248" s="6" t="s">
        <v>362</v>
      </c>
      <c r="M248" s="6" t="s">
        <v>730</v>
      </c>
      <c r="N248" s="6" t="s">
        <v>730</v>
      </c>
      <c r="O248" s="6" t="s">
        <v>730</v>
      </c>
      <c r="P248" s="6" t="s">
        <v>731</v>
      </c>
    </row>
    <row r="249" spans="1:16" ht="18" customHeight="1" x14ac:dyDescent="0.15">
      <c r="A249" s="5" t="s">
        <v>726</v>
      </c>
      <c r="B249" s="6" t="s">
        <v>570</v>
      </c>
      <c r="C249" s="6" t="s">
        <v>770</v>
      </c>
      <c r="D249" s="6" t="s">
        <v>978</v>
      </c>
      <c r="E249" s="6" t="s">
        <v>772</v>
      </c>
      <c r="F249" s="8">
        <v>186786840</v>
      </c>
      <c r="G249" s="8">
        <v>186787100</v>
      </c>
      <c r="H249" s="43">
        <v>0.28792811815555303</v>
      </c>
      <c r="I249" s="6">
        <v>33</v>
      </c>
      <c r="J249" s="50">
        <v>0.88463292808693805</v>
      </c>
      <c r="K249" s="8">
        <v>145901</v>
      </c>
      <c r="L249" s="6" t="s">
        <v>362</v>
      </c>
      <c r="M249" s="6" t="s">
        <v>730</v>
      </c>
      <c r="N249" s="6" t="s">
        <v>730</v>
      </c>
      <c r="O249" s="6" t="s">
        <v>730</v>
      </c>
      <c r="P249" s="6" t="s">
        <v>731</v>
      </c>
    </row>
    <row r="250" spans="1:16" ht="18" customHeight="1" x14ac:dyDescent="0.15">
      <c r="A250" s="5" t="s">
        <v>726</v>
      </c>
      <c r="B250" s="6" t="s">
        <v>570</v>
      </c>
      <c r="C250" s="6" t="s">
        <v>770</v>
      </c>
      <c r="D250" s="6" t="s">
        <v>979</v>
      </c>
      <c r="E250" s="6" t="s">
        <v>772</v>
      </c>
      <c r="F250" s="8">
        <v>186786659</v>
      </c>
      <c r="G250" s="8">
        <v>186786860</v>
      </c>
      <c r="H250" s="43">
        <v>0.27090541674540602</v>
      </c>
      <c r="I250" s="6">
        <v>39</v>
      </c>
      <c r="J250" s="50">
        <v>0.87508633894214305</v>
      </c>
      <c r="K250" s="8">
        <v>146141</v>
      </c>
      <c r="L250" s="6" t="s">
        <v>362</v>
      </c>
      <c r="M250" s="6" t="s">
        <v>730</v>
      </c>
      <c r="N250" s="6" t="s">
        <v>730</v>
      </c>
      <c r="O250" s="6" t="s">
        <v>730</v>
      </c>
      <c r="P250" s="6" t="s">
        <v>731</v>
      </c>
    </row>
    <row r="251" spans="1:16" ht="18" customHeight="1" x14ac:dyDescent="0.15">
      <c r="A251" s="5" t="s">
        <v>726</v>
      </c>
      <c r="B251" s="6" t="s">
        <v>570</v>
      </c>
      <c r="C251" s="6" t="s">
        <v>770</v>
      </c>
      <c r="D251" s="6" t="s">
        <v>980</v>
      </c>
      <c r="E251" s="6" t="s">
        <v>772</v>
      </c>
      <c r="F251" s="8">
        <v>186786260</v>
      </c>
      <c r="G251" s="8">
        <v>186786463</v>
      </c>
      <c r="H251" s="43">
        <v>0.45425056207638498</v>
      </c>
      <c r="I251" s="6">
        <v>16</v>
      </c>
      <c r="J251" s="50">
        <v>0.94320179115837099</v>
      </c>
      <c r="K251" s="8">
        <v>146538</v>
      </c>
      <c r="L251" s="6" t="s">
        <v>362</v>
      </c>
      <c r="M251" s="6" t="s">
        <v>730</v>
      </c>
      <c r="N251" s="6" t="s">
        <v>730</v>
      </c>
      <c r="O251" s="6" t="s">
        <v>730</v>
      </c>
      <c r="P251" s="6" t="s">
        <v>731</v>
      </c>
    </row>
    <row r="252" spans="1:16" ht="18" customHeight="1" x14ac:dyDescent="0.15">
      <c r="A252" s="5" t="s">
        <v>726</v>
      </c>
      <c r="B252" s="6" t="s">
        <v>570</v>
      </c>
      <c r="C252" s="6" t="s">
        <v>770</v>
      </c>
      <c r="D252" s="6" t="s">
        <v>981</v>
      </c>
      <c r="E252" s="6" t="s">
        <v>772</v>
      </c>
      <c r="F252" s="8">
        <v>186786064</v>
      </c>
      <c r="G252" s="8">
        <v>186786380</v>
      </c>
      <c r="H252" s="43">
        <v>0.28171583322378302</v>
      </c>
      <c r="I252" s="6">
        <v>34</v>
      </c>
      <c r="J252" s="50">
        <v>0.88119327151392701</v>
      </c>
      <c r="K252" s="8">
        <v>146621</v>
      </c>
      <c r="L252" s="6" t="s">
        <v>362</v>
      </c>
      <c r="M252" s="6" t="s">
        <v>730</v>
      </c>
      <c r="N252" s="6" t="s">
        <v>730</v>
      </c>
      <c r="O252" s="6" t="s">
        <v>730</v>
      </c>
      <c r="P252" s="6" t="s">
        <v>731</v>
      </c>
    </row>
    <row r="253" spans="1:16" ht="18" customHeight="1" x14ac:dyDescent="0.15">
      <c r="A253" s="5" t="s">
        <v>726</v>
      </c>
      <c r="B253" s="6" t="s">
        <v>570</v>
      </c>
      <c r="C253" s="6" t="s">
        <v>770</v>
      </c>
      <c r="D253" s="6" t="s">
        <v>982</v>
      </c>
      <c r="E253" s="6" t="s">
        <v>772</v>
      </c>
      <c r="F253" s="8">
        <v>186785820</v>
      </c>
      <c r="G253" s="8">
        <v>186786080</v>
      </c>
      <c r="H253" s="43">
        <v>0.59252195002940999</v>
      </c>
      <c r="I253" s="6">
        <v>6</v>
      </c>
      <c r="J253" s="50">
        <v>0.96963475695207701</v>
      </c>
      <c r="K253" s="8">
        <v>146921</v>
      </c>
      <c r="L253" s="6" t="s">
        <v>362</v>
      </c>
      <c r="M253" s="6" t="s">
        <v>730</v>
      </c>
      <c r="N253" s="6" t="s">
        <v>730</v>
      </c>
      <c r="O253" s="6" t="s">
        <v>730</v>
      </c>
      <c r="P253" s="6" t="s">
        <v>731</v>
      </c>
    </row>
    <row r="254" spans="1:16" ht="18" customHeight="1" x14ac:dyDescent="0.15">
      <c r="A254" s="5" t="s">
        <v>726</v>
      </c>
      <c r="B254" s="6" t="s">
        <v>570</v>
      </c>
      <c r="C254" s="6" t="s">
        <v>770</v>
      </c>
      <c r="D254" s="6" t="s">
        <v>983</v>
      </c>
      <c r="E254" s="6" t="s">
        <v>772</v>
      </c>
      <c r="F254" s="8">
        <v>186785600</v>
      </c>
      <c r="G254" s="8">
        <v>186785824</v>
      </c>
      <c r="H254" s="43">
        <v>0.60113437473774001</v>
      </c>
      <c r="I254" s="6">
        <v>4</v>
      </c>
      <c r="J254" s="50">
        <v>0.97095449383876598</v>
      </c>
      <c r="K254" s="8">
        <v>147177</v>
      </c>
      <c r="L254" s="6" t="s">
        <v>362</v>
      </c>
      <c r="M254" s="6" t="s">
        <v>730</v>
      </c>
      <c r="N254" s="6" t="s">
        <v>730</v>
      </c>
      <c r="O254" s="6" t="s">
        <v>730</v>
      </c>
      <c r="P254" s="6" t="s">
        <v>731</v>
      </c>
    </row>
    <row r="255" spans="1:16" ht="18" customHeight="1" x14ac:dyDescent="0.15">
      <c r="A255" s="5" t="s">
        <v>726</v>
      </c>
      <c r="B255" s="6" t="s">
        <v>570</v>
      </c>
      <c r="C255" s="6" t="s">
        <v>770</v>
      </c>
      <c r="D255" s="6" t="s">
        <v>984</v>
      </c>
      <c r="E255" s="6" t="s">
        <v>772</v>
      </c>
      <c r="F255" s="8">
        <v>186785518</v>
      </c>
      <c r="G255" s="8">
        <v>186785663</v>
      </c>
      <c r="H255" s="43">
        <v>0.637856790652642</v>
      </c>
      <c r="I255" s="6">
        <v>3</v>
      </c>
      <c r="J255" s="50">
        <v>0.97616567346112504</v>
      </c>
      <c r="K255" s="8">
        <v>147338</v>
      </c>
      <c r="L255" s="6" t="s">
        <v>362</v>
      </c>
      <c r="M255" s="6" t="s">
        <v>730</v>
      </c>
      <c r="N255" s="6" t="s">
        <v>730</v>
      </c>
      <c r="O255" s="6" t="s">
        <v>730</v>
      </c>
      <c r="P255" s="6" t="s">
        <v>731</v>
      </c>
    </row>
    <row r="256" spans="1:16" ht="18" customHeight="1" x14ac:dyDescent="0.15">
      <c r="A256" s="5" t="s">
        <v>726</v>
      </c>
      <c r="B256" s="6" t="s">
        <v>570</v>
      </c>
      <c r="C256" s="6" t="s">
        <v>770</v>
      </c>
      <c r="D256" s="6" t="s">
        <v>985</v>
      </c>
      <c r="E256" s="6" t="s">
        <v>772</v>
      </c>
      <c r="F256" s="8">
        <v>187130051</v>
      </c>
      <c r="G256" s="8">
        <v>187130303</v>
      </c>
      <c r="H256" s="43">
        <v>4.2418105671039E-2</v>
      </c>
      <c r="I256" s="6">
        <v>182</v>
      </c>
      <c r="J256" s="50">
        <v>0.49346082970528798</v>
      </c>
      <c r="K256" s="8">
        <v>197050</v>
      </c>
      <c r="L256" s="6" t="s">
        <v>362</v>
      </c>
      <c r="M256" s="6" t="s">
        <v>730</v>
      </c>
      <c r="N256" s="6" t="s">
        <v>730</v>
      </c>
      <c r="O256" s="6" t="s">
        <v>730</v>
      </c>
      <c r="P256" s="6" t="s">
        <v>731</v>
      </c>
    </row>
    <row r="257" spans="1:16" ht="18" customHeight="1" x14ac:dyDescent="0.15">
      <c r="A257" s="5" t="s">
        <v>726</v>
      </c>
      <c r="B257" s="6" t="s">
        <v>570</v>
      </c>
      <c r="C257" s="6" t="s">
        <v>770</v>
      </c>
      <c r="D257" s="6" t="s">
        <v>986</v>
      </c>
      <c r="E257" s="6" t="s">
        <v>772</v>
      </c>
      <c r="F257" s="8">
        <v>187130440</v>
      </c>
      <c r="G257" s="8">
        <v>187130655</v>
      </c>
      <c r="H257" s="43">
        <v>1.39366010060677E-2</v>
      </c>
      <c r="I257" s="6">
        <v>213</v>
      </c>
      <c r="J257" s="50">
        <v>9.0525783523184897E-2</v>
      </c>
      <c r="K257" s="8">
        <v>197439</v>
      </c>
      <c r="L257" s="6" t="s">
        <v>362</v>
      </c>
      <c r="M257" s="6" t="s">
        <v>730</v>
      </c>
      <c r="N257" s="6" t="s">
        <v>730</v>
      </c>
      <c r="O257" s="6" t="s">
        <v>730</v>
      </c>
      <c r="P257" s="6" t="s">
        <v>731</v>
      </c>
    </row>
    <row r="258" spans="1:16" ht="18" customHeight="1" x14ac:dyDescent="0.15">
      <c r="A258" s="5" t="s">
        <v>726</v>
      </c>
      <c r="B258" s="6" t="s">
        <v>570</v>
      </c>
      <c r="C258" s="6" t="s">
        <v>770</v>
      </c>
      <c r="D258" s="6" t="s">
        <v>987</v>
      </c>
      <c r="E258" s="6" t="s">
        <v>772</v>
      </c>
      <c r="F258" s="8">
        <v>187130800</v>
      </c>
      <c r="G258" s="8">
        <v>187130990</v>
      </c>
      <c r="H258" s="43">
        <v>1.44270853354381E-2</v>
      </c>
      <c r="I258" s="6">
        <v>209</v>
      </c>
      <c r="J258" s="50">
        <v>0.210949819589622</v>
      </c>
      <c r="K258" s="8">
        <v>197799</v>
      </c>
      <c r="L258" s="6" t="s">
        <v>362</v>
      </c>
      <c r="M258" s="6" t="s">
        <v>730</v>
      </c>
      <c r="N258" s="6" t="s">
        <v>730</v>
      </c>
      <c r="O258" s="6" t="s">
        <v>730</v>
      </c>
      <c r="P258" s="6" t="s">
        <v>731</v>
      </c>
    </row>
    <row r="259" spans="1:16" ht="18" customHeight="1" x14ac:dyDescent="0.15">
      <c r="A259" s="5" t="s">
        <v>726</v>
      </c>
      <c r="B259" s="6" t="s">
        <v>570</v>
      </c>
      <c r="C259" s="6" t="s">
        <v>770</v>
      </c>
      <c r="D259" s="6" t="s">
        <v>988</v>
      </c>
      <c r="E259" s="6" t="s">
        <v>772</v>
      </c>
      <c r="F259" s="8">
        <v>187318939</v>
      </c>
      <c r="G259" s="8">
        <v>187319110</v>
      </c>
      <c r="H259" s="43">
        <v>4.70956334700951E-2</v>
      </c>
      <c r="I259" s="6">
        <v>173</v>
      </c>
      <c r="J259" s="50">
        <v>0.53953606774012197</v>
      </c>
      <c r="K259" s="8">
        <v>385938</v>
      </c>
      <c r="L259" s="6" t="s">
        <v>362</v>
      </c>
      <c r="M259" s="6" t="s">
        <v>730</v>
      </c>
      <c r="N259" s="6" t="s">
        <v>730</v>
      </c>
      <c r="O259" s="6" t="s">
        <v>730</v>
      </c>
      <c r="P259" s="6" t="s">
        <v>731</v>
      </c>
    </row>
    <row r="260" spans="1:16" ht="18" customHeight="1" x14ac:dyDescent="0.15">
      <c r="A260" s="5" t="s">
        <v>726</v>
      </c>
      <c r="B260" s="6" t="s">
        <v>570</v>
      </c>
      <c r="C260" s="6" t="s">
        <v>770</v>
      </c>
      <c r="D260" s="6" t="s">
        <v>989</v>
      </c>
      <c r="E260" s="6" t="s">
        <v>772</v>
      </c>
      <c r="F260" s="8">
        <v>186534260</v>
      </c>
      <c r="G260" s="8">
        <v>186534543</v>
      </c>
      <c r="H260" s="43">
        <v>1.37559886162098E-2</v>
      </c>
      <c r="I260" s="6">
        <v>220</v>
      </c>
      <c r="J260" s="50">
        <v>1.06764889612133E-2</v>
      </c>
      <c r="K260" s="8">
        <v>398458</v>
      </c>
      <c r="L260" s="6" t="s">
        <v>362</v>
      </c>
      <c r="M260" s="6" t="s">
        <v>730</v>
      </c>
      <c r="N260" s="6" t="s">
        <v>730</v>
      </c>
      <c r="O260" s="6" t="s">
        <v>730</v>
      </c>
      <c r="P260" s="6" t="s">
        <v>731</v>
      </c>
    </row>
    <row r="261" spans="1:16" ht="18" customHeight="1" x14ac:dyDescent="0.15">
      <c r="A261" s="5" t="s">
        <v>726</v>
      </c>
      <c r="B261" s="6" t="s">
        <v>570</v>
      </c>
      <c r="C261" s="6" t="s">
        <v>770</v>
      </c>
      <c r="D261" s="6" t="s">
        <v>990</v>
      </c>
      <c r="E261" s="6" t="s">
        <v>772</v>
      </c>
      <c r="F261" s="8">
        <v>186111200</v>
      </c>
      <c r="G261" s="8">
        <v>186111540</v>
      </c>
      <c r="H261" s="43">
        <v>2.8663942447075499E-2</v>
      </c>
      <c r="I261" s="6">
        <v>193</v>
      </c>
      <c r="J261" s="50">
        <v>0.39930511812904901</v>
      </c>
      <c r="K261" s="8">
        <v>821461</v>
      </c>
      <c r="L261" s="6" t="s">
        <v>362</v>
      </c>
      <c r="M261" s="6" t="s">
        <v>730</v>
      </c>
      <c r="N261" s="6" t="s">
        <v>730</v>
      </c>
      <c r="O261" s="6" t="s">
        <v>730</v>
      </c>
      <c r="P261" s="6" t="s">
        <v>731</v>
      </c>
    </row>
    <row r="262" spans="1:16" ht="18" customHeight="1" x14ac:dyDescent="0.15">
      <c r="A262" s="5" t="s">
        <v>726</v>
      </c>
      <c r="B262" s="6" t="s">
        <v>570</v>
      </c>
      <c r="C262" s="6" t="s">
        <v>770</v>
      </c>
      <c r="D262" s="6" t="s">
        <v>991</v>
      </c>
      <c r="E262" s="6" t="s">
        <v>772</v>
      </c>
      <c r="F262" s="8">
        <v>187929501</v>
      </c>
      <c r="G262" s="8">
        <v>187929755</v>
      </c>
      <c r="H262" s="43">
        <v>1.52575637285526E-2</v>
      </c>
      <c r="I262" s="6">
        <v>206</v>
      </c>
      <c r="J262" s="50">
        <v>0.28329989826123098</v>
      </c>
      <c r="K262" s="8">
        <v>996500</v>
      </c>
      <c r="L262" s="6" t="s">
        <v>362</v>
      </c>
      <c r="M262" s="6" t="s">
        <v>730</v>
      </c>
      <c r="N262" s="6" t="s">
        <v>730</v>
      </c>
      <c r="O262" s="6" t="s">
        <v>730</v>
      </c>
      <c r="P262" s="6" t="s">
        <v>731</v>
      </c>
    </row>
    <row r="263" spans="1:16" ht="18" customHeight="1" x14ac:dyDescent="0.15">
      <c r="A263" s="23" t="s">
        <v>992</v>
      </c>
      <c r="B263" s="27" t="s">
        <v>570</v>
      </c>
      <c r="C263" s="27" t="s">
        <v>770</v>
      </c>
      <c r="D263" s="27" t="s">
        <v>993</v>
      </c>
      <c r="E263" s="27" t="s">
        <v>772</v>
      </c>
      <c r="F263" s="25">
        <v>186929090</v>
      </c>
      <c r="G263" s="25">
        <v>186929593</v>
      </c>
      <c r="H263" s="45"/>
      <c r="I263" s="27"/>
      <c r="J263" s="52"/>
      <c r="K263" s="25">
        <v>3408</v>
      </c>
      <c r="L263" s="27" t="s">
        <v>362</v>
      </c>
      <c r="M263" s="27" t="s">
        <v>362</v>
      </c>
      <c r="N263" s="27" t="s">
        <v>362</v>
      </c>
      <c r="O263" s="27" t="s">
        <v>730</v>
      </c>
      <c r="P263" s="27" t="s">
        <v>994</v>
      </c>
    </row>
    <row r="264" spans="1:16" ht="18" customHeight="1" x14ac:dyDescent="0.15"/>
    <row r="265" spans="1:16" ht="96.75" customHeight="1" x14ac:dyDescent="0.15">
      <c r="A265" s="75" t="s">
        <v>995</v>
      </c>
      <c r="B265" s="74"/>
      <c r="C265" s="74"/>
      <c r="D265" s="74"/>
      <c r="E265" s="74"/>
      <c r="F265" s="74"/>
      <c r="G265" s="74"/>
      <c r="H265" s="74"/>
      <c r="I265" s="74"/>
      <c r="J265" s="74"/>
    </row>
  </sheetData>
  <mergeCells count="2">
    <mergeCell ref="A1:P1"/>
    <mergeCell ref="A265:J265"/>
  </mergeCells>
  <phoneticPr fontId="5"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502"/>
  <sheetViews>
    <sheetView topLeftCell="A469" workbookViewId="0">
      <selection activeCell="C500" sqref="C500"/>
    </sheetView>
  </sheetViews>
  <sheetFormatPr defaultRowHeight="13.5" x14ac:dyDescent="0.15"/>
  <cols>
    <col min="1" max="1" width="27" customWidth="1"/>
    <col min="2" max="2" width="16" customWidth="1"/>
    <col min="3" max="3" width="17" customWidth="1"/>
    <col min="4" max="5" width="11" customWidth="1"/>
    <col min="6" max="6" width="9" customWidth="1"/>
    <col min="7" max="7" width="12.125" customWidth="1"/>
    <col min="8" max="8" width="16" customWidth="1"/>
    <col min="9" max="9" width="22" customWidth="1"/>
    <col min="10" max="10" width="26.625" customWidth="1"/>
    <col min="11" max="11" width="6" customWidth="1"/>
    <col min="12" max="12" width="16" customWidth="1"/>
    <col min="13" max="13" width="8.875" style="59" customWidth="1"/>
    <col min="14" max="14" width="10.375" style="59" customWidth="1"/>
    <col min="15" max="15" width="8.75" style="59" customWidth="1"/>
    <col min="16" max="16" width="9" style="59" customWidth="1"/>
  </cols>
  <sheetData>
    <row r="1" spans="1:16" ht="18" customHeight="1" x14ac:dyDescent="0.15">
      <c r="A1" s="76" t="s">
        <v>996</v>
      </c>
      <c r="B1" s="74"/>
      <c r="C1" s="74"/>
      <c r="D1" s="74"/>
      <c r="E1" s="74"/>
      <c r="F1" s="74"/>
      <c r="G1" s="74"/>
      <c r="H1" s="74"/>
      <c r="I1" s="74"/>
      <c r="J1" s="74"/>
      <c r="K1" s="74"/>
      <c r="L1" s="74"/>
      <c r="M1" s="78"/>
      <c r="N1" s="78"/>
      <c r="O1" s="78"/>
      <c r="P1" s="78"/>
    </row>
    <row r="2" spans="1:16" ht="18" customHeight="1" x14ac:dyDescent="0.15"/>
    <row r="3" spans="1:16" ht="18" customHeight="1" x14ac:dyDescent="0.15">
      <c r="A3" s="22" t="s">
        <v>410</v>
      </c>
      <c r="B3" s="20" t="s">
        <v>997</v>
      </c>
      <c r="C3" s="20" t="s">
        <v>998</v>
      </c>
      <c r="D3" s="20" t="s">
        <v>715</v>
      </c>
      <c r="E3" s="20" t="s">
        <v>716</v>
      </c>
      <c r="F3" s="20" t="s">
        <v>999</v>
      </c>
      <c r="G3" s="20" t="s">
        <v>1000</v>
      </c>
      <c r="H3" s="20" t="s">
        <v>1001</v>
      </c>
      <c r="I3" s="20" t="s">
        <v>1002</v>
      </c>
      <c r="J3" s="20" t="s">
        <v>1003</v>
      </c>
      <c r="K3" s="20" t="s">
        <v>1004</v>
      </c>
      <c r="L3" s="20" t="s">
        <v>1005</v>
      </c>
      <c r="M3" s="60" t="s">
        <v>370</v>
      </c>
      <c r="N3" s="60" t="s">
        <v>1006</v>
      </c>
      <c r="O3" s="60" t="s">
        <v>1007</v>
      </c>
      <c r="P3" s="60" t="s">
        <v>371</v>
      </c>
    </row>
    <row r="4" spans="1:16" ht="18" customHeight="1" x14ac:dyDescent="0.15">
      <c r="A4" s="5" t="s">
        <v>1008</v>
      </c>
      <c r="B4" s="6" t="s">
        <v>1009</v>
      </c>
      <c r="C4" s="6" t="s">
        <v>1010</v>
      </c>
      <c r="D4" s="8">
        <v>186932502</v>
      </c>
      <c r="E4" s="8">
        <v>186933502</v>
      </c>
      <c r="F4" s="43">
        <v>0.43232887099077399</v>
      </c>
      <c r="G4" s="43">
        <v>3.4800000488758101E-2</v>
      </c>
      <c r="H4" s="36">
        <v>12.4232432447935</v>
      </c>
      <c r="I4" s="6"/>
      <c r="J4" s="6"/>
      <c r="K4" s="6"/>
      <c r="L4" s="6"/>
      <c r="M4" s="50"/>
      <c r="N4" s="50"/>
      <c r="O4" s="50"/>
      <c r="P4" s="50"/>
    </row>
    <row r="5" spans="1:16" ht="18" customHeight="1" x14ac:dyDescent="0.15">
      <c r="A5" s="5" t="s">
        <v>1008</v>
      </c>
      <c r="B5" s="6" t="s">
        <v>1009</v>
      </c>
      <c r="C5" s="6" t="s">
        <v>1011</v>
      </c>
      <c r="D5" s="8">
        <v>186929091</v>
      </c>
      <c r="E5" s="8">
        <v>186929594</v>
      </c>
      <c r="F5" s="43">
        <v>0.96075159275815603</v>
      </c>
      <c r="G5" s="43">
        <v>3.4800000488758101E-2</v>
      </c>
      <c r="H5" s="36">
        <v>27.607804001856898</v>
      </c>
      <c r="I5" s="6"/>
      <c r="J5" s="6"/>
      <c r="K5" s="6"/>
      <c r="L5" s="6"/>
      <c r="M5" s="50"/>
      <c r="N5" s="50"/>
      <c r="O5" s="50"/>
      <c r="P5" s="50"/>
    </row>
    <row r="6" spans="1:16" ht="18" customHeight="1" x14ac:dyDescent="0.15">
      <c r="A6" s="5" t="s">
        <v>1008</v>
      </c>
      <c r="B6" s="6" t="s">
        <v>1009</v>
      </c>
      <c r="C6" s="6" t="s">
        <v>1012</v>
      </c>
      <c r="D6" s="8">
        <v>186977021</v>
      </c>
      <c r="E6" s="8">
        <v>186978021</v>
      </c>
      <c r="F6" s="43">
        <v>7.86157837500433E-2</v>
      </c>
      <c r="G6" s="43">
        <v>3.4800000488758101E-2</v>
      </c>
      <c r="H6" s="36">
        <v>2.25907421396272</v>
      </c>
      <c r="I6" s="6"/>
      <c r="J6" s="6"/>
      <c r="K6" s="6"/>
      <c r="L6" s="6"/>
      <c r="M6" s="50"/>
      <c r="N6" s="50"/>
      <c r="O6" s="50"/>
      <c r="P6" s="50"/>
    </row>
    <row r="7" spans="1:16" ht="18" customHeight="1" x14ac:dyDescent="0.15">
      <c r="A7" s="5" t="s">
        <v>1008</v>
      </c>
      <c r="B7" s="6" t="s">
        <v>1013</v>
      </c>
      <c r="C7" s="6" t="s">
        <v>1010</v>
      </c>
      <c r="D7" s="8">
        <v>186932502</v>
      </c>
      <c r="E7" s="8">
        <v>186933502</v>
      </c>
      <c r="F7" s="43">
        <v>0.28070429530177099</v>
      </c>
      <c r="G7" s="43">
        <v>2.5000000372528999E-2</v>
      </c>
      <c r="H7" s="36">
        <v>11.228171644758</v>
      </c>
      <c r="I7" s="6"/>
      <c r="J7" s="6"/>
      <c r="K7" s="6"/>
      <c r="L7" s="6"/>
      <c r="M7" s="50"/>
      <c r="N7" s="50"/>
      <c r="O7" s="50"/>
      <c r="P7" s="50"/>
    </row>
    <row r="8" spans="1:16" ht="18" customHeight="1" x14ac:dyDescent="0.15">
      <c r="A8" s="5" t="s">
        <v>1008</v>
      </c>
      <c r="B8" s="6" t="s">
        <v>1013</v>
      </c>
      <c r="C8" s="6" t="s">
        <v>1011</v>
      </c>
      <c r="D8" s="8">
        <v>186929091</v>
      </c>
      <c r="E8" s="8">
        <v>186929594</v>
      </c>
      <c r="F8" s="43">
        <v>0.64387896574205805</v>
      </c>
      <c r="G8" s="43">
        <v>2.5000000372528999E-2</v>
      </c>
      <c r="H8" s="36">
        <v>25.755158245900599</v>
      </c>
      <c r="I8" s="6"/>
      <c r="J8" s="6"/>
      <c r="K8" s="6"/>
      <c r="L8" s="6"/>
      <c r="M8" s="50"/>
      <c r="N8" s="50"/>
      <c r="O8" s="50"/>
      <c r="P8" s="50"/>
    </row>
    <row r="9" spans="1:16" ht="18" customHeight="1" x14ac:dyDescent="0.15">
      <c r="A9" s="5" t="s">
        <v>1008</v>
      </c>
      <c r="B9" s="6" t="s">
        <v>1013</v>
      </c>
      <c r="C9" s="6" t="s">
        <v>1012</v>
      </c>
      <c r="D9" s="8">
        <v>186977021</v>
      </c>
      <c r="E9" s="8">
        <v>186978021</v>
      </c>
      <c r="F9" s="43">
        <v>5.7192806970443502E-2</v>
      </c>
      <c r="G9" s="43">
        <v>2.5000000372528999E-2</v>
      </c>
      <c r="H9" s="36">
        <v>2.2877122447281701</v>
      </c>
      <c r="I9" s="6"/>
      <c r="J9" s="6"/>
      <c r="K9" s="6"/>
      <c r="L9" s="6"/>
      <c r="M9" s="50"/>
      <c r="N9" s="50"/>
      <c r="O9" s="50"/>
      <c r="P9" s="50"/>
    </row>
    <row r="10" spans="1:16" ht="18" customHeight="1" x14ac:dyDescent="0.15">
      <c r="A10" s="5" t="s">
        <v>1008</v>
      </c>
      <c r="B10" s="6" t="s">
        <v>1014</v>
      </c>
      <c r="C10" s="6" t="s">
        <v>1010</v>
      </c>
      <c r="D10" s="8">
        <v>186932502</v>
      </c>
      <c r="E10" s="8">
        <v>186933502</v>
      </c>
      <c r="F10" s="43">
        <v>0.43085874172000099</v>
      </c>
      <c r="G10" s="43">
        <v>2.94000003486872E-2</v>
      </c>
      <c r="H10" s="36">
        <v>14.655059068366301</v>
      </c>
      <c r="I10" s="6"/>
      <c r="J10" s="6"/>
      <c r="K10" s="6"/>
      <c r="L10" s="6"/>
      <c r="M10" s="50"/>
      <c r="N10" s="50"/>
      <c r="O10" s="50"/>
      <c r="P10" s="50"/>
    </row>
    <row r="11" spans="1:16" ht="18" customHeight="1" x14ac:dyDescent="0.15">
      <c r="A11" s="5" t="s">
        <v>1008</v>
      </c>
      <c r="B11" s="6" t="s">
        <v>1014</v>
      </c>
      <c r="C11" s="6" t="s">
        <v>1011</v>
      </c>
      <c r="D11" s="8">
        <v>186929091</v>
      </c>
      <c r="E11" s="8">
        <v>186929594</v>
      </c>
      <c r="F11" s="43">
        <v>0.73137500101611697</v>
      </c>
      <c r="G11" s="43">
        <v>2.94000003486872E-2</v>
      </c>
      <c r="H11" s="36">
        <v>24.8767004197936</v>
      </c>
      <c r="I11" s="6"/>
      <c r="J11" s="6"/>
      <c r="K11" s="6"/>
      <c r="L11" s="6"/>
      <c r="M11" s="50"/>
      <c r="N11" s="50"/>
      <c r="O11" s="50"/>
      <c r="P11" s="50"/>
    </row>
    <row r="12" spans="1:16" ht="18" customHeight="1" x14ac:dyDescent="0.15">
      <c r="A12" s="5" t="s">
        <v>1008</v>
      </c>
      <c r="B12" s="6" t="s">
        <v>1014</v>
      </c>
      <c r="C12" s="6" t="s">
        <v>1012</v>
      </c>
      <c r="D12" s="8">
        <v>186977021</v>
      </c>
      <c r="E12" s="8">
        <v>186978021</v>
      </c>
      <c r="F12" s="43">
        <v>0.234742657898308</v>
      </c>
      <c r="G12" s="43">
        <v>2.94000003486872E-2</v>
      </c>
      <c r="H12" s="36">
        <v>7.9844440515045996</v>
      </c>
      <c r="I12" s="6"/>
      <c r="J12" s="6"/>
      <c r="K12" s="6"/>
      <c r="L12" s="6"/>
      <c r="M12" s="50"/>
      <c r="N12" s="50"/>
      <c r="O12" s="50"/>
      <c r="P12" s="50"/>
    </row>
    <row r="13" spans="1:16" ht="18" customHeight="1" x14ac:dyDescent="0.15">
      <c r="A13" s="5" t="s">
        <v>1008</v>
      </c>
      <c r="B13" s="6" t="s">
        <v>1015</v>
      </c>
      <c r="C13" s="6" t="s">
        <v>1010</v>
      </c>
      <c r="D13" s="8">
        <v>186932502</v>
      </c>
      <c r="E13" s="8">
        <v>186933502</v>
      </c>
      <c r="F13" s="43">
        <v>0.48208281795283098</v>
      </c>
      <c r="G13" s="43">
        <v>3.3100001513957998E-2</v>
      </c>
      <c r="H13" s="36">
        <v>14.5644349215374</v>
      </c>
      <c r="I13" s="6"/>
      <c r="J13" s="6"/>
      <c r="K13" s="6"/>
      <c r="L13" s="6"/>
      <c r="M13" s="50"/>
      <c r="N13" s="50"/>
      <c r="O13" s="50"/>
      <c r="P13" s="50"/>
    </row>
    <row r="14" spans="1:16" ht="18" customHeight="1" x14ac:dyDescent="0.15">
      <c r="A14" s="5" t="s">
        <v>1008</v>
      </c>
      <c r="B14" s="6" t="s">
        <v>1015</v>
      </c>
      <c r="C14" s="6" t="s">
        <v>1011</v>
      </c>
      <c r="D14" s="8">
        <v>186929091</v>
      </c>
      <c r="E14" s="8">
        <v>186929594</v>
      </c>
      <c r="F14" s="43">
        <v>0.982623419354832</v>
      </c>
      <c r="G14" s="43">
        <v>3.3100001513957998E-2</v>
      </c>
      <c r="H14" s="36">
        <v>29.686506779779702</v>
      </c>
      <c r="I14" s="6"/>
      <c r="J14" s="6"/>
      <c r="K14" s="6"/>
      <c r="L14" s="6"/>
      <c r="M14" s="50"/>
      <c r="N14" s="50"/>
      <c r="O14" s="50"/>
      <c r="P14" s="50"/>
    </row>
    <row r="15" spans="1:16" ht="18" customHeight="1" x14ac:dyDescent="0.15">
      <c r="A15" s="5" t="s">
        <v>1008</v>
      </c>
      <c r="B15" s="6" t="s">
        <v>1015</v>
      </c>
      <c r="C15" s="6" t="s">
        <v>1012</v>
      </c>
      <c r="D15" s="8">
        <v>186977021</v>
      </c>
      <c r="E15" s="8">
        <v>186978021</v>
      </c>
      <c r="F15" s="43">
        <v>0.21781188772096299</v>
      </c>
      <c r="G15" s="43">
        <v>3.3100001513957998E-2</v>
      </c>
      <c r="H15" s="36">
        <v>6.5804192676279296</v>
      </c>
      <c r="I15" s="6"/>
      <c r="J15" s="6"/>
      <c r="K15" s="6"/>
      <c r="L15" s="6"/>
      <c r="M15" s="50"/>
      <c r="N15" s="50"/>
      <c r="O15" s="50"/>
      <c r="P15" s="50"/>
    </row>
    <row r="16" spans="1:16" ht="18" customHeight="1" x14ac:dyDescent="0.15">
      <c r="A16" s="5" t="s">
        <v>1008</v>
      </c>
      <c r="B16" s="6" t="s">
        <v>1016</v>
      </c>
      <c r="C16" s="6" t="s">
        <v>1010</v>
      </c>
      <c r="D16" s="8">
        <v>186932502</v>
      </c>
      <c r="E16" s="8">
        <v>186933502</v>
      </c>
      <c r="F16" s="43">
        <v>0.213662236415363</v>
      </c>
      <c r="G16" s="43">
        <v>2.6699999347329102E-2</v>
      </c>
      <c r="H16" s="36">
        <v>8.00233114750006</v>
      </c>
      <c r="I16" s="6"/>
      <c r="J16" s="6"/>
      <c r="K16" s="6"/>
      <c r="L16" s="6"/>
      <c r="M16" s="50"/>
      <c r="N16" s="50"/>
      <c r="O16" s="50"/>
      <c r="P16" s="50"/>
    </row>
    <row r="17" spans="1:16" ht="18" customHeight="1" x14ac:dyDescent="0.15">
      <c r="A17" s="5" t="s">
        <v>1008</v>
      </c>
      <c r="B17" s="6" t="s">
        <v>1016</v>
      </c>
      <c r="C17" s="6" t="s">
        <v>1011</v>
      </c>
      <c r="D17" s="8">
        <v>186929091</v>
      </c>
      <c r="E17" s="8">
        <v>186929594</v>
      </c>
      <c r="F17" s="43">
        <v>0.32167142919368202</v>
      </c>
      <c r="G17" s="43">
        <v>2.6699999347329102E-2</v>
      </c>
      <c r="H17" s="36">
        <v>12.047619365423699</v>
      </c>
      <c r="I17" s="6"/>
      <c r="J17" s="6"/>
      <c r="K17" s="6"/>
      <c r="L17" s="6"/>
      <c r="M17" s="50"/>
      <c r="N17" s="50"/>
      <c r="O17" s="50"/>
      <c r="P17" s="50"/>
    </row>
    <row r="18" spans="1:16" ht="18" customHeight="1" x14ac:dyDescent="0.15">
      <c r="A18" s="5" t="s">
        <v>1008</v>
      </c>
      <c r="B18" s="6" t="s">
        <v>1016</v>
      </c>
      <c r="C18" s="6" t="s">
        <v>1012</v>
      </c>
      <c r="D18" s="8">
        <v>186977021</v>
      </c>
      <c r="E18" s="8">
        <v>186978021</v>
      </c>
      <c r="F18" s="43">
        <v>7.4960938393399804E-2</v>
      </c>
      <c r="G18" s="43">
        <v>2.6699999347329102E-2</v>
      </c>
      <c r="H18" s="36">
        <v>2.8075258511531902</v>
      </c>
      <c r="I18" s="6"/>
      <c r="J18" s="6"/>
      <c r="K18" s="6"/>
      <c r="L18" s="6"/>
      <c r="M18" s="50"/>
      <c r="N18" s="50"/>
      <c r="O18" s="50"/>
      <c r="P18" s="50"/>
    </row>
    <row r="19" spans="1:16" ht="18" customHeight="1" x14ac:dyDescent="0.15">
      <c r="A19" s="5" t="s">
        <v>1008</v>
      </c>
      <c r="B19" s="6" t="s">
        <v>1017</v>
      </c>
      <c r="C19" s="6" t="s">
        <v>1010</v>
      </c>
      <c r="D19" s="8">
        <v>186932502</v>
      </c>
      <c r="E19" s="8">
        <v>186933502</v>
      </c>
      <c r="F19" s="43">
        <v>0.28634565435982601</v>
      </c>
      <c r="G19" s="43">
        <v>2.9999999329447701E-2</v>
      </c>
      <c r="H19" s="36">
        <v>9.5448553586716791</v>
      </c>
      <c r="I19" s="6"/>
      <c r="J19" s="6"/>
      <c r="K19" s="6"/>
      <c r="L19" s="6"/>
      <c r="M19" s="50"/>
      <c r="N19" s="50"/>
      <c r="O19" s="50"/>
      <c r="P19" s="50"/>
    </row>
    <row r="20" spans="1:16" ht="18" customHeight="1" x14ac:dyDescent="0.15">
      <c r="A20" s="5" t="s">
        <v>1008</v>
      </c>
      <c r="B20" s="6" t="s">
        <v>1017</v>
      </c>
      <c r="C20" s="6" t="s">
        <v>1011</v>
      </c>
      <c r="D20" s="8">
        <v>186929091</v>
      </c>
      <c r="E20" s="8">
        <v>186929594</v>
      </c>
      <c r="F20" s="43">
        <v>0.37810714134857798</v>
      </c>
      <c r="G20" s="43">
        <v>2.9999999329447701E-2</v>
      </c>
      <c r="H20" s="36">
        <v>12.6035716599977</v>
      </c>
      <c r="I20" s="6"/>
      <c r="J20" s="6"/>
      <c r="K20" s="6"/>
      <c r="L20" s="6"/>
      <c r="M20" s="50"/>
      <c r="N20" s="50"/>
      <c r="O20" s="50"/>
      <c r="P20" s="50"/>
    </row>
    <row r="21" spans="1:16" ht="18" customHeight="1" x14ac:dyDescent="0.15">
      <c r="A21" s="5" t="s">
        <v>1008</v>
      </c>
      <c r="B21" s="6" t="s">
        <v>1017</v>
      </c>
      <c r="C21" s="6" t="s">
        <v>1012</v>
      </c>
      <c r="D21" s="8">
        <v>186977021</v>
      </c>
      <c r="E21" s="8">
        <v>186978021</v>
      </c>
      <c r="F21" s="43">
        <v>0.43376823296988198</v>
      </c>
      <c r="G21" s="43">
        <v>2.9999999329447701E-2</v>
      </c>
      <c r="H21" s="36">
        <v>14.458941422178601</v>
      </c>
      <c r="I21" s="6"/>
      <c r="J21" s="6"/>
      <c r="K21" s="6"/>
      <c r="L21" s="6"/>
      <c r="M21" s="50"/>
      <c r="N21" s="50"/>
      <c r="O21" s="50"/>
      <c r="P21" s="50"/>
    </row>
    <row r="22" spans="1:16" ht="18" customHeight="1" x14ac:dyDescent="0.15">
      <c r="A22" s="5" t="s">
        <v>1008</v>
      </c>
      <c r="B22" s="6" t="s">
        <v>1018</v>
      </c>
      <c r="C22" s="6" t="s">
        <v>1010</v>
      </c>
      <c r="D22" s="8">
        <v>186932502</v>
      </c>
      <c r="E22" s="8">
        <v>186933502</v>
      </c>
      <c r="F22" s="43">
        <v>3.58313685255153E-2</v>
      </c>
      <c r="G22" s="43">
        <v>1.1599999852478501E-2</v>
      </c>
      <c r="H22" s="36">
        <v>3.08891111906863</v>
      </c>
      <c r="I22" s="6"/>
      <c r="J22" s="6"/>
      <c r="K22" s="6"/>
      <c r="L22" s="6"/>
      <c r="M22" s="50"/>
      <c r="N22" s="50"/>
      <c r="O22" s="50"/>
      <c r="P22" s="50"/>
    </row>
    <row r="23" spans="1:16" ht="18" customHeight="1" x14ac:dyDescent="0.15">
      <c r="A23" s="5" t="s">
        <v>1008</v>
      </c>
      <c r="B23" s="6" t="s">
        <v>1018</v>
      </c>
      <c r="C23" s="6" t="s">
        <v>1011</v>
      </c>
      <c r="D23" s="8">
        <v>186929091</v>
      </c>
      <c r="E23" s="8">
        <v>186929594</v>
      </c>
      <c r="F23" s="43">
        <v>3.6342063233152901E-2</v>
      </c>
      <c r="G23" s="43">
        <v>1.1599999852478501E-2</v>
      </c>
      <c r="H23" s="36">
        <v>3.13293652545934</v>
      </c>
      <c r="I23" s="6"/>
      <c r="J23" s="6"/>
      <c r="K23" s="6"/>
      <c r="L23" s="6"/>
      <c r="M23" s="50"/>
      <c r="N23" s="50"/>
      <c r="O23" s="50"/>
      <c r="P23" s="50"/>
    </row>
    <row r="24" spans="1:16" ht="18" customHeight="1" x14ac:dyDescent="0.15">
      <c r="A24" s="5" t="s">
        <v>1008</v>
      </c>
      <c r="B24" s="6" t="s">
        <v>1018</v>
      </c>
      <c r="C24" s="6" t="s">
        <v>1012</v>
      </c>
      <c r="D24" s="8">
        <v>186977021</v>
      </c>
      <c r="E24" s="8">
        <v>186978021</v>
      </c>
      <c r="F24" s="43">
        <v>4.80223777615554E-2</v>
      </c>
      <c r="G24" s="43">
        <v>1.1599999852478501E-2</v>
      </c>
      <c r="H24" s="36">
        <v>4.1398602045063599</v>
      </c>
      <c r="I24" s="6"/>
      <c r="J24" s="6"/>
      <c r="K24" s="6"/>
      <c r="L24" s="6"/>
      <c r="M24" s="50"/>
      <c r="N24" s="50"/>
      <c r="O24" s="50"/>
      <c r="P24" s="50"/>
    </row>
    <row r="25" spans="1:16" ht="18" customHeight="1" x14ac:dyDescent="0.15">
      <c r="A25" s="5" t="s">
        <v>1008</v>
      </c>
      <c r="B25" s="6" t="s">
        <v>1019</v>
      </c>
      <c r="C25" s="6" t="s">
        <v>1010</v>
      </c>
      <c r="D25" s="8">
        <v>186932502</v>
      </c>
      <c r="E25" s="8">
        <v>186933502</v>
      </c>
      <c r="F25" s="43">
        <v>0.77820419276749098</v>
      </c>
      <c r="G25" s="43">
        <v>3.7799999117851299E-2</v>
      </c>
      <c r="H25" s="36">
        <v>20.587412987530499</v>
      </c>
      <c r="I25" s="6"/>
      <c r="J25" s="6"/>
      <c r="K25" s="6"/>
      <c r="L25" s="6"/>
      <c r="M25" s="50"/>
      <c r="N25" s="50"/>
      <c r="O25" s="50"/>
      <c r="P25" s="50"/>
    </row>
    <row r="26" spans="1:16" ht="18" customHeight="1" x14ac:dyDescent="0.15">
      <c r="A26" s="5" t="s">
        <v>1008</v>
      </c>
      <c r="B26" s="6" t="s">
        <v>1019</v>
      </c>
      <c r="C26" s="6" t="s">
        <v>1011</v>
      </c>
      <c r="D26" s="8">
        <v>186929091</v>
      </c>
      <c r="E26" s="8">
        <v>186929594</v>
      </c>
      <c r="F26" s="43">
        <v>0.71504999543466297</v>
      </c>
      <c r="G26" s="43">
        <v>3.7799999117851299E-2</v>
      </c>
      <c r="H26" s="36">
        <v>18.916666987353899</v>
      </c>
      <c r="I26" s="6"/>
      <c r="J26" s="6"/>
      <c r="K26" s="6"/>
      <c r="L26" s="6"/>
      <c r="M26" s="50"/>
      <c r="N26" s="50"/>
      <c r="O26" s="50"/>
      <c r="P26" s="50"/>
    </row>
    <row r="27" spans="1:16" ht="18" customHeight="1" x14ac:dyDescent="0.15">
      <c r="A27" s="5" t="s">
        <v>1008</v>
      </c>
      <c r="B27" s="6" t="s">
        <v>1019</v>
      </c>
      <c r="C27" s="6" t="s">
        <v>1012</v>
      </c>
      <c r="D27" s="8">
        <v>186977021</v>
      </c>
      <c r="E27" s="8">
        <v>186978021</v>
      </c>
      <c r="F27" s="43">
        <v>1.13162097733814</v>
      </c>
      <c r="G27" s="43">
        <v>3.7799999117851299E-2</v>
      </c>
      <c r="H27" s="36">
        <v>29.9370635911927</v>
      </c>
      <c r="I27" s="6"/>
      <c r="J27" s="6"/>
      <c r="K27" s="6"/>
      <c r="L27" s="6"/>
      <c r="M27" s="50"/>
      <c r="N27" s="50"/>
      <c r="O27" s="50"/>
      <c r="P27" s="50"/>
    </row>
    <row r="28" spans="1:16" ht="18" customHeight="1" x14ac:dyDescent="0.15">
      <c r="A28" s="5" t="s">
        <v>1008</v>
      </c>
      <c r="B28" s="6" t="s">
        <v>1020</v>
      </c>
      <c r="C28" s="6" t="s">
        <v>1010</v>
      </c>
      <c r="D28" s="8">
        <v>186932502</v>
      </c>
      <c r="E28" s="8">
        <v>186933502</v>
      </c>
      <c r="F28" s="43">
        <v>0.66515844138888103</v>
      </c>
      <c r="G28" s="43">
        <v>2.3399999365210498E-2</v>
      </c>
      <c r="H28" s="36">
        <v>28.425575189450299</v>
      </c>
      <c r="I28" s="6"/>
      <c r="J28" s="6"/>
      <c r="K28" s="6"/>
      <c r="L28" s="6"/>
      <c r="M28" s="50"/>
      <c r="N28" s="50"/>
      <c r="O28" s="50"/>
      <c r="P28" s="50"/>
    </row>
    <row r="29" spans="1:16" ht="18" customHeight="1" x14ac:dyDescent="0.15">
      <c r="A29" s="5" t="s">
        <v>1008</v>
      </c>
      <c r="B29" s="6" t="s">
        <v>1020</v>
      </c>
      <c r="C29" s="6" t="s">
        <v>1011</v>
      </c>
      <c r="D29" s="8">
        <v>186929091</v>
      </c>
      <c r="E29" s="8">
        <v>186929594</v>
      </c>
      <c r="F29" s="43">
        <v>5.9474999558121397E-2</v>
      </c>
      <c r="G29" s="43">
        <v>2.3399999365210498E-2</v>
      </c>
      <c r="H29" s="36">
        <v>2.5416667167326801</v>
      </c>
      <c r="I29" s="6"/>
      <c r="J29" s="6"/>
      <c r="K29" s="6"/>
      <c r="L29" s="6"/>
      <c r="M29" s="50"/>
      <c r="N29" s="50"/>
      <c r="O29" s="50"/>
      <c r="P29" s="50"/>
    </row>
    <row r="30" spans="1:16" ht="18" customHeight="1" x14ac:dyDescent="0.15">
      <c r="A30" s="5" t="s">
        <v>1008</v>
      </c>
      <c r="B30" s="6" t="s">
        <v>1020</v>
      </c>
      <c r="C30" s="6" t="s">
        <v>1012</v>
      </c>
      <c r="D30" s="8">
        <v>186977021</v>
      </c>
      <c r="E30" s="8">
        <v>186978021</v>
      </c>
      <c r="F30" s="43">
        <v>1.6929818118190201</v>
      </c>
      <c r="G30" s="43">
        <v>2.3399999365210498E-2</v>
      </c>
      <c r="H30" s="36">
        <v>72.3496520404195</v>
      </c>
      <c r="I30" s="6"/>
      <c r="J30" s="6"/>
      <c r="K30" s="6"/>
      <c r="L30" s="6"/>
      <c r="M30" s="50"/>
      <c r="N30" s="50"/>
      <c r="O30" s="50"/>
      <c r="P30" s="50"/>
    </row>
    <row r="31" spans="1:16" ht="18" customHeight="1" x14ac:dyDescent="0.15">
      <c r="A31" s="5" t="s">
        <v>1008</v>
      </c>
      <c r="B31" s="6" t="s">
        <v>1021</v>
      </c>
      <c r="C31" s="6" t="s">
        <v>1010</v>
      </c>
      <c r="D31" s="8">
        <v>186932502</v>
      </c>
      <c r="E31" s="8">
        <v>186933502</v>
      </c>
      <c r="F31" s="43">
        <v>0.73244954998438405</v>
      </c>
      <c r="G31" s="43">
        <v>0</v>
      </c>
      <c r="H31" s="36"/>
      <c r="I31" s="6"/>
      <c r="J31" s="6"/>
      <c r="K31" s="6"/>
      <c r="L31" s="6"/>
      <c r="M31" s="50"/>
      <c r="N31" s="50"/>
      <c r="O31" s="50"/>
      <c r="P31" s="50"/>
    </row>
    <row r="32" spans="1:16" ht="18" customHeight="1" x14ac:dyDescent="0.15">
      <c r="A32" s="5" t="s">
        <v>1008</v>
      </c>
      <c r="B32" s="6" t="s">
        <v>1021</v>
      </c>
      <c r="C32" s="6" t="s">
        <v>1011</v>
      </c>
      <c r="D32" s="8">
        <v>186929091</v>
      </c>
      <c r="E32" s="8">
        <v>186929594</v>
      </c>
      <c r="F32" s="43">
        <v>0.51959047938090897</v>
      </c>
      <c r="G32" s="43">
        <v>0</v>
      </c>
      <c r="H32" s="36"/>
      <c r="I32" s="6"/>
      <c r="J32" s="6"/>
      <c r="K32" s="6"/>
      <c r="L32" s="6"/>
      <c r="M32" s="50"/>
      <c r="N32" s="50"/>
      <c r="O32" s="50"/>
      <c r="P32" s="50"/>
    </row>
    <row r="33" spans="1:16" ht="18" customHeight="1" x14ac:dyDescent="0.15">
      <c r="A33" s="5" t="s">
        <v>1008</v>
      </c>
      <c r="B33" s="6" t="s">
        <v>1021</v>
      </c>
      <c r="C33" s="6" t="s">
        <v>1012</v>
      </c>
      <c r="D33" s="8">
        <v>186977021</v>
      </c>
      <c r="E33" s="8">
        <v>186978021</v>
      </c>
      <c r="F33" s="43">
        <v>1.4685266779905</v>
      </c>
      <c r="G33" s="43">
        <v>0</v>
      </c>
      <c r="H33" s="36"/>
      <c r="I33" s="6"/>
      <c r="J33" s="6"/>
      <c r="K33" s="6"/>
      <c r="L33" s="6"/>
      <c r="M33" s="50"/>
      <c r="N33" s="50"/>
      <c r="O33" s="50"/>
      <c r="P33" s="50"/>
    </row>
    <row r="34" spans="1:16" ht="18" customHeight="1" x14ac:dyDescent="0.15">
      <c r="A34" s="5" t="s">
        <v>1022</v>
      </c>
      <c r="B34" s="6" t="s">
        <v>1020</v>
      </c>
      <c r="C34" s="6" t="s">
        <v>1012</v>
      </c>
      <c r="D34" s="8"/>
      <c r="E34" s="8"/>
      <c r="F34" s="43"/>
      <c r="G34" s="43"/>
      <c r="H34" s="36">
        <v>72.3496520404195</v>
      </c>
      <c r="I34" s="6"/>
      <c r="J34" s="6"/>
      <c r="K34" s="6"/>
      <c r="L34" s="6"/>
      <c r="M34" s="50"/>
      <c r="N34" s="50"/>
      <c r="O34" s="50"/>
      <c r="P34" s="50"/>
    </row>
    <row r="35" spans="1:16" ht="18" customHeight="1" x14ac:dyDescent="0.15">
      <c r="A35" s="5" t="s">
        <v>1022</v>
      </c>
      <c r="B35" s="6" t="s">
        <v>1013</v>
      </c>
      <c r="C35" s="6" t="s">
        <v>1012</v>
      </c>
      <c r="D35" s="8"/>
      <c r="E35" s="8"/>
      <c r="F35" s="43"/>
      <c r="G35" s="43"/>
      <c r="H35" s="36">
        <v>2.2877122447281701</v>
      </c>
      <c r="I35" s="6"/>
      <c r="J35" s="6"/>
      <c r="K35" s="6"/>
      <c r="L35" s="6"/>
      <c r="M35" s="50"/>
      <c r="N35" s="50"/>
      <c r="O35" s="50"/>
      <c r="P35" s="50"/>
    </row>
    <row r="36" spans="1:16" ht="18" customHeight="1" x14ac:dyDescent="0.15">
      <c r="A36" s="5" t="s">
        <v>1022</v>
      </c>
      <c r="B36" s="6" t="s">
        <v>1014</v>
      </c>
      <c r="C36" s="6" t="s">
        <v>1012</v>
      </c>
      <c r="D36" s="8"/>
      <c r="E36" s="8"/>
      <c r="F36" s="43"/>
      <c r="G36" s="43"/>
      <c r="H36" s="36">
        <v>7.9844440515045996</v>
      </c>
      <c r="I36" s="6"/>
      <c r="J36" s="6"/>
      <c r="K36" s="6"/>
      <c r="L36" s="6"/>
      <c r="M36" s="50"/>
      <c r="N36" s="50"/>
      <c r="O36" s="50"/>
      <c r="P36" s="50"/>
    </row>
    <row r="37" spans="1:16" ht="18" customHeight="1" x14ac:dyDescent="0.15">
      <c r="A37" s="5" t="s">
        <v>1022</v>
      </c>
      <c r="B37" s="6" t="s">
        <v>1015</v>
      </c>
      <c r="C37" s="6" t="s">
        <v>1012</v>
      </c>
      <c r="D37" s="8"/>
      <c r="E37" s="8"/>
      <c r="F37" s="43"/>
      <c r="G37" s="43"/>
      <c r="H37" s="36">
        <v>6.5804192676279296</v>
      </c>
      <c r="I37" s="6"/>
      <c r="J37" s="6"/>
      <c r="K37" s="6"/>
      <c r="L37" s="6"/>
      <c r="M37" s="50"/>
      <c r="N37" s="50"/>
      <c r="O37" s="50"/>
      <c r="P37" s="50"/>
    </row>
    <row r="38" spans="1:16" ht="18" customHeight="1" x14ac:dyDescent="0.15">
      <c r="A38" s="5" t="s">
        <v>1022</v>
      </c>
      <c r="B38" s="6" t="s">
        <v>1009</v>
      </c>
      <c r="C38" s="6" t="s">
        <v>1012</v>
      </c>
      <c r="D38" s="8"/>
      <c r="E38" s="8"/>
      <c r="F38" s="43"/>
      <c r="G38" s="43"/>
      <c r="H38" s="36">
        <v>2.25907421396272</v>
      </c>
      <c r="I38" s="6"/>
      <c r="J38" s="6"/>
      <c r="K38" s="6"/>
      <c r="L38" s="6"/>
      <c r="M38" s="50"/>
      <c r="N38" s="50"/>
      <c r="O38" s="50"/>
      <c r="P38" s="50"/>
    </row>
    <row r="39" spans="1:16" ht="18" customHeight="1" x14ac:dyDescent="0.15">
      <c r="A39" s="5" t="s">
        <v>1022</v>
      </c>
      <c r="B39" s="6" t="s">
        <v>1021</v>
      </c>
      <c r="C39" s="6" t="s">
        <v>1012</v>
      </c>
      <c r="D39" s="8"/>
      <c r="E39" s="8"/>
      <c r="F39" s="43"/>
      <c r="G39" s="43"/>
      <c r="H39" s="36"/>
      <c r="I39" s="6"/>
      <c r="J39" s="6"/>
      <c r="K39" s="6"/>
      <c r="L39" s="6"/>
      <c r="M39" s="50"/>
      <c r="N39" s="50"/>
      <c r="O39" s="50"/>
      <c r="P39" s="50"/>
    </row>
    <row r="40" spans="1:16" ht="18" customHeight="1" x14ac:dyDescent="0.15">
      <c r="A40" s="5" t="s">
        <v>1022</v>
      </c>
      <c r="B40" s="6" t="s">
        <v>1019</v>
      </c>
      <c r="C40" s="6" t="s">
        <v>1012</v>
      </c>
      <c r="D40" s="8"/>
      <c r="E40" s="8"/>
      <c r="F40" s="43"/>
      <c r="G40" s="43"/>
      <c r="H40" s="36">
        <v>29.9370635911927</v>
      </c>
      <c r="I40" s="6"/>
      <c r="J40" s="6"/>
      <c r="K40" s="6"/>
      <c r="L40" s="6"/>
      <c r="M40" s="50"/>
      <c r="N40" s="50"/>
      <c r="O40" s="50"/>
      <c r="P40" s="50"/>
    </row>
    <row r="41" spans="1:16" ht="18" customHeight="1" x14ac:dyDescent="0.15">
      <c r="A41" s="5" t="s">
        <v>1022</v>
      </c>
      <c r="B41" s="6" t="s">
        <v>1018</v>
      </c>
      <c r="C41" s="6" t="s">
        <v>1012</v>
      </c>
      <c r="D41" s="8"/>
      <c r="E41" s="8"/>
      <c r="F41" s="43"/>
      <c r="G41" s="43"/>
      <c r="H41" s="36">
        <v>4.1398602045063599</v>
      </c>
      <c r="I41" s="6"/>
      <c r="J41" s="6"/>
      <c r="K41" s="6"/>
      <c r="L41" s="6"/>
      <c r="M41" s="50"/>
      <c r="N41" s="50"/>
      <c r="O41" s="50"/>
      <c r="P41" s="50"/>
    </row>
    <row r="42" spans="1:16" ht="18" customHeight="1" x14ac:dyDescent="0.15">
      <c r="A42" s="5" t="s">
        <v>1022</v>
      </c>
      <c r="B42" s="6" t="s">
        <v>1017</v>
      </c>
      <c r="C42" s="6" t="s">
        <v>1012</v>
      </c>
      <c r="D42" s="8"/>
      <c r="E42" s="8"/>
      <c r="F42" s="43"/>
      <c r="G42" s="43"/>
      <c r="H42" s="36">
        <v>14.458941422178601</v>
      </c>
      <c r="I42" s="6"/>
      <c r="J42" s="6"/>
      <c r="K42" s="6"/>
      <c r="L42" s="6"/>
      <c r="M42" s="50"/>
      <c r="N42" s="50"/>
      <c r="O42" s="50"/>
      <c r="P42" s="50"/>
    </row>
    <row r="43" spans="1:16" ht="18" customHeight="1" x14ac:dyDescent="0.15">
      <c r="A43" s="5" t="s">
        <v>1022</v>
      </c>
      <c r="B43" s="6" t="s">
        <v>1016</v>
      </c>
      <c r="C43" s="6" t="s">
        <v>1012</v>
      </c>
      <c r="D43" s="8"/>
      <c r="E43" s="8"/>
      <c r="F43" s="43"/>
      <c r="G43" s="43"/>
      <c r="H43" s="36">
        <v>2.8075258511531902</v>
      </c>
      <c r="I43" s="6"/>
      <c r="J43" s="6"/>
      <c r="K43" s="6"/>
      <c r="L43" s="6"/>
      <c r="M43" s="50"/>
      <c r="N43" s="50"/>
      <c r="O43" s="50"/>
      <c r="P43" s="50"/>
    </row>
    <row r="44" spans="1:16" ht="18" customHeight="1" x14ac:dyDescent="0.15">
      <c r="A44" s="5" t="s">
        <v>1022</v>
      </c>
      <c r="B44" s="6" t="s">
        <v>1020</v>
      </c>
      <c r="C44" s="6" t="s">
        <v>1011</v>
      </c>
      <c r="D44" s="8"/>
      <c r="E44" s="8"/>
      <c r="F44" s="43"/>
      <c r="G44" s="43"/>
      <c r="H44" s="36">
        <v>2.5416667167326801</v>
      </c>
      <c r="I44" s="6"/>
      <c r="J44" s="6"/>
      <c r="K44" s="6"/>
      <c r="L44" s="6"/>
      <c r="M44" s="50"/>
      <c r="N44" s="50"/>
      <c r="O44" s="50"/>
      <c r="P44" s="50"/>
    </row>
    <row r="45" spans="1:16" ht="18" customHeight="1" x14ac:dyDescent="0.15">
      <c r="A45" s="5" t="s">
        <v>1022</v>
      </c>
      <c r="B45" s="6" t="s">
        <v>1013</v>
      </c>
      <c r="C45" s="6" t="s">
        <v>1011</v>
      </c>
      <c r="D45" s="8"/>
      <c r="E45" s="8"/>
      <c r="F45" s="43"/>
      <c r="G45" s="43"/>
      <c r="H45" s="36">
        <v>25.755158245900599</v>
      </c>
      <c r="I45" s="6"/>
      <c r="J45" s="6"/>
      <c r="K45" s="6"/>
      <c r="L45" s="6"/>
      <c r="M45" s="50"/>
      <c r="N45" s="50"/>
      <c r="O45" s="50"/>
      <c r="P45" s="50"/>
    </row>
    <row r="46" spans="1:16" ht="18" customHeight="1" x14ac:dyDescent="0.15">
      <c r="A46" s="5" t="s">
        <v>1022</v>
      </c>
      <c r="B46" s="6" t="s">
        <v>1014</v>
      </c>
      <c r="C46" s="6" t="s">
        <v>1011</v>
      </c>
      <c r="D46" s="8"/>
      <c r="E46" s="8"/>
      <c r="F46" s="43"/>
      <c r="G46" s="43"/>
      <c r="H46" s="36">
        <v>24.8767004197936</v>
      </c>
      <c r="I46" s="6"/>
      <c r="J46" s="6"/>
      <c r="K46" s="6"/>
      <c r="L46" s="6"/>
      <c r="M46" s="50"/>
      <c r="N46" s="50"/>
      <c r="O46" s="50"/>
      <c r="P46" s="50"/>
    </row>
    <row r="47" spans="1:16" ht="18" customHeight="1" x14ac:dyDescent="0.15">
      <c r="A47" s="5" t="s">
        <v>1022</v>
      </c>
      <c r="B47" s="6" t="s">
        <v>1015</v>
      </c>
      <c r="C47" s="6" t="s">
        <v>1011</v>
      </c>
      <c r="D47" s="8"/>
      <c r="E47" s="8"/>
      <c r="F47" s="43"/>
      <c r="G47" s="43"/>
      <c r="H47" s="36">
        <v>29.686506779779702</v>
      </c>
      <c r="I47" s="6"/>
      <c r="J47" s="6"/>
      <c r="K47" s="6"/>
      <c r="L47" s="6"/>
      <c r="M47" s="50"/>
      <c r="N47" s="50"/>
      <c r="O47" s="50"/>
      <c r="P47" s="50"/>
    </row>
    <row r="48" spans="1:16" ht="18" customHeight="1" x14ac:dyDescent="0.15">
      <c r="A48" s="5" t="s">
        <v>1022</v>
      </c>
      <c r="B48" s="6" t="s">
        <v>1009</v>
      </c>
      <c r="C48" s="6" t="s">
        <v>1011</v>
      </c>
      <c r="D48" s="8"/>
      <c r="E48" s="8"/>
      <c r="F48" s="43"/>
      <c r="G48" s="43"/>
      <c r="H48" s="36">
        <v>27.607804001856898</v>
      </c>
      <c r="I48" s="6"/>
      <c r="J48" s="6"/>
      <c r="K48" s="6"/>
      <c r="L48" s="6"/>
      <c r="M48" s="50"/>
      <c r="N48" s="50"/>
      <c r="O48" s="50"/>
      <c r="P48" s="50"/>
    </row>
    <row r="49" spans="1:16" ht="18" customHeight="1" x14ac:dyDescent="0.15">
      <c r="A49" s="5" t="s">
        <v>1022</v>
      </c>
      <c r="B49" s="6" t="s">
        <v>1021</v>
      </c>
      <c r="C49" s="6" t="s">
        <v>1011</v>
      </c>
      <c r="D49" s="8"/>
      <c r="E49" s="8"/>
      <c r="F49" s="43"/>
      <c r="G49" s="43"/>
      <c r="H49" s="36"/>
      <c r="I49" s="6"/>
      <c r="J49" s="6"/>
      <c r="K49" s="6"/>
      <c r="L49" s="6"/>
      <c r="M49" s="50"/>
      <c r="N49" s="50"/>
      <c r="O49" s="50"/>
      <c r="P49" s="50"/>
    </row>
    <row r="50" spans="1:16" ht="18" customHeight="1" x14ac:dyDescent="0.15">
      <c r="A50" s="5" t="s">
        <v>1022</v>
      </c>
      <c r="B50" s="6" t="s">
        <v>1019</v>
      </c>
      <c r="C50" s="6" t="s">
        <v>1011</v>
      </c>
      <c r="D50" s="8"/>
      <c r="E50" s="8"/>
      <c r="F50" s="43"/>
      <c r="G50" s="43"/>
      <c r="H50" s="36">
        <v>18.916666987353899</v>
      </c>
      <c r="I50" s="6"/>
      <c r="J50" s="6"/>
      <c r="K50" s="6"/>
      <c r="L50" s="6"/>
      <c r="M50" s="50"/>
      <c r="N50" s="50"/>
      <c r="O50" s="50"/>
      <c r="P50" s="50"/>
    </row>
    <row r="51" spans="1:16" ht="18" customHeight="1" x14ac:dyDescent="0.15">
      <c r="A51" s="5" t="s">
        <v>1022</v>
      </c>
      <c r="B51" s="6" t="s">
        <v>1018</v>
      </c>
      <c r="C51" s="6" t="s">
        <v>1011</v>
      </c>
      <c r="D51" s="8"/>
      <c r="E51" s="8"/>
      <c r="F51" s="43"/>
      <c r="G51" s="43"/>
      <c r="H51" s="36">
        <v>3.13293652545934</v>
      </c>
      <c r="I51" s="6"/>
      <c r="J51" s="6"/>
      <c r="K51" s="6"/>
      <c r="L51" s="6"/>
      <c r="M51" s="50"/>
      <c r="N51" s="50"/>
      <c r="O51" s="50"/>
      <c r="P51" s="50"/>
    </row>
    <row r="52" spans="1:16" ht="18" customHeight="1" x14ac:dyDescent="0.15">
      <c r="A52" s="5" t="s">
        <v>1022</v>
      </c>
      <c r="B52" s="6" t="s">
        <v>1017</v>
      </c>
      <c r="C52" s="6" t="s">
        <v>1011</v>
      </c>
      <c r="D52" s="8"/>
      <c r="E52" s="8"/>
      <c r="F52" s="43"/>
      <c r="G52" s="43"/>
      <c r="H52" s="36">
        <v>12.6035716599977</v>
      </c>
      <c r="I52" s="6"/>
      <c r="J52" s="6"/>
      <c r="K52" s="6"/>
      <c r="L52" s="6"/>
      <c r="M52" s="50"/>
      <c r="N52" s="50"/>
      <c r="O52" s="50"/>
      <c r="P52" s="50"/>
    </row>
    <row r="53" spans="1:16" ht="18" customHeight="1" x14ac:dyDescent="0.15">
      <c r="A53" s="5" t="s">
        <v>1022</v>
      </c>
      <c r="B53" s="6" t="s">
        <v>1016</v>
      </c>
      <c r="C53" s="6" t="s">
        <v>1011</v>
      </c>
      <c r="D53" s="8"/>
      <c r="E53" s="8"/>
      <c r="F53" s="43"/>
      <c r="G53" s="43"/>
      <c r="H53" s="36">
        <v>12.047619365423699</v>
      </c>
      <c r="I53" s="6"/>
      <c r="J53" s="6"/>
      <c r="K53" s="6"/>
      <c r="L53" s="6"/>
      <c r="M53" s="50"/>
      <c r="N53" s="50"/>
      <c r="O53" s="50"/>
      <c r="P53" s="50"/>
    </row>
    <row r="54" spans="1:16" ht="18" customHeight="1" x14ac:dyDescent="0.15">
      <c r="A54" s="5" t="s">
        <v>1022</v>
      </c>
      <c r="B54" s="6" t="s">
        <v>1020</v>
      </c>
      <c r="C54" s="6" t="s">
        <v>1010</v>
      </c>
      <c r="D54" s="8"/>
      <c r="E54" s="8"/>
      <c r="F54" s="43"/>
      <c r="G54" s="43"/>
      <c r="H54" s="36">
        <v>28.425575189450299</v>
      </c>
      <c r="I54" s="6"/>
      <c r="J54" s="6"/>
      <c r="K54" s="6"/>
      <c r="L54" s="6"/>
      <c r="M54" s="50"/>
      <c r="N54" s="50"/>
      <c r="O54" s="50"/>
      <c r="P54" s="50"/>
    </row>
    <row r="55" spans="1:16" ht="18" customHeight="1" x14ac:dyDescent="0.15">
      <c r="A55" s="5" t="s">
        <v>1022</v>
      </c>
      <c r="B55" s="6" t="s">
        <v>1013</v>
      </c>
      <c r="C55" s="6" t="s">
        <v>1010</v>
      </c>
      <c r="D55" s="8"/>
      <c r="E55" s="8"/>
      <c r="F55" s="43"/>
      <c r="G55" s="43"/>
      <c r="H55" s="36">
        <v>11.228171644758</v>
      </c>
      <c r="I55" s="6"/>
      <c r="J55" s="6"/>
      <c r="K55" s="6"/>
      <c r="L55" s="6"/>
      <c r="M55" s="50"/>
      <c r="N55" s="50"/>
      <c r="O55" s="50"/>
      <c r="P55" s="50"/>
    </row>
    <row r="56" spans="1:16" ht="18" customHeight="1" x14ac:dyDescent="0.15">
      <c r="A56" s="5" t="s">
        <v>1022</v>
      </c>
      <c r="B56" s="6" t="s">
        <v>1014</v>
      </c>
      <c r="C56" s="6" t="s">
        <v>1010</v>
      </c>
      <c r="D56" s="8"/>
      <c r="E56" s="8"/>
      <c r="F56" s="43"/>
      <c r="G56" s="43"/>
      <c r="H56" s="36">
        <v>14.655059068366301</v>
      </c>
      <c r="I56" s="6"/>
      <c r="J56" s="6"/>
      <c r="K56" s="6"/>
      <c r="L56" s="6"/>
      <c r="M56" s="50"/>
      <c r="N56" s="50"/>
      <c r="O56" s="50"/>
      <c r="P56" s="50"/>
    </row>
    <row r="57" spans="1:16" ht="18" customHeight="1" x14ac:dyDescent="0.15">
      <c r="A57" s="5" t="s">
        <v>1022</v>
      </c>
      <c r="B57" s="6" t="s">
        <v>1015</v>
      </c>
      <c r="C57" s="6" t="s">
        <v>1010</v>
      </c>
      <c r="D57" s="8"/>
      <c r="E57" s="8"/>
      <c r="F57" s="43"/>
      <c r="G57" s="43"/>
      <c r="H57" s="36">
        <v>14.5644349215374</v>
      </c>
      <c r="I57" s="6"/>
      <c r="J57" s="6"/>
      <c r="K57" s="6"/>
      <c r="L57" s="6"/>
      <c r="M57" s="50"/>
      <c r="N57" s="50"/>
      <c r="O57" s="50"/>
      <c r="P57" s="50"/>
    </row>
    <row r="58" spans="1:16" ht="18" customHeight="1" x14ac:dyDescent="0.15">
      <c r="A58" s="5" t="s">
        <v>1022</v>
      </c>
      <c r="B58" s="6" t="s">
        <v>1009</v>
      </c>
      <c r="C58" s="6" t="s">
        <v>1010</v>
      </c>
      <c r="D58" s="8"/>
      <c r="E58" s="8"/>
      <c r="F58" s="43"/>
      <c r="G58" s="43"/>
      <c r="H58" s="36">
        <v>12.4232432447935</v>
      </c>
      <c r="I58" s="6"/>
      <c r="J58" s="6"/>
      <c r="K58" s="6"/>
      <c r="L58" s="6"/>
      <c r="M58" s="50"/>
      <c r="N58" s="50"/>
      <c r="O58" s="50"/>
      <c r="P58" s="50"/>
    </row>
    <row r="59" spans="1:16" ht="18" customHeight="1" x14ac:dyDescent="0.15">
      <c r="A59" s="5" t="s">
        <v>1022</v>
      </c>
      <c r="B59" s="6" t="s">
        <v>1021</v>
      </c>
      <c r="C59" s="6" t="s">
        <v>1010</v>
      </c>
      <c r="D59" s="8"/>
      <c r="E59" s="8"/>
      <c r="F59" s="43"/>
      <c r="G59" s="43"/>
      <c r="H59" s="36"/>
      <c r="I59" s="6"/>
      <c r="J59" s="6"/>
      <c r="K59" s="6"/>
      <c r="L59" s="6"/>
      <c r="M59" s="50"/>
      <c r="N59" s="50"/>
      <c r="O59" s="50"/>
      <c r="P59" s="50"/>
    </row>
    <row r="60" spans="1:16" ht="18" customHeight="1" x14ac:dyDescent="0.15">
      <c r="A60" s="5" t="s">
        <v>1022</v>
      </c>
      <c r="B60" s="6" t="s">
        <v>1019</v>
      </c>
      <c r="C60" s="6" t="s">
        <v>1010</v>
      </c>
      <c r="D60" s="8"/>
      <c r="E60" s="8"/>
      <c r="F60" s="43"/>
      <c r="G60" s="43"/>
      <c r="H60" s="36">
        <v>20.587412987530499</v>
      </c>
      <c r="I60" s="6"/>
      <c r="J60" s="6"/>
      <c r="K60" s="6"/>
      <c r="L60" s="6"/>
      <c r="M60" s="50"/>
      <c r="N60" s="50"/>
      <c r="O60" s="50"/>
      <c r="P60" s="50"/>
    </row>
    <row r="61" spans="1:16" ht="18" customHeight="1" x14ac:dyDescent="0.15">
      <c r="A61" s="5" t="s">
        <v>1022</v>
      </c>
      <c r="B61" s="6" t="s">
        <v>1018</v>
      </c>
      <c r="C61" s="6" t="s">
        <v>1010</v>
      </c>
      <c r="D61" s="8"/>
      <c r="E61" s="8"/>
      <c r="F61" s="43"/>
      <c r="G61" s="43"/>
      <c r="H61" s="36">
        <v>3.08891111906863</v>
      </c>
      <c r="I61" s="6"/>
      <c r="J61" s="6"/>
      <c r="K61" s="6"/>
      <c r="L61" s="6"/>
      <c r="M61" s="50"/>
      <c r="N61" s="50"/>
      <c r="O61" s="50"/>
      <c r="P61" s="50"/>
    </row>
    <row r="62" spans="1:16" ht="18" customHeight="1" x14ac:dyDescent="0.15">
      <c r="A62" s="5" t="s">
        <v>1022</v>
      </c>
      <c r="B62" s="6" t="s">
        <v>1017</v>
      </c>
      <c r="C62" s="6" t="s">
        <v>1010</v>
      </c>
      <c r="D62" s="8"/>
      <c r="E62" s="8"/>
      <c r="F62" s="43"/>
      <c r="G62" s="43"/>
      <c r="H62" s="36">
        <v>9.5448553586716791</v>
      </c>
      <c r="I62" s="6"/>
      <c r="J62" s="6"/>
      <c r="K62" s="6"/>
      <c r="L62" s="6"/>
      <c r="M62" s="50"/>
      <c r="N62" s="50"/>
      <c r="O62" s="50"/>
      <c r="P62" s="50"/>
    </row>
    <row r="63" spans="1:16" ht="18" customHeight="1" x14ac:dyDescent="0.15">
      <c r="A63" s="5" t="s">
        <v>1022</v>
      </c>
      <c r="B63" s="6" t="s">
        <v>1016</v>
      </c>
      <c r="C63" s="6" t="s">
        <v>1010</v>
      </c>
      <c r="D63" s="8"/>
      <c r="E63" s="8"/>
      <c r="F63" s="43"/>
      <c r="G63" s="43"/>
      <c r="H63" s="36">
        <v>8.00233114750006</v>
      </c>
      <c r="I63" s="6"/>
      <c r="J63" s="6"/>
      <c r="K63" s="6"/>
      <c r="L63" s="6"/>
      <c r="M63" s="50"/>
      <c r="N63" s="50"/>
      <c r="O63" s="50"/>
      <c r="P63" s="50"/>
    </row>
    <row r="64" spans="1:16" ht="18" customHeight="1" x14ac:dyDescent="0.15">
      <c r="A64" s="5" t="s">
        <v>1023</v>
      </c>
      <c r="B64" s="6" t="s">
        <v>1024</v>
      </c>
      <c r="C64" s="6"/>
      <c r="D64" s="8"/>
      <c r="E64" s="8"/>
      <c r="F64" s="43"/>
      <c r="G64" s="43"/>
      <c r="H64" s="36"/>
      <c r="I64" s="6" t="s">
        <v>1025</v>
      </c>
      <c r="J64" s="6" t="s">
        <v>1026</v>
      </c>
      <c r="K64" s="6">
        <v>79</v>
      </c>
      <c r="L64" s="6" t="s">
        <v>1027</v>
      </c>
      <c r="M64" s="50">
        <v>0.67497304701841998</v>
      </c>
      <c r="N64" s="50">
        <v>-2.9284323271665039E-2</v>
      </c>
      <c r="O64" s="50">
        <v>0.79780339276908774</v>
      </c>
      <c r="P64" s="50">
        <v>0.88957522265639943</v>
      </c>
    </row>
    <row r="65" spans="1:16" ht="18" customHeight="1" x14ac:dyDescent="0.15">
      <c r="A65" s="5" t="s">
        <v>1023</v>
      </c>
      <c r="B65" s="6" t="s">
        <v>1024</v>
      </c>
      <c r="C65" s="6"/>
      <c r="D65" s="8"/>
      <c r="E65" s="8"/>
      <c r="F65" s="43"/>
      <c r="G65" s="43"/>
      <c r="H65" s="36"/>
      <c r="I65" s="6" t="s">
        <v>1025</v>
      </c>
      <c r="J65" s="6" t="s">
        <v>1028</v>
      </c>
      <c r="K65" s="6">
        <v>79</v>
      </c>
      <c r="L65" s="6" t="s">
        <v>1029</v>
      </c>
      <c r="M65" s="50">
        <v>0.68267654632218755</v>
      </c>
      <c r="N65" s="50">
        <v>-8.9362220058422592E-2</v>
      </c>
      <c r="O65" s="50">
        <v>0.43352291124234188</v>
      </c>
      <c r="P65" s="50">
        <v>0.88957522265639943</v>
      </c>
    </row>
    <row r="66" spans="1:16" ht="18" customHeight="1" x14ac:dyDescent="0.15">
      <c r="A66" s="5" t="s">
        <v>1023</v>
      </c>
      <c r="B66" s="6" t="s">
        <v>1030</v>
      </c>
      <c r="C66" s="6"/>
      <c r="D66" s="8"/>
      <c r="E66" s="8"/>
      <c r="F66" s="43"/>
      <c r="G66" s="43"/>
      <c r="H66" s="36"/>
      <c r="I66" s="6" t="s">
        <v>1025</v>
      </c>
      <c r="J66" s="6" t="s">
        <v>1026</v>
      </c>
      <c r="K66" s="6">
        <v>80</v>
      </c>
      <c r="L66" s="6" t="s">
        <v>1031</v>
      </c>
      <c r="M66" s="50">
        <v>0.1409424902396271</v>
      </c>
      <c r="N66" s="50">
        <v>3.9217065166432259E-2</v>
      </c>
      <c r="O66" s="50">
        <v>0.72980838488934963</v>
      </c>
      <c r="P66" s="50">
        <v>0.88957522265639943</v>
      </c>
    </row>
    <row r="67" spans="1:16" ht="18" customHeight="1" x14ac:dyDescent="0.15">
      <c r="A67" s="5" t="s">
        <v>1023</v>
      </c>
      <c r="B67" s="6" t="s">
        <v>1030</v>
      </c>
      <c r="C67" s="6"/>
      <c r="D67" s="8"/>
      <c r="E67" s="8"/>
      <c r="F67" s="43"/>
      <c r="G67" s="43"/>
      <c r="H67" s="36"/>
      <c r="I67" s="6" t="s">
        <v>1025</v>
      </c>
      <c r="J67" s="6" t="s">
        <v>1028</v>
      </c>
      <c r="K67" s="6">
        <v>80</v>
      </c>
      <c r="L67" s="6" t="s">
        <v>1032</v>
      </c>
      <c r="M67" s="50">
        <v>0.88957522265639943</v>
      </c>
      <c r="N67" s="50">
        <v>-8.2900157644166403E-2</v>
      </c>
      <c r="O67" s="50">
        <v>0.46473549316570117</v>
      </c>
      <c r="P67" s="50">
        <v>0.88957522265639943</v>
      </c>
    </row>
    <row r="68" spans="1:16" ht="18" customHeight="1" x14ac:dyDescent="0.15">
      <c r="A68" s="5" t="s">
        <v>1023</v>
      </c>
      <c r="B68" s="6" t="s">
        <v>1033</v>
      </c>
      <c r="C68" s="6"/>
      <c r="D68" s="8"/>
      <c r="E68" s="8"/>
      <c r="F68" s="43"/>
      <c r="G68" s="43"/>
      <c r="H68" s="36"/>
      <c r="I68" s="6" t="s">
        <v>1025</v>
      </c>
      <c r="J68" s="6" t="s">
        <v>1026</v>
      </c>
      <c r="K68" s="6">
        <v>84</v>
      </c>
      <c r="L68" s="6" t="s">
        <v>1034</v>
      </c>
      <c r="M68" s="50">
        <v>0.82589845674627205</v>
      </c>
      <c r="N68" s="50">
        <v>1.150146805710236E-2</v>
      </c>
      <c r="O68" s="50">
        <v>0.91729900437563539</v>
      </c>
      <c r="P68" s="50">
        <v>0.88957522265639943</v>
      </c>
    </row>
    <row r="69" spans="1:16" ht="18" customHeight="1" x14ac:dyDescent="0.15">
      <c r="A69" s="5" t="s">
        <v>1023</v>
      </c>
      <c r="B69" s="6" t="s">
        <v>1033</v>
      </c>
      <c r="C69" s="6"/>
      <c r="D69" s="8"/>
      <c r="E69" s="8"/>
      <c r="F69" s="43"/>
      <c r="G69" s="43"/>
      <c r="H69" s="36"/>
      <c r="I69" s="6" t="s">
        <v>1025</v>
      </c>
      <c r="J69" s="6" t="s">
        <v>1028</v>
      </c>
      <c r="K69" s="6">
        <v>84</v>
      </c>
      <c r="L69" s="6" t="s">
        <v>1035</v>
      </c>
      <c r="M69" s="50">
        <v>0.78571958142055565</v>
      </c>
      <c r="N69" s="50">
        <v>2.308439981033783E-2</v>
      </c>
      <c r="O69" s="50">
        <v>0.83489354161499396</v>
      </c>
      <c r="P69" s="50">
        <v>0.88957522265639943</v>
      </c>
    </row>
    <row r="70" spans="1:16" ht="18" customHeight="1" x14ac:dyDescent="0.15">
      <c r="A70" s="5" t="s">
        <v>1023</v>
      </c>
      <c r="B70" s="6" t="s">
        <v>1036</v>
      </c>
      <c r="C70" s="6"/>
      <c r="D70" s="8"/>
      <c r="E70" s="8"/>
      <c r="F70" s="43"/>
      <c r="G70" s="43"/>
      <c r="H70" s="36"/>
      <c r="I70" s="6" t="s">
        <v>1025</v>
      </c>
      <c r="J70" s="6" t="s">
        <v>1026</v>
      </c>
      <c r="K70" s="6">
        <v>80</v>
      </c>
      <c r="L70" s="6" t="s">
        <v>1037</v>
      </c>
      <c r="M70" s="50">
        <v>0.36614042530550173</v>
      </c>
      <c r="N70" s="50">
        <v>-9.052977027660572E-2</v>
      </c>
      <c r="O70" s="50">
        <v>0.42451030635843412</v>
      </c>
      <c r="P70" s="50">
        <v>0.88957522265639943</v>
      </c>
    </row>
    <row r="71" spans="1:16" ht="18" customHeight="1" x14ac:dyDescent="0.15">
      <c r="A71" s="5" t="s">
        <v>1023</v>
      </c>
      <c r="B71" s="6" t="s">
        <v>1036</v>
      </c>
      <c r="C71" s="6"/>
      <c r="D71" s="8"/>
      <c r="E71" s="8"/>
      <c r="F71" s="43"/>
      <c r="G71" s="43"/>
      <c r="H71" s="36"/>
      <c r="I71" s="6" t="s">
        <v>1025</v>
      </c>
      <c r="J71" s="6" t="s">
        <v>1028</v>
      </c>
      <c r="K71" s="6">
        <v>80</v>
      </c>
      <c r="L71" s="6" t="s">
        <v>1038</v>
      </c>
      <c r="M71" s="50">
        <v>0.5738375659805709</v>
      </c>
      <c r="N71" s="50">
        <v>-0.107949084630799</v>
      </c>
      <c r="O71" s="50">
        <v>0.34052981317850739</v>
      </c>
      <c r="P71" s="50">
        <v>0.88957522265639943</v>
      </c>
    </row>
    <row r="72" spans="1:16" ht="18" customHeight="1" x14ac:dyDescent="0.15">
      <c r="A72" s="5" t="s">
        <v>1023</v>
      </c>
      <c r="B72" s="6" t="s">
        <v>1024</v>
      </c>
      <c r="C72" s="6"/>
      <c r="D72" s="8"/>
      <c r="E72" s="8"/>
      <c r="F72" s="43"/>
      <c r="G72" s="43"/>
      <c r="H72" s="36"/>
      <c r="I72" s="6" t="s">
        <v>1039</v>
      </c>
      <c r="J72" s="6" t="s">
        <v>1040</v>
      </c>
      <c r="K72" s="6">
        <v>79</v>
      </c>
      <c r="L72" s="6" t="s">
        <v>1041</v>
      </c>
      <c r="M72" s="50">
        <v>0.2230335051069432</v>
      </c>
      <c r="N72" s="50">
        <v>0.17034796017893161</v>
      </c>
      <c r="O72" s="50">
        <v>0.13336942679383171</v>
      </c>
      <c r="P72" s="50">
        <v>0.50182538649062225</v>
      </c>
    </row>
    <row r="73" spans="1:16" ht="18" customHeight="1" x14ac:dyDescent="0.15">
      <c r="A73" s="5" t="s">
        <v>1023</v>
      </c>
      <c r="B73" s="6" t="s">
        <v>1024</v>
      </c>
      <c r="C73" s="6"/>
      <c r="D73" s="8"/>
      <c r="E73" s="8"/>
      <c r="F73" s="43"/>
      <c r="G73" s="43"/>
      <c r="H73" s="36"/>
      <c r="I73" s="6" t="s">
        <v>1039</v>
      </c>
      <c r="J73" s="6" t="s">
        <v>1042</v>
      </c>
      <c r="K73" s="6">
        <v>79</v>
      </c>
      <c r="L73" s="6" t="s">
        <v>1043</v>
      </c>
      <c r="M73" s="50">
        <v>0.30724630660464819</v>
      </c>
      <c r="N73" s="50">
        <v>1.8695893520818081E-2</v>
      </c>
      <c r="O73" s="50">
        <v>0.87009459049118409</v>
      </c>
      <c r="P73" s="50">
        <v>0.55304335188836673</v>
      </c>
    </row>
    <row r="74" spans="1:16" ht="18" customHeight="1" x14ac:dyDescent="0.15">
      <c r="A74" s="5" t="s">
        <v>1023</v>
      </c>
      <c r="B74" s="6" t="s">
        <v>1024</v>
      </c>
      <c r="C74" s="6"/>
      <c r="D74" s="8"/>
      <c r="E74" s="8"/>
      <c r="F74" s="43"/>
      <c r="G74" s="43"/>
      <c r="H74" s="36"/>
      <c r="I74" s="6" t="s">
        <v>1039</v>
      </c>
      <c r="J74" s="6" t="s">
        <v>1044</v>
      </c>
      <c r="K74" s="6">
        <v>79</v>
      </c>
      <c r="L74" s="6" t="s">
        <v>1045</v>
      </c>
      <c r="M74" s="50">
        <v>0.87128966556558574</v>
      </c>
      <c r="N74" s="50">
        <v>-1.3612234755863E-2</v>
      </c>
      <c r="O74" s="50">
        <v>0.90522368333859959</v>
      </c>
      <c r="P74" s="50">
        <v>0.99447949852141915</v>
      </c>
    </row>
    <row r="75" spans="1:16" ht="18" customHeight="1" x14ac:dyDescent="0.15">
      <c r="A75" s="5" t="s">
        <v>1023</v>
      </c>
      <c r="B75" s="6" t="s">
        <v>1024</v>
      </c>
      <c r="C75" s="6"/>
      <c r="D75" s="8"/>
      <c r="E75" s="8"/>
      <c r="F75" s="43"/>
      <c r="G75" s="43"/>
      <c r="H75" s="36"/>
      <c r="I75" s="6" t="s">
        <v>1039</v>
      </c>
      <c r="J75" s="6" t="s">
        <v>1046</v>
      </c>
      <c r="K75" s="6">
        <v>79</v>
      </c>
      <c r="L75" s="6" t="s">
        <v>1047</v>
      </c>
      <c r="M75" s="50">
        <v>0.788346449834467</v>
      </c>
      <c r="N75" s="50">
        <v>-3.1645569620253167E-2</v>
      </c>
      <c r="O75" s="50">
        <v>0.78188909977755139</v>
      </c>
      <c r="P75" s="50">
        <v>0.96751609752411838</v>
      </c>
    </row>
    <row r="76" spans="1:16" ht="18" customHeight="1" x14ac:dyDescent="0.15">
      <c r="A76" s="5" t="s">
        <v>1023</v>
      </c>
      <c r="B76" s="6" t="s">
        <v>1024</v>
      </c>
      <c r="C76" s="6"/>
      <c r="D76" s="8"/>
      <c r="E76" s="8"/>
      <c r="F76" s="43"/>
      <c r="G76" s="43"/>
      <c r="H76" s="36"/>
      <c r="I76" s="6" t="s">
        <v>1039</v>
      </c>
      <c r="J76" s="6" t="s">
        <v>1048</v>
      </c>
      <c r="K76" s="6">
        <v>79</v>
      </c>
      <c r="L76" s="6" t="s">
        <v>1049</v>
      </c>
      <c r="M76" s="50">
        <v>0.33205783742464928</v>
      </c>
      <c r="N76" s="50">
        <v>-0.19654333008763389</v>
      </c>
      <c r="O76" s="50">
        <v>8.2555467355150541E-2</v>
      </c>
      <c r="P76" s="50">
        <v>0.56034760065409572</v>
      </c>
    </row>
    <row r="77" spans="1:16" ht="18" customHeight="1" x14ac:dyDescent="0.15">
      <c r="A77" s="5" t="s">
        <v>1023</v>
      </c>
      <c r="B77" s="6" t="s">
        <v>1024</v>
      </c>
      <c r="C77" s="6"/>
      <c r="D77" s="8"/>
      <c r="E77" s="8"/>
      <c r="F77" s="43"/>
      <c r="G77" s="43"/>
      <c r="H77" s="36"/>
      <c r="I77" s="6" t="s">
        <v>1039</v>
      </c>
      <c r="J77" s="6" t="s">
        <v>1050</v>
      </c>
      <c r="K77" s="6">
        <v>79</v>
      </c>
      <c r="L77" s="6" t="s">
        <v>1051</v>
      </c>
      <c r="M77" s="50">
        <v>8.8655143894549482E-2</v>
      </c>
      <c r="N77" s="50">
        <v>-9.1991236611489779E-2</v>
      </c>
      <c r="O77" s="50">
        <v>0.42006110845494549</v>
      </c>
      <c r="P77" s="50">
        <v>0.39894814752547259</v>
      </c>
    </row>
    <row r="78" spans="1:16" ht="18" customHeight="1" x14ac:dyDescent="0.15">
      <c r="A78" s="5" t="s">
        <v>1023</v>
      </c>
      <c r="B78" s="6" t="s">
        <v>1024</v>
      </c>
      <c r="C78" s="6"/>
      <c r="D78" s="8"/>
      <c r="E78" s="8"/>
      <c r="F78" s="43"/>
      <c r="G78" s="43"/>
      <c r="H78" s="36"/>
      <c r="I78" s="6" t="s">
        <v>1039</v>
      </c>
      <c r="J78" s="6" t="s">
        <v>1052</v>
      </c>
      <c r="K78" s="6">
        <v>79</v>
      </c>
      <c r="L78" s="6" t="s">
        <v>1053</v>
      </c>
      <c r="M78" s="50">
        <v>0.9994660635042284</v>
      </c>
      <c r="N78" s="50">
        <v>-0.1088851022395326</v>
      </c>
      <c r="O78" s="50">
        <v>0.33947148956025641</v>
      </c>
      <c r="P78" s="50">
        <v>0.9994660635042284</v>
      </c>
    </row>
    <row r="79" spans="1:16" ht="18" customHeight="1" x14ac:dyDescent="0.15">
      <c r="A79" s="5" t="s">
        <v>1023</v>
      </c>
      <c r="B79" s="6" t="s">
        <v>1024</v>
      </c>
      <c r="C79" s="6"/>
      <c r="D79" s="8"/>
      <c r="E79" s="8"/>
      <c r="F79" s="43"/>
      <c r="G79" s="43"/>
      <c r="H79" s="36"/>
      <c r="I79" s="6" t="s">
        <v>1039</v>
      </c>
      <c r="J79" s="6" t="s">
        <v>1054</v>
      </c>
      <c r="K79" s="6">
        <v>79</v>
      </c>
      <c r="L79" s="6" t="s">
        <v>1055</v>
      </c>
      <c r="M79" s="50">
        <v>0.63473168016943315</v>
      </c>
      <c r="N79" s="50">
        <v>-8.8607594936708795E-3</v>
      </c>
      <c r="O79" s="50">
        <v>0.93822392659712039</v>
      </c>
      <c r="P79" s="50">
        <v>0.90198712445129958</v>
      </c>
    </row>
    <row r="80" spans="1:16" ht="18" customHeight="1" x14ac:dyDescent="0.15">
      <c r="A80" s="5" t="s">
        <v>1023</v>
      </c>
      <c r="B80" s="6" t="s">
        <v>1024</v>
      </c>
      <c r="C80" s="6"/>
      <c r="D80" s="8"/>
      <c r="E80" s="8"/>
      <c r="F80" s="43"/>
      <c r="G80" s="43"/>
      <c r="H80" s="36"/>
      <c r="I80" s="6" t="s">
        <v>1039</v>
      </c>
      <c r="J80" s="6" t="s">
        <v>1056</v>
      </c>
      <c r="K80" s="6">
        <v>79</v>
      </c>
      <c r="L80" s="6" t="s">
        <v>1057</v>
      </c>
      <c r="M80" s="50">
        <v>0.92081435048279558</v>
      </c>
      <c r="N80" s="50">
        <v>3.8193768257059391E-2</v>
      </c>
      <c r="O80" s="50">
        <v>0.73824021563680586</v>
      </c>
      <c r="P80" s="50">
        <v>0.99447949852141915</v>
      </c>
    </row>
    <row r="81" spans="1:16" ht="18" customHeight="1" x14ac:dyDescent="0.15">
      <c r="A81" s="5" t="s">
        <v>1023</v>
      </c>
      <c r="B81" s="6" t="s">
        <v>1024</v>
      </c>
      <c r="C81" s="6"/>
      <c r="D81" s="8"/>
      <c r="E81" s="8"/>
      <c r="F81" s="43"/>
      <c r="G81" s="43"/>
      <c r="H81" s="36"/>
      <c r="I81" s="6" t="s">
        <v>1039</v>
      </c>
      <c r="J81" s="6" t="s">
        <v>1058</v>
      </c>
      <c r="K81" s="6">
        <v>79</v>
      </c>
      <c r="L81" s="6" t="s">
        <v>1059</v>
      </c>
      <c r="M81" s="50">
        <v>4.1895121042208702E-2</v>
      </c>
      <c r="N81" s="50">
        <v>0.36744453910752051</v>
      </c>
      <c r="O81" s="50">
        <v>8.6469595463197998E-4</v>
      </c>
      <c r="P81" s="50">
        <v>0.28279206703490872</v>
      </c>
    </row>
    <row r="82" spans="1:16" ht="18" customHeight="1" x14ac:dyDescent="0.15">
      <c r="A82" s="5" t="s">
        <v>1023</v>
      </c>
      <c r="B82" s="6" t="s">
        <v>1024</v>
      </c>
      <c r="C82" s="6"/>
      <c r="D82" s="8"/>
      <c r="E82" s="8"/>
      <c r="F82" s="43"/>
      <c r="G82" s="43"/>
      <c r="H82" s="36"/>
      <c r="I82" s="6" t="s">
        <v>1039</v>
      </c>
      <c r="J82" s="6" t="s">
        <v>1060</v>
      </c>
      <c r="K82" s="6">
        <v>79</v>
      </c>
      <c r="L82" s="6" t="s">
        <v>1061</v>
      </c>
      <c r="M82" s="50">
        <v>3.029440867308509E-2</v>
      </c>
      <c r="N82" s="50">
        <v>2.2311658622662552E-2</v>
      </c>
      <c r="O82" s="50">
        <v>0.8452569550069996</v>
      </c>
      <c r="P82" s="50">
        <v>0.28279206703490872</v>
      </c>
    </row>
    <row r="83" spans="1:16" ht="18" customHeight="1" x14ac:dyDescent="0.15">
      <c r="A83" s="5" t="s">
        <v>1023</v>
      </c>
      <c r="B83" s="6" t="s">
        <v>1024</v>
      </c>
      <c r="C83" s="6"/>
      <c r="D83" s="8"/>
      <c r="E83" s="8"/>
      <c r="F83" s="43"/>
      <c r="G83" s="43"/>
      <c r="H83" s="36"/>
      <c r="I83" s="6" t="s">
        <v>1039</v>
      </c>
      <c r="J83" s="6" t="s">
        <v>1062</v>
      </c>
      <c r="K83" s="6">
        <v>79</v>
      </c>
      <c r="L83" s="6" t="s">
        <v>1063</v>
      </c>
      <c r="M83" s="50">
        <v>3.6642132046240859E-2</v>
      </c>
      <c r="N83" s="50">
        <v>0.32326169434405089</v>
      </c>
      <c r="O83" s="50">
        <v>3.6623641790136299E-3</v>
      </c>
      <c r="P83" s="50">
        <v>0.28279206703490872</v>
      </c>
    </row>
    <row r="84" spans="1:16" ht="18" customHeight="1" x14ac:dyDescent="0.15">
      <c r="A84" s="5" t="s">
        <v>1023</v>
      </c>
      <c r="B84" s="6" t="s">
        <v>1024</v>
      </c>
      <c r="C84" s="6"/>
      <c r="D84" s="8"/>
      <c r="E84" s="8"/>
      <c r="F84" s="43"/>
      <c r="G84" s="43"/>
      <c r="H84" s="36"/>
      <c r="I84" s="6" t="s">
        <v>1039</v>
      </c>
      <c r="J84" s="6" t="s">
        <v>1064</v>
      </c>
      <c r="K84" s="6">
        <v>79</v>
      </c>
      <c r="L84" s="6" t="s">
        <v>1065</v>
      </c>
      <c r="M84" s="50">
        <v>0.1619806727762749</v>
      </c>
      <c r="N84" s="50">
        <v>0.1092325484342996</v>
      </c>
      <c r="O84" s="50">
        <v>0.3379233916741507</v>
      </c>
      <c r="P84" s="50">
        <v>0.49050650799099371</v>
      </c>
    </row>
    <row r="85" spans="1:16" ht="18" customHeight="1" x14ac:dyDescent="0.15">
      <c r="A85" s="5" t="s">
        <v>1023</v>
      </c>
      <c r="B85" s="6" t="s">
        <v>1024</v>
      </c>
      <c r="C85" s="6"/>
      <c r="D85" s="8"/>
      <c r="E85" s="8"/>
      <c r="F85" s="43"/>
      <c r="G85" s="43"/>
      <c r="H85" s="36"/>
      <c r="I85" s="6" t="s">
        <v>1039</v>
      </c>
      <c r="J85" s="6" t="s">
        <v>1066</v>
      </c>
      <c r="K85" s="6">
        <v>79</v>
      </c>
      <c r="L85" s="6" t="s">
        <v>1067</v>
      </c>
      <c r="M85" s="50">
        <v>0.55681835057848827</v>
      </c>
      <c r="N85" s="50">
        <v>1.1709145795723351E-2</v>
      </c>
      <c r="O85" s="50">
        <v>0.91842505016021803</v>
      </c>
      <c r="P85" s="50">
        <v>0.83522752586773241</v>
      </c>
    </row>
    <row r="86" spans="1:16" ht="18" customHeight="1" x14ac:dyDescent="0.15">
      <c r="A86" s="5" t="s">
        <v>1023</v>
      </c>
      <c r="B86" s="6" t="s">
        <v>1024</v>
      </c>
      <c r="C86" s="6"/>
      <c r="D86" s="8"/>
      <c r="E86" s="8"/>
      <c r="F86" s="43"/>
      <c r="G86" s="43"/>
      <c r="H86" s="36"/>
      <c r="I86" s="6" t="s">
        <v>1039</v>
      </c>
      <c r="J86" s="6" t="s">
        <v>1068</v>
      </c>
      <c r="K86" s="6">
        <v>79</v>
      </c>
      <c r="L86" s="6" t="s">
        <v>1069</v>
      </c>
      <c r="M86" s="50"/>
      <c r="N86" s="50"/>
      <c r="O86" s="50"/>
      <c r="P86" s="50"/>
    </row>
    <row r="87" spans="1:16" ht="18" customHeight="1" x14ac:dyDescent="0.15">
      <c r="A87" s="5" t="s">
        <v>1023</v>
      </c>
      <c r="B87" s="6" t="s">
        <v>1024</v>
      </c>
      <c r="C87" s="6"/>
      <c r="D87" s="8"/>
      <c r="E87" s="8"/>
      <c r="F87" s="43"/>
      <c r="G87" s="43"/>
      <c r="H87" s="36"/>
      <c r="I87" s="6" t="s">
        <v>1039</v>
      </c>
      <c r="J87" s="6" t="s">
        <v>1070</v>
      </c>
      <c r="K87" s="6">
        <v>79</v>
      </c>
      <c r="L87" s="6" t="s">
        <v>1071</v>
      </c>
      <c r="M87" s="50">
        <v>0.45185109272020318</v>
      </c>
      <c r="N87" s="50">
        <v>-7.8992210321324252E-2</v>
      </c>
      <c r="O87" s="50">
        <v>0.4889438236088326</v>
      </c>
      <c r="P87" s="50">
        <v>0.71764585314385221</v>
      </c>
    </row>
    <row r="88" spans="1:16" ht="18" customHeight="1" x14ac:dyDescent="0.15">
      <c r="A88" s="5" t="s">
        <v>1023</v>
      </c>
      <c r="B88" s="6" t="s">
        <v>1024</v>
      </c>
      <c r="C88" s="6"/>
      <c r="D88" s="8"/>
      <c r="E88" s="8"/>
      <c r="F88" s="43"/>
      <c r="G88" s="43"/>
      <c r="H88" s="36"/>
      <c r="I88" s="6" t="s">
        <v>1039</v>
      </c>
      <c r="J88" s="6" t="s">
        <v>1072</v>
      </c>
      <c r="K88" s="6">
        <v>79</v>
      </c>
      <c r="L88" s="6" t="s">
        <v>1073</v>
      </c>
      <c r="M88" s="50">
        <v>0.2427723491084956</v>
      </c>
      <c r="N88" s="50">
        <v>-0.21916503140588339</v>
      </c>
      <c r="O88" s="50">
        <v>5.2307329560255342E-2</v>
      </c>
      <c r="P88" s="50">
        <v>0.50421949430226021</v>
      </c>
    </row>
    <row r="89" spans="1:16" ht="18" customHeight="1" x14ac:dyDescent="0.15">
      <c r="A89" s="5" t="s">
        <v>1023</v>
      </c>
      <c r="B89" s="6" t="s">
        <v>1024</v>
      </c>
      <c r="C89" s="6"/>
      <c r="D89" s="8"/>
      <c r="E89" s="8"/>
      <c r="F89" s="43"/>
      <c r="G89" s="43"/>
      <c r="H89" s="36"/>
      <c r="I89" s="6" t="s">
        <v>1039</v>
      </c>
      <c r="J89" s="6" t="s">
        <v>1074</v>
      </c>
      <c r="K89" s="6">
        <v>79</v>
      </c>
      <c r="L89" s="6" t="s">
        <v>1075</v>
      </c>
      <c r="M89" s="50">
        <v>0.1757424142930763</v>
      </c>
      <c r="N89" s="50">
        <v>0.16356679362798701</v>
      </c>
      <c r="O89" s="50">
        <v>0.14976524571011471</v>
      </c>
      <c r="P89" s="50">
        <v>0.49050650799099371</v>
      </c>
    </row>
    <row r="90" spans="1:16" ht="18" customHeight="1" x14ac:dyDescent="0.15">
      <c r="A90" s="5" t="s">
        <v>1023</v>
      </c>
      <c r="B90" s="6" t="s">
        <v>1024</v>
      </c>
      <c r="C90" s="6"/>
      <c r="D90" s="8"/>
      <c r="E90" s="8"/>
      <c r="F90" s="43"/>
      <c r="G90" s="43"/>
      <c r="H90" s="36"/>
      <c r="I90" s="6" t="s">
        <v>1039</v>
      </c>
      <c r="J90" s="6" t="s">
        <v>1076</v>
      </c>
      <c r="K90" s="6">
        <v>79</v>
      </c>
      <c r="L90" s="6" t="s">
        <v>1077</v>
      </c>
      <c r="M90" s="50">
        <v>0.97728947051805437</v>
      </c>
      <c r="N90" s="50">
        <v>1.518587592613125E-2</v>
      </c>
      <c r="O90" s="50">
        <v>0.89432683680824809</v>
      </c>
      <c r="P90" s="50">
        <v>0.9994660635042284</v>
      </c>
    </row>
    <row r="91" spans="1:16" ht="18" customHeight="1" x14ac:dyDescent="0.15">
      <c r="A91" s="5" t="s">
        <v>1023</v>
      </c>
      <c r="B91" s="6" t="s">
        <v>1024</v>
      </c>
      <c r="C91" s="6"/>
      <c r="D91" s="8"/>
      <c r="E91" s="8"/>
      <c r="F91" s="43"/>
      <c r="G91" s="43"/>
      <c r="H91" s="36"/>
      <c r="I91" s="6" t="s">
        <v>1039</v>
      </c>
      <c r="J91" s="6" t="s">
        <v>1078</v>
      </c>
      <c r="K91" s="6">
        <v>79</v>
      </c>
      <c r="L91" s="6" t="s">
        <v>1079</v>
      </c>
      <c r="M91" s="50">
        <v>0.18166907703370139</v>
      </c>
      <c r="N91" s="50">
        <v>-6.2560856864654346E-2</v>
      </c>
      <c r="O91" s="50">
        <v>0.58387937495415232</v>
      </c>
      <c r="P91" s="50">
        <v>0.49050650799099371</v>
      </c>
    </row>
    <row r="92" spans="1:16" ht="18" customHeight="1" x14ac:dyDescent="0.15">
      <c r="A92" s="5" t="s">
        <v>1023</v>
      </c>
      <c r="B92" s="6" t="s">
        <v>1024</v>
      </c>
      <c r="C92" s="6"/>
      <c r="D92" s="8"/>
      <c r="E92" s="8"/>
      <c r="F92" s="43"/>
      <c r="G92" s="43"/>
      <c r="H92" s="36"/>
      <c r="I92" s="6" t="s">
        <v>1039</v>
      </c>
      <c r="J92" s="6" t="s">
        <v>1080</v>
      </c>
      <c r="K92" s="6">
        <v>79</v>
      </c>
      <c r="L92" s="6" t="s">
        <v>1081</v>
      </c>
      <c r="M92" s="50">
        <v>8.1603671441725964E-2</v>
      </c>
      <c r="N92" s="50">
        <v>5.5306718597857837E-2</v>
      </c>
      <c r="O92" s="50">
        <v>0.62830615255354838</v>
      </c>
      <c r="P92" s="50">
        <v>0.39894814752547259</v>
      </c>
    </row>
    <row r="93" spans="1:16" ht="18" customHeight="1" x14ac:dyDescent="0.15">
      <c r="A93" s="5" t="s">
        <v>1023</v>
      </c>
      <c r="B93" s="6" t="s">
        <v>1024</v>
      </c>
      <c r="C93" s="6"/>
      <c r="D93" s="8"/>
      <c r="E93" s="8"/>
      <c r="F93" s="43"/>
      <c r="G93" s="43"/>
      <c r="H93" s="36"/>
      <c r="I93" s="6" t="s">
        <v>1039</v>
      </c>
      <c r="J93" s="6" t="s">
        <v>1082</v>
      </c>
      <c r="K93" s="6">
        <v>79</v>
      </c>
      <c r="L93" s="6" t="s">
        <v>1083</v>
      </c>
      <c r="M93" s="50">
        <v>0.21989400026184941</v>
      </c>
      <c r="N93" s="50">
        <v>-4.2475467695435858E-2</v>
      </c>
      <c r="O93" s="50">
        <v>0.7101307492336506</v>
      </c>
      <c r="P93" s="50">
        <v>0.50182538649062225</v>
      </c>
    </row>
    <row r="94" spans="1:16" ht="18" customHeight="1" x14ac:dyDescent="0.15">
      <c r="A94" s="5" t="s">
        <v>1023</v>
      </c>
      <c r="B94" s="6" t="s">
        <v>1024</v>
      </c>
      <c r="C94" s="6"/>
      <c r="D94" s="8"/>
      <c r="E94" s="8"/>
      <c r="F94" s="43"/>
      <c r="G94" s="43"/>
      <c r="H94" s="36"/>
      <c r="I94" s="6" t="s">
        <v>1039</v>
      </c>
      <c r="J94" s="6" t="s">
        <v>1084</v>
      </c>
      <c r="K94" s="6">
        <v>79</v>
      </c>
      <c r="L94" s="6" t="s">
        <v>1085</v>
      </c>
      <c r="M94" s="50">
        <v>0.30417275983684888</v>
      </c>
      <c r="N94" s="50">
        <v>7.5679027171174432E-2</v>
      </c>
      <c r="O94" s="50">
        <v>0.50740742779536385</v>
      </c>
      <c r="P94" s="50">
        <v>0.55304335188836673</v>
      </c>
    </row>
    <row r="95" spans="1:16" ht="18" customHeight="1" x14ac:dyDescent="0.15">
      <c r="A95" s="5" t="s">
        <v>1023</v>
      </c>
      <c r="B95" s="6" t="s">
        <v>1024</v>
      </c>
      <c r="C95" s="6"/>
      <c r="D95" s="8"/>
      <c r="E95" s="8"/>
      <c r="F95" s="43"/>
      <c r="G95" s="43"/>
      <c r="H95" s="36"/>
      <c r="I95" s="6" t="s">
        <v>1039</v>
      </c>
      <c r="J95" s="6" t="s">
        <v>1086</v>
      </c>
      <c r="K95" s="6">
        <v>79</v>
      </c>
      <c r="L95" s="6" t="s">
        <v>1087</v>
      </c>
      <c r="M95" s="50">
        <v>0.1273671145246138</v>
      </c>
      <c r="N95" s="50">
        <v>-0.1745086914274224</v>
      </c>
      <c r="O95" s="50">
        <v>0.1240062758993032</v>
      </c>
      <c r="P95" s="50">
        <v>0.49050650799099371</v>
      </c>
    </row>
    <row r="96" spans="1:16" ht="18" customHeight="1" x14ac:dyDescent="0.15">
      <c r="A96" s="5" t="s">
        <v>1023</v>
      </c>
      <c r="B96" s="6" t="s">
        <v>1024</v>
      </c>
      <c r="C96" s="6"/>
      <c r="D96" s="8"/>
      <c r="E96" s="8"/>
      <c r="F96" s="43"/>
      <c r="G96" s="43"/>
      <c r="H96" s="36"/>
      <c r="I96" s="6" t="s">
        <v>1039</v>
      </c>
      <c r="J96" s="6" t="s">
        <v>1088</v>
      </c>
      <c r="K96" s="6">
        <v>79</v>
      </c>
      <c r="L96" s="6" t="s">
        <v>1089</v>
      </c>
      <c r="M96" s="50">
        <v>0.71327207302010898</v>
      </c>
      <c r="N96" s="50">
        <v>7.798703781201502E-2</v>
      </c>
      <c r="O96" s="50">
        <v>0.49450764005676251</v>
      </c>
      <c r="P96" s="50">
        <v>0.91706409388299737</v>
      </c>
    </row>
    <row r="97" spans="1:16" ht="18" customHeight="1" x14ac:dyDescent="0.15">
      <c r="A97" s="5" t="s">
        <v>1023</v>
      </c>
      <c r="B97" s="6" t="s">
        <v>1024</v>
      </c>
      <c r="C97" s="6"/>
      <c r="D97" s="8"/>
      <c r="E97" s="8"/>
      <c r="F97" s="43"/>
      <c r="G97" s="43"/>
      <c r="H97" s="36"/>
      <c r="I97" s="6" t="s">
        <v>1039</v>
      </c>
      <c r="J97" s="6" t="s">
        <v>1026</v>
      </c>
      <c r="K97" s="6">
        <v>79</v>
      </c>
      <c r="L97" s="6" t="s">
        <v>1027</v>
      </c>
      <c r="M97" s="50">
        <v>0.67497304701841998</v>
      </c>
      <c r="N97" s="50">
        <v>-2.9284323271665039E-2</v>
      </c>
      <c r="O97" s="50">
        <v>0.79780339276908774</v>
      </c>
      <c r="P97" s="50">
        <v>0.91121361347486718</v>
      </c>
    </row>
    <row r="98" spans="1:16" ht="18" customHeight="1" x14ac:dyDescent="0.15">
      <c r="A98" s="5" t="s">
        <v>1023</v>
      </c>
      <c r="B98" s="6" t="s">
        <v>1024</v>
      </c>
      <c r="C98" s="6"/>
      <c r="D98" s="8"/>
      <c r="E98" s="8"/>
      <c r="F98" s="43"/>
      <c r="G98" s="43"/>
      <c r="H98" s="36"/>
      <c r="I98" s="6" t="s">
        <v>1039</v>
      </c>
      <c r="J98" s="6" t="s">
        <v>1090</v>
      </c>
      <c r="K98" s="6">
        <v>79</v>
      </c>
      <c r="L98" s="6" t="s">
        <v>1091</v>
      </c>
      <c r="M98" s="50">
        <v>0.90182236311259456</v>
      </c>
      <c r="N98" s="50">
        <v>1.436222005842259E-2</v>
      </c>
      <c r="O98" s="50">
        <v>0.90002802167754936</v>
      </c>
      <c r="P98" s="50">
        <v>0.99447949852141915</v>
      </c>
    </row>
    <row r="99" spans="1:16" ht="18" customHeight="1" x14ac:dyDescent="0.15">
      <c r="A99" s="5" t="s">
        <v>1023</v>
      </c>
      <c r="B99" s="6" t="s">
        <v>1024</v>
      </c>
      <c r="C99" s="6"/>
      <c r="D99" s="8"/>
      <c r="E99" s="8"/>
      <c r="F99" s="43"/>
      <c r="G99" s="43"/>
      <c r="H99" s="36"/>
      <c r="I99" s="6" t="s">
        <v>1039</v>
      </c>
      <c r="J99" s="6" t="s">
        <v>1092</v>
      </c>
      <c r="K99" s="6">
        <v>79</v>
      </c>
      <c r="L99" s="6" t="s">
        <v>1093</v>
      </c>
      <c r="M99" s="50">
        <v>3.4470002949394632E-2</v>
      </c>
      <c r="N99" s="50">
        <v>0.2090068159688413</v>
      </c>
      <c r="O99" s="50">
        <v>6.4521919698168007E-2</v>
      </c>
      <c r="P99" s="50">
        <v>0.28279206703490872</v>
      </c>
    </row>
    <row r="100" spans="1:16" ht="18" customHeight="1" x14ac:dyDescent="0.15">
      <c r="A100" s="5" t="s">
        <v>1023</v>
      </c>
      <c r="B100" s="6" t="s">
        <v>1024</v>
      </c>
      <c r="C100" s="6"/>
      <c r="D100" s="8"/>
      <c r="E100" s="8"/>
      <c r="F100" s="43"/>
      <c r="G100" s="43"/>
      <c r="H100" s="36"/>
      <c r="I100" s="6" t="s">
        <v>1039</v>
      </c>
      <c r="J100" s="6" t="s">
        <v>1094</v>
      </c>
      <c r="K100" s="6">
        <v>79</v>
      </c>
      <c r="L100" s="6" t="s">
        <v>1069</v>
      </c>
      <c r="M100" s="50"/>
      <c r="N100" s="50"/>
      <c r="O100" s="50"/>
      <c r="P100" s="50"/>
    </row>
    <row r="101" spans="1:16" ht="18" customHeight="1" x14ac:dyDescent="0.15">
      <c r="A101" s="5" t="s">
        <v>1023</v>
      </c>
      <c r="B101" s="6" t="s">
        <v>1024</v>
      </c>
      <c r="C101" s="6"/>
      <c r="D101" s="8"/>
      <c r="E101" s="8"/>
      <c r="F101" s="43"/>
      <c r="G101" s="43"/>
      <c r="H101" s="36"/>
      <c r="I101" s="6" t="s">
        <v>1095</v>
      </c>
      <c r="J101" s="6" t="s">
        <v>1096</v>
      </c>
      <c r="K101" s="6">
        <v>79</v>
      </c>
      <c r="L101" s="6" t="s">
        <v>1097</v>
      </c>
      <c r="M101" s="50">
        <v>1.806797497619745E-2</v>
      </c>
      <c r="N101" s="50">
        <v>0.1712512171372931</v>
      </c>
      <c r="O101" s="50">
        <v>0.13129252615226131</v>
      </c>
      <c r="P101" s="50">
        <v>0.95466802076570478</v>
      </c>
    </row>
    <row r="102" spans="1:16" ht="18" customHeight="1" x14ac:dyDescent="0.15">
      <c r="A102" s="5" t="s">
        <v>1023</v>
      </c>
      <c r="B102" s="6" t="s">
        <v>1024</v>
      </c>
      <c r="C102" s="6"/>
      <c r="D102" s="8"/>
      <c r="E102" s="8"/>
      <c r="F102" s="43"/>
      <c r="G102" s="43"/>
      <c r="H102" s="36"/>
      <c r="I102" s="6" t="s">
        <v>1095</v>
      </c>
      <c r="J102" s="6" t="s">
        <v>1098</v>
      </c>
      <c r="K102" s="6">
        <v>79</v>
      </c>
      <c r="L102" s="6" t="s">
        <v>1099</v>
      </c>
      <c r="M102" s="50">
        <v>0.5747258972385143</v>
      </c>
      <c r="N102" s="50">
        <v>-2.2882181110029198E-3</v>
      </c>
      <c r="O102" s="50">
        <v>0.98403222472791319</v>
      </c>
      <c r="P102" s="50">
        <v>0.95466802076570478</v>
      </c>
    </row>
    <row r="103" spans="1:16" ht="18" customHeight="1" x14ac:dyDescent="0.15">
      <c r="A103" s="5" t="s">
        <v>1023</v>
      </c>
      <c r="B103" s="6" t="s">
        <v>1024</v>
      </c>
      <c r="C103" s="6"/>
      <c r="D103" s="8"/>
      <c r="E103" s="8"/>
      <c r="F103" s="43"/>
      <c r="G103" s="43"/>
      <c r="H103" s="36"/>
      <c r="I103" s="6" t="s">
        <v>1095</v>
      </c>
      <c r="J103" s="6" t="s">
        <v>1100</v>
      </c>
      <c r="K103" s="6">
        <v>79</v>
      </c>
      <c r="L103" s="6" t="s">
        <v>1101</v>
      </c>
      <c r="M103" s="50">
        <v>0.92975145994158881</v>
      </c>
      <c r="N103" s="50">
        <v>4.8442064264848997E-3</v>
      </c>
      <c r="O103" s="50">
        <v>0.96620358137278362</v>
      </c>
      <c r="P103" s="50">
        <v>0.97609564650031078</v>
      </c>
    </row>
    <row r="104" spans="1:16" ht="18" customHeight="1" x14ac:dyDescent="0.15">
      <c r="A104" s="5" t="s">
        <v>1023</v>
      </c>
      <c r="B104" s="6" t="s">
        <v>1024</v>
      </c>
      <c r="C104" s="6"/>
      <c r="D104" s="8"/>
      <c r="E104" s="8"/>
      <c r="F104" s="43"/>
      <c r="G104" s="43"/>
      <c r="H104" s="36"/>
      <c r="I104" s="6" t="s">
        <v>1095</v>
      </c>
      <c r="J104" s="6" t="s">
        <v>1102</v>
      </c>
      <c r="K104" s="6">
        <v>79</v>
      </c>
      <c r="L104" s="6" t="s">
        <v>1103</v>
      </c>
      <c r="M104" s="50">
        <v>0.36554389517986419</v>
      </c>
      <c r="N104" s="50">
        <v>5.367575462512171E-2</v>
      </c>
      <c r="O104" s="50">
        <v>0.63848707078866584</v>
      </c>
      <c r="P104" s="50">
        <v>0.95466802076570478</v>
      </c>
    </row>
    <row r="105" spans="1:16" ht="18" customHeight="1" x14ac:dyDescent="0.15">
      <c r="A105" s="5" t="s">
        <v>1023</v>
      </c>
      <c r="B105" s="6" t="s">
        <v>1024</v>
      </c>
      <c r="C105" s="6"/>
      <c r="D105" s="8"/>
      <c r="E105" s="8"/>
      <c r="F105" s="43"/>
      <c r="G105" s="43"/>
      <c r="H105" s="36"/>
      <c r="I105" s="6" t="s">
        <v>1095</v>
      </c>
      <c r="J105" s="6" t="s">
        <v>1104</v>
      </c>
      <c r="K105" s="6">
        <v>79</v>
      </c>
      <c r="L105" s="6" t="s">
        <v>1105</v>
      </c>
      <c r="M105" s="50">
        <v>0.40745849975658421</v>
      </c>
      <c r="N105" s="50">
        <v>-0.1032619279454722</v>
      </c>
      <c r="O105" s="50">
        <v>0.36514392274157981</v>
      </c>
      <c r="P105" s="50">
        <v>0.95466802076570478</v>
      </c>
    </row>
    <row r="106" spans="1:16" ht="18" customHeight="1" x14ac:dyDescent="0.15">
      <c r="A106" s="5" t="s">
        <v>1023</v>
      </c>
      <c r="B106" s="6" t="s">
        <v>1024</v>
      </c>
      <c r="C106" s="6"/>
      <c r="D106" s="8"/>
      <c r="E106" s="8"/>
      <c r="F106" s="43"/>
      <c r="G106" s="43"/>
      <c r="H106" s="36"/>
      <c r="I106" s="6" t="s">
        <v>1095</v>
      </c>
      <c r="J106" s="6" t="s">
        <v>1106</v>
      </c>
      <c r="K106" s="6">
        <v>79</v>
      </c>
      <c r="L106" s="6" t="s">
        <v>1107</v>
      </c>
      <c r="M106" s="50">
        <v>0.6081687572249681</v>
      </c>
      <c r="N106" s="50">
        <v>-0.11467867575462511</v>
      </c>
      <c r="O106" s="50">
        <v>0.31424021769572652</v>
      </c>
      <c r="P106" s="50">
        <v>0.95466802076570478</v>
      </c>
    </row>
    <row r="107" spans="1:16" ht="18" customHeight="1" x14ac:dyDescent="0.15">
      <c r="A107" s="5" t="s">
        <v>1023</v>
      </c>
      <c r="B107" s="6" t="s">
        <v>1024</v>
      </c>
      <c r="C107" s="6"/>
      <c r="D107" s="8"/>
      <c r="E107" s="8"/>
      <c r="F107" s="43"/>
      <c r="G107" s="43"/>
      <c r="H107" s="36"/>
      <c r="I107" s="6" t="s">
        <v>1095</v>
      </c>
      <c r="J107" s="6" t="s">
        <v>1108</v>
      </c>
      <c r="K107" s="6">
        <v>79</v>
      </c>
      <c r="L107" s="6" t="s">
        <v>1109</v>
      </c>
      <c r="M107" s="50">
        <v>0.17763977313329579</v>
      </c>
      <c r="N107" s="50">
        <v>-0.18950827653359301</v>
      </c>
      <c r="O107" s="50">
        <v>9.4379777604982298E-2</v>
      </c>
      <c r="P107" s="50">
        <v>0.95466802076570478</v>
      </c>
    </row>
    <row r="108" spans="1:16" ht="18" customHeight="1" x14ac:dyDescent="0.15">
      <c r="A108" s="5" t="s">
        <v>1023</v>
      </c>
      <c r="B108" s="6" t="s">
        <v>1024</v>
      </c>
      <c r="C108" s="6"/>
      <c r="D108" s="8"/>
      <c r="E108" s="8"/>
      <c r="F108" s="43"/>
      <c r="G108" s="43"/>
      <c r="H108" s="36"/>
      <c r="I108" s="6" t="s">
        <v>1095</v>
      </c>
      <c r="J108" s="6" t="s">
        <v>1110</v>
      </c>
      <c r="K108" s="6">
        <v>79</v>
      </c>
      <c r="L108" s="6" t="s">
        <v>1111</v>
      </c>
      <c r="M108" s="50">
        <v>0.83137487891609896</v>
      </c>
      <c r="N108" s="50">
        <v>2.2176241480038949E-2</v>
      </c>
      <c r="O108" s="50">
        <v>0.84618461498217545</v>
      </c>
      <c r="P108" s="50">
        <v>0.95700793904120396</v>
      </c>
    </row>
    <row r="109" spans="1:16" ht="18" customHeight="1" x14ac:dyDescent="0.15">
      <c r="A109" s="5" t="s">
        <v>1023</v>
      </c>
      <c r="B109" s="6" t="s">
        <v>1024</v>
      </c>
      <c r="C109" s="6"/>
      <c r="D109" s="8"/>
      <c r="E109" s="8"/>
      <c r="F109" s="43"/>
      <c r="G109" s="43"/>
      <c r="H109" s="36"/>
      <c r="I109" s="6" t="s">
        <v>1095</v>
      </c>
      <c r="J109" s="6" t="s">
        <v>1112</v>
      </c>
      <c r="K109" s="6">
        <v>79</v>
      </c>
      <c r="L109" s="6" t="s">
        <v>1113</v>
      </c>
      <c r="M109" s="50">
        <v>0.2593818832450997</v>
      </c>
      <c r="N109" s="50">
        <v>-0.1109785783836417</v>
      </c>
      <c r="O109" s="50">
        <v>0.33021115096650511</v>
      </c>
      <c r="P109" s="50">
        <v>0.95466802076570478</v>
      </c>
    </row>
    <row r="110" spans="1:16" ht="18" customHeight="1" x14ac:dyDescent="0.15">
      <c r="A110" s="5" t="s">
        <v>1023</v>
      </c>
      <c r="B110" s="6" t="s">
        <v>1024</v>
      </c>
      <c r="C110" s="6"/>
      <c r="D110" s="8"/>
      <c r="E110" s="8"/>
      <c r="F110" s="43"/>
      <c r="G110" s="43"/>
      <c r="H110" s="36"/>
      <c r="I110" s="6" t="s">
        <v>1095</v>
      </c>
      <c r="J110" s="6" t="s">
        <v>1114</v>
      </c>
      <c r="K110" s="6">
        <v>79</v>
      </c>
      <c r="L110" s="6" t="s">
        <v>1115</v>
      </c>
      <c r="M110" s="50">
        <v>0.123096353209381</v>
      </c>
      <c r="N110" s="50">
        <v>-0.16655306718597859</v>
      </c>
      <c r="O110" s="50">
        <v>0.14236830963319899</v>
      </c>
      <c r="P110" s="50">
        <v>0.95466802076570478</v>
      </c>
    </row>
    <row r="111" spans="1:16" ht="18" customHeight="1" x14ac:dyDescent="0.15">
      <c r="A111" s="5" t="s">
        <v>1023</v>
      </c>
      <c r="B111" s="6" t="s">
        <v>1024</v>
      </c>
      <c r="C111" s="6"/>
      <c r="D111" s="8"/>
      <c r="E111" s="8"/>
      <c r="F111" s="43"/>
      <c r="G111" s="43"/>
      <c r="H111" s="36"/>
      <c r="I111" s="6" t="s">
        <v>1095</v>
      </c>
      <c r="J111" s="6" t="s">
        <v>1116</v>
      </c>
      <c r="K111" s="6">
        <v>79</v>
      </c>
      <c r="L111" s="6" t="s">
        <v>1117</v>
      </c>
      <c r="M111" s="50">
        <v>2.1674556298547681E-2</v>
      </c>
      <c r="N111" s="50">
        <v>0.23600292112950341</v>
      </c>
      <c r="O111" s="50">
        <v>3.6270581828839368E-2</v>
      </c>
      <c r="P111" s="50">
        <v>0.95466802076570478</v>
      </c>
    </row>
    <row r="112" spans="1:16" ht="18" customHeight="1" x14ac:dyDescent="0.15">
      <c r="A112" s="5" t="s">
        <v>1023</v>
      </c>
      <c r="B112" s="6" t="s">
        <v>1024</v>
      </c>
      <c r="C112" s="6"/>
      <c r="D112" s="8"/>
      <c r="E112" s="8"/>
      <c r="F112" s="43"/>
      <c r="G112" s="43"/>
      <c r="H112" s="36"/>
      <c r="I112" s="6" t="s">
        <v>1095</v>
      </c>
      <c r="J112" s="6" t="s">
        <v>1118</v>
      </c>
      <c r="K112" s="6">
        <v>79</v>
      </c>
      <c r="L112" s="6" t="s">
        <v>1119</v>
      </c>
      <c r="M112" s="50">
        <v>7.7718291603884257E-2</v>
      </c>
      <c r="N112" s="50">
        <v>-0.16628529698149949</v>
      </c>
      <c r="O112" s="50">
        <v>0.14302012782289991</v>
      </c>
      <c r="P112" s="50">
        <v>0.95466802076570478</v>
      </c>
    </row>
    <row r="113" spans="1:16" ht="18" customHeight="1" x14ac:dyDescent="0.15">
      <c r="A113" s="5" t="s">
        <v>1023</v>
      </c>
      <c r="B113" s="6" t="s">
        <v>1024</v>
      </c>
      <c r="C113" s="6"/>
      <c r="D113" s="8"/>
      <c r="E113" s="8"/>
      <c r="F113" s="43"/>
      <c r="G113" s="43"/>
      <c r="H113" s="36"/>
      <c r="I113" s="6" t="s">
        <v>1095</v>
      </c>
      <c r="J113" s="6" t="s">
        <v>1120</v>
      </c>
      <c r="K113" s="6">
        <v>79</v>
      </c>
      <c r="L113" s="6" t="s">
        <v>1121</v>
      </c>
      <c r="M113" s="50">
        <v>0.36940752122542708</v>
      </c>
      <c r="N113" s="50">
        <v>0.14371957156767279</v>
      </c>
      <c r="O113" s="50">
        <v>0.2063670657692018</v>
      </c>
      <c r="P113" s="50">
        <v>0.95466802076570478</v>
      </c>
    </row>
    <row r="114" spans="1:16" ht="18" customHeight="1" x14ac:dyDescent="0.15">
      <c r="A114" s="5" t="s">
        <v>1023</v>
      </c>
      <c r="B114" s="6" t="s">
        <v>1024</v>
      </c>
      <c r="C114" s="6"/>
      <c r="D114" s="8"/>
      <c r="E114" s="8"/>
      <c r="F114" s="43"/>
      <c r="G114" s="43"/>
      <c r="H114" s="36"/>
      <c r="I114" s="6" t="s">
        <v>1095</v>
      </c>
      <c r="J114" s="6" t="s">
        <v>1122</v>
      </c>
      <c r="K114" s="6">
        <v>79</v>
      </c>
      <c r="L114" s="6" t="s">
        <v>1123</v>
      </c>
      <c r="M114" s="50">
        <v>0.6621500787017377</v>
      </c>
      <c r="N114" s="50">
        <v>8.2765335929892801E-3</v>
      </c>
      <c r="O114" s="50">
        <v>0.94228985727409964</v>
      </c>
      <c r="P114" s="50">
        <v>0.95700793904120396</v>
      </c>
    </row>
    <row r="115" spans="1:16" ht="18" customHeight="1" x14ac:dyDescent="0.15">
      <c r="A115" s="5" t="s">
        <v>1023</v>
      </c>
      <c r="B115" s="6" t="s">
        <v>1024</v>
      </c>
      <c r="C115" s="6"/>
      <c r="D115" s="8"/>
      <c r="E115" s="8"/>
      <c r="F115" s="43"/>
      <c r="G115" s="43"/>
      <c r="H115" s="36"/>
      <c r="I115" s="6" t="s">
        <v>1095</v>
      </c>
      <c r="J115" s="6" t="s">
        <v>1124</v>
      </c>
      <c r="K115" s="6">
        <v>79</v>
      </c>
      <c r="L115" s="6" t="s">
        <v>1125</v>
      </c>
      <c r="M115" s="50">
        <v>0.68105881310889438</v>
      </c>
      <c r="N115" s="50">
        <v>-5.1801363193768261E-2</v>
      </c>
      <c r="O115" s="50">
        <v>0.65027049494888323</v>
      </c>
      <c r="P115" s="50">
        <v>0.95700793904120396</v>
      </c>
    </row>
    <row r="116" spans="1:16" ht="18" customHeight="1" x14ac:dyDescent="0.15">
      <c r="A116" s="5" t="s">
        <v>1023</v>
      </c>
      <c r="B116" s="6" t="s">
        <v>1024</v>
      </c>
      <c r="C116" s="6"/>
      <c r="D116" s="8"/>
      <c r="E116" s="8"/>
      <c r="F116" s="43"/>
      <c r="G116" s="43"/>
      <c r="H116" s="36"/>
      <c r="I116" s="6" t="s">
        <v>1095</v>
      </c>
      <c r="J116" s="6" t="s">
        <v>1126</v>
      </c>
      <c r="K116" s="6">
        <v>79</v>
      </c>
      <c r="L116" s="6" t="s">
        <v>1127</v>
      </c>
      <c r="M116" s="50">
        <v>0.78971550696088433</v>
      </c>
      <c r="N116" s="50">
        <v>1.9230769230769199E-3</v>
      </c>
      <c r="O116" s="50">
        <v>0.98658001603500523</v>
      </c>
      <c r="P116" s="50">
        <v>0.95700793904120396</v>
      </c>
    </row>
    <row r="117" spans="1:16" ht="18" customHeight="1" x14ac:dyDescent="0.15">
      <c r="A117" s="5" t="s">
        <v>1023</v>
      </c>
      <c r="B117" s="6" t="s">
        <v>1024</v>
      </c>
      <c r="C117" s="6"/>
      <c r="D117" s="8"/>
      <c r="E117" s="8"/>
      <c r="F117" s="43"/>
      <c r="G117" s="43"/>
      <c r="H117" s="36"/>
      <c r="I117" s="6" t="s">
        <v>1095</v>
      </c>
      <c r="J117" s="6" t="s">
        <v>1128</v>
      </c>
      <c r="K117" s="6">
        <v>79</v>
      </c>
      <c r="L117" s="6" t="s">
        <v>1129</v>
      </c>
      <c r="M117" s="50">
        <v>0.19148091293482991</v>
      </c>
      <c r="N117" s="50">
        <v>9.6032132424537481E-2</v>
      </c>
      <c r="O117" s="50">
        <v>0.39984646171178251</v>
      </c>
      <c r="P117" s="50">
        <v>0.95466802076570478</v>
      </c>
    </row>
    <row r="118" spans="1:16" ht="18" customHeight="1" x14ac:dyDescent="0.15">
      <c r="A118" s="5" t="s">
        <v>1023</v>
      </c>
      <c r="B118" s="6" t="s">
        <v>1024</v>
      </c>
      <c r="C118" s="6"/>
      <c r="D118" s="8"/>
      <c r="E118" s="8"/>
      <c r="F118" s="43"/>
      <c r="G118" s="43"/>
      <c r="H118" s="36"/>
      <c r="I118" s="6" t="s">
        <v>1095</v>
      </c>
      <c r="J118" s="6" t="s">
        <v>1130</v>
      </c>
      <c r="K118" s="6">
        <v>79</v>
      </c>
      <c r="L118" s="6" t="s">
        <v>1131</v>
      </c>
      <c r="M118" s="50">
        <v>0.50800319466329835</v>
      </c>
      <c r="N118" s="50">
        <v>-3.9922103213242459E-2</v>
      </c>
      <c r="O118" s="50">
        <v>0.72684989287590318</v>
      </c>
      <c r="P118" s="50">
        <v>0.95466802076570478</v>
      </c>
    </row>
    <row r="119" spans="1:16" ht="18" customHeight="1" x14ac:dyDescent="0.15">
      <c r="A119" s="5" t="s">
        <v>1023</v>
      </c>
      <c r="B119" s="6" t="s">
        <v>1024</v>
      </c>
      <c r="C119" s="6"/>
      <c r="D119" s="8"/>
      <c r="E119" s="8"/>
      <c r="F119" s="43"/>
      <c r="G119" s="43"/>
      <c r="H119" s="36"/>
      <c r="I119" s="6" t="s">
        <v>1095</v>
      </c>
      <c r="J119" s="6" t="s">
        <v>1132</v>
      </c>
      <c r="K119" s="6">
        <v>79</v>
      </c>
      <c r="L119" s="6" t="s">
        <v>1133</v>
      </c>
      <c r="M119" s="50">
        <v>0.74716965287935622</v>
      </c>
      <c r="N119" s="50">
        <v>-6.1684518013631937E-2</v>
      </c>
      <c r="O119" s="50">
        <v>0.58916959311057782</v>
      </c>
      <c r="P119" s="50">
        <v>0.95700793904120396</v>
      </c>
    </row>
    <row r="120" spans="1:16" ht="18" customHeight="1" x14ac:dyDescent="0.15">
      <c r="A120" s="5" t="s">
        <v>1023</v>
      </c>
      <c r="B120" s="6" t="s">
        <v>1024</v>
      </c>
      <c r="C120" s="6"/>
      <c r="D120" s="8"/>
      <c r="E120" s="8"/>
      <c r="F120" s="43"/>
      <c r="G120" s="43"/>
      <c r="H120" s="36"/>
      <c r="I120" s="6" t="s">
        <v>1095</v>
      </c>
      <c r="J120" s="6" t="s">
        <v>1134</v>
      </c>
      <c r="K120" s="6">
        <v>79</v>
      </c>
      <c r="L120" s="6" t="s">
        <v>1135</v>
      </c>
      <c r="M120" s="50">
        <v>0.18493783088454691</v>
      </c>
      <c r="N120" s="50">
        <v>-0.1235881207400195</v>
      </c>
      <c r="O120" s="50">
        <v>0.27786281894120057</v>
      </c>
      <c r="P120" s="50">
        <v>0.95466802076570478</v>
      </c>
    </row>
    <row r="121" spans="1:16" ht="18" customHeight="1" x14ac:dyDescent="0.15">
      <c r="A121" s="5" t="s">
        <v>1023</v>
      </c>
      <c r="B121" s="6" t="s">
        <v>1024</v>
      </c>
      <c r="C121" s="6"/>
      <c r="D121" s="8"/>
      <c r="E121" s="8"/>
      <c r="F121" s="43"/>
      <c r="G121" s="43"/>
      <c r="H121" s="36"/>
      <c r="I121" s="6" t="s">
        <v>1095</v>
      </c>
      <c r="J121" s="6" t="s">
        <v>1136</v>
      </c>
      <c r="K121" s="6">
        <v>79</v>
      </c>
      <c r="L121" s="6" t="s">
        <v>1137</v>
      </c>
      <c r="M121" s="50">
        <v>0.96463398279106782</v>
      </c>
      <c r="N121" s="50">
        <v>8.8145082765335919E-2</v>
      </c>
      <c r="O121" s="50">
        <v>0.43983710050019742</v>
      </c>
      <c r="P121" s="50">
        <v>0.98212512151066245</v>
      </c>
    </row>
    <row r="122" spans="1:16" ht="18" customHeight="1" x14ac:dyDescent="0.15">
      <c r="A122" s="5" t="s">
        <v>1023</v>
      </c>
      <c r="B122" s="6" t="s">
        <v>1024</v>
      </c>
      <c r="C122" s="6"/>
      <c r="D122" s="8"/>
      <c r="E122" s="8"/>
      <c r="F122" s="43"/>
      <c r="G122" s="43"/>
      <c r="H122" s="36"/>
      <c r="I122" s="6" t="s">
        <v>1095</v>
      </c>
      <c r="J122" s="6" t="s">
        <v>1138</v>
      </c>
      <c r="K122" s="6">
        <v>79</v>
      </c>
      <c r="L122" s="6" t="s">
        <v>1139</v>
      </c>
      <c r="M122" s="50">
        <v>0.1985407737407329</v>
      </c>
      <c r="N122" s="50">
        <v>-3.2059396299902627E-2</v>
      </c>
      <c r="O122" s="50">
        <v>0.77910899095896791</v>
      </c>
      <c r="P122" s="50">
        <v>0.95466802076570478</v>
      </c>
    </row>
    <row r="123" spans="1:16" ht="18" customHeight="1" x14ac:dyDescent="0.15">
      <c r="A123" s="5" t="s">
        <v>1023</v>
      </c>
      <c r="B123" s="6" t="s">
        <v>1024</v>
      </c>
      <c r="C123" s="6"/>
      <c r="D123" s="8"/>
      <c r="E123" s="8"/>
      <c r="F123" s="43"/>
      <c r="G123" s="43"/>
      <c r="H123" s="36"/>
      <c r="I123" s="6" t="s">
        <v>1095</v>
      </c>
      <c r="J123" s="6" t="s">
        <v>1140</v>
      </c>
      <c r="K123" s="6">
        <v>79</v>
      </c>
      <c r="L123" s="6" t="s">
        <v>1141</v>
      </c>
      <c r="M123" s="50">
        <v>0.61607742519549347</v>
      </c>
      <c r="N123" s="50">
        <v>4.6786757546251209E-2</v>
      </c>
      <c r="O123" s="50">
        <v>0.68221251585596221</v>
      </c>
      <c r="P123" s="50">
        <v>0.95466802076570478</v>
      </c>
    </row>
    <row r="124" spans="1:16" ht="18" customHeight="1" x14ac:dyDescent="0.15">
      <c r="A124" s="5" t="s">
        <v>1023</v>
      </c>
      <c r="B124" s="6" t="s">
        <v>1024</v>
      </c>
      <c r="C124" s="6"/>
      <c r="D124" s="8"/>
      <c r="E124" s="8"/>
      <c r="F124" s="43"/>
      <c r="G124" s="43"/>
      <c r="H124" s="36"/>
      <c r="I124" s="6" t="s">
        <v>1095</v>
      </c>
      <c r="J124" s="6" t="s">
        <v>1142</v>
      </c>
      <c r="K124" s="6">
        <v>79</v>
      </c>
      <c r="L124" s="6" t="s">
        <v>1143</v>
      </c>
      <c r="M124" s="50">
        <v>0.22027683727883771</v>
      </c>
      <c r="N124" s="50">
        <v>9.0652385589094456E-2</v>
      </c>
      <c r="O124" s="50">
        <v>0.42688633278874882</v>
      </c>
      <c r="P124" s="50">
        <v>0.95466802076570478</v>
      </c>
    </row>
    <row r="125" spans="1:16" ht="18" customHeight="1" x14ac:dyDescent="0.15">
      <c r="A125" s="5" t="s">
        <v>1023</v>
      </c>
      <c r="B125" s="6" t="s">
        <v>1024</v>
      </c>
      <c r="C125" s="6"/>
      <c r="D125" s="8"/>
      <c r="E125" s="8"/>
      <c r="F125" s="43"/>
      <c r="G125" s="43"/>
      <c r="H125" s="36"/>
      <c r="I125" s="6" t="s">
        <v>1095</v>
      </c>
      <c r="J125" s="6" t="s">
        <v>1144</v>
      </c>
      <c r="K125" s="6">
        <v>79</v>
      </c>
      <c r="L125" s="6" t="s">
        <v>1145</v>
      </c>
      <c r="M125" s="50">
        <v>0.35581338672433788</v>
      </c>
      <c r="N125" s="50">
        <v>-0.13704965920155801</v>
      </c>
      <c r="O125" s="50">
        <v>0.22843474590012011</v>
      </c>
      <c r="P125" s="50">
        <v>0.95466802076570478</v>
      </c>
    </row>
    <row r="126" spans="1:16" ht="18" customHeight="1" x14ac:dyDescent="0.15">
      <c r="A126" s="5" t="s">
        <v>1023</v>
      </c>
      <c r="B126" s="6" t="s">
        <v>1024</v>
      </c>
      <c r="C126" s="6"/>
      <c r="D126" s="8"/>
      <c r="E126" s="8"/>
      <c r="F126" s="43"/>
      <c r="G126" s="43"/>
      <c r="H126" s="36"/>
      <c r="I126" s="6" t="s">
        <v>1095</v>
      </c>
      <c r="J126" s="6" t="s">
        <v>1146</v>
      </c>
      <c r="K126" s="6">
        <v>79</v>
      </c>
      <c r="L126" s="6" t="s">
        <v>1147</v>
      </c>
      <c r="M126" s="50">
        <v>0.85173706574667152</v>
      </c>
      <c r="N126" s="50">
        <v>9.0360272638753639E-2</v>
      </c>
      <c r="O126" s="50">
        <v>0.42838384843685001</v>
      </c>
      <c r="P126" s="50">
        <v>0.95700793904120396</v>
      </c>
    </row>
    <row r="127" spans="1:16" ht="18" customHeight="1" x14ac:dyDescent="0.15">
      <c r="A127" s="5" t="s">
        <v>1023</v>
      </c>
      <c r="B127" s="6" t="s">
        <v>1024</v>
      </c>
      <c r="C127" s="6"/>
      <c r="D127" s="8"/>
      <c r="E127" s="8"/>
      <c r="F127" s="43"/>
      <c r="G127" s="43"/>
      <c r="H127" s="36"/>
      <c r="I127" s="6" t="s">
        <v>1095</v>
      </c>
      <c r="J127" s="6" t="s">
        <v>1148</v>
      </c>
      <c r="K127" s="6">
        <v>79</v>
      </c>
      <c r="L127" s="6" t="s">
        <v>1149</v>
      </c>
      <c r="M127" s="50">
        <v>0.45274782485231813</v>
      </c>
      <c r="N127" s="50">
        <v>-3.3179162609542359E-2</v>
      </c>
      <c r="O127" s="50">
        <v>0.77160031463273626</v>
      </c>
      <c r="P127" s="50">
        <v>0.95466802076570478</v>
      </c>
    </row>
    <row r="128" spans="1:16" ht="18" customHeight="1" x14ac:dyDescent="0.15">
      <c r="A128" s="5" t="s">
        <v>1023</v>
      </c>
      <c r="B128" s="6" t="s">
        <v>1024</v>
      </c>
      <c r="C128" s="6"/>
      <c r="D128" s="8"/>
      <c r="E128" s="8"/>
      <c r="F128" s="43"/>
      <c r="G128" s="43"/>
      <c r="H128" s="36"/>
      <c r="I128" s="6" t="s">
        <v>1095</v>
      </c>
      <c r="J128" s="6" t="s">
        <v>1150</v>
      </c>
      <c r="K128" s="6">
        <v>79</v>
      </c>
      <c r="L128" s="6" t="s">
        <v>1151</v>
      </c>
      <c r="M128" s="50">
        <v>0.19231884156859119</v>
      </c>
      <c r="N128" s="50">
        <v>0.17767770204479069</v>
      </c>
      <c r="O128" s="50">
        <v>0.1172187514795657</v>
      </c>
      <c r="P128" s="50">
        <v>0.95466802076570478</v>
      </c>
    </row>
    <row r="129" spans="1:16" ht="18" customHeight="1" x14ac:dyDescent="0.15">
      <c r="A129" s="5" t="s">
        <v>1023</v>
      </c>
      <c r="B129" s="6" t="s">
        <v>1024</v>
      </c>
      <c r="C129" s="6"/>
      <c r="D129" s="8"/>
      <c r="E129" s="8"/>
      <c r="F129" s="43"/>
      <c r="G129" s="43"/>
      <c r="H129" s="36"/>
      <c r="I129" s="6" t="s">
        <v>1095</v>
      </c>
      <c r="J129" s="6" t="s">
        <v>1152</v>
      </c>
      <c r="K129" s="6">
        <v>79</v>
      </c>
      <c r="L129" s="6" t="s">
        <v>1153</v>
      </c>
      <c r="M129" s="50">
        <v>0.51686508205574055</v>
      </c>
      <c r="N129" s="50">
        <v>0.15294547224926969</v>
      </c>
      <c r="O129" s="50">
        <v>0.1784078605177741</v>
      </c>
      <c r="P129" s="50">
        <v>0.95466802076570478</v>
      </c>
    </row>
    <row r="130" spans="1:16" ht="18" customHeight="1" x14ac:dyDescent="0.15">
      <c r="A130" s="5" t="s">
        <v>1023</v>
      </c>
      <c r="B130" s="6" t="s">
        <v>1024</v>
      </c>
      <c r="C130" s="6"/>
      <c r="D130" s="8"/>
      <c r="E130" s="8"/>
      <c r="F130" s="43"/>
      <c r="G130" s="43"/>
      <c r="H130" s="36"/>
      <c r="I130" s="6" t="s">
        <v>1095</v>
      </c>
      <c r="J130" s="6" t="s">
        <v>1154</v>
      </c>
      <c r="K130" s="6">
        <v>79</v>
      </c>
      <c r="L130" s="6" t="s">
        <v>1155</v>
      </c>
      <c r="M130" s="50">
        <v>0.79627114670238242</v>
      </c>
      <c r="N130" s="50">
        <v>0.14535053554040889</v>
      </c>
      <c r="O130" s="50">
        <v>0.20121007655211601</v>
      </c>
      <c r="P130" s="50">
        <v>0.95700793904120396</v>
      </c>
    </row>
    <row r="131" spans="1:16" ht="18" customHeight="1" x14ac:dyDescent="0.15">
      <c r="A131" s="5" t="s">
        <v>1023</v>
      </c>
      <c r="B131" s="6" t="s">
        <v>1024</v>
      </c>
      <c r="C131" s="6"/>
      <c r="D131" s="8"/>
      <c r="E131" s="8"/>
      <c r="F131" s="43"/>
      <c r="G131" s="43"/>
      <c r="H131" s="36"/>
      <c r="I131" s="6" t="s">
        <v>1095</v>
      </c>
      <c r="J131" s="6" t="s">
        <v>1156</v>
      </c>
      <c r="K131" s="6">
        <v>79</v>
      </c>
      <c r="L131" s="6" t="s">
        <v>1157</v>
      </c>
      <c r="M131" s="50">
        <v>0.31102277456475252</v>
      </c>
      <c r="N131" s="50">
        <v>-7.8700097370983449E-2</v>
      </c>
      <c r="O131" s="50">
        <v>0.49055730678747411</v>
      </c>
      <c r="P131" s="50">
        <v>0.95466802076570478</v>
      </c>
    </row>
    <row r="132" spans="1:16" ht="18" customHeight="1" x14ac:dyDescent="0.15">
      <c r="A132" s="5" t="s">
        <v>1023</v>
      </c>
      <c r="B132" s="6" t="s">
        <v>1024</v>
      </c>
      <c r="C132" s="6"/>
      <c r="D132" s="8"/>
      <c r="E132" s="8"/>
      <c r="F132" s="43"/>
      <c r="G132" s="43"/>
      <c r="H132" s="36"/>
      <c r="I132" s="6" t="s">
        <v>1095</v>
      </c>
      <c r="J132" s="6" t="s">
        <v>1158</v>
      </c>
      <c r="K132" s="6">
        <v>79</v>
      </c>
      <c r="L132" s="6" t="s">
        <v>1159</v>
      </c>
      <c r="M132" s="50">
        <v>0.77743874511941902</v>
      </c>
      <c r="N132" s="50">
        <v>-5.6815968841285307E-2</v>
      </c>
      <c r="O132" s="50">
        <v>0.61894630672314177</v>
      </c>
      <c r="P132" s="50">
        <v>0.95700793904120396</v>
      </c>
    </row>
    <row r="133" spans="1:16" ht="18" customHeight="1" x14ac:dyDescent="0.15">
      <c r="A133" s="5" t="s">
        <v>1023</v>
      </c>
      <c r="B133" s="6" t="s">
        <v>1024</v>
      </c>
      <c r="C133" s="6"/>
      <c r="D133" s="8"/>
      <c r="E133" s="8"/>
      <c r="F133" s="43"/>
      <c r="G133" s="43"/>
      <c r="H133" s="36"/>
      <c r="I133" s="6" t="s">
        <v>1095</v>
      </c>
      <c r="J133" s="6" t="s">
        <v>1160</v>
      </c>
      <c r="K133" s="6">
        <v>79</v>
      </c>
      <c r="L133" s="6" t="s">
        <v>1161</v>
      </c>
      <c r="M133" s="50">
        <v>0.56952039766362039</v>
      </c>
      <c r="N133" s="50">
        <v>9.9464459591041859E-2</v>
      </c>
      <c r="O133" s="50">
        <v>0.38313546259303782</v>
      </c>
      <c r="P133" s="50">
        <v>0.95466802076570478</v>
      </c>
    </row>
    <row r="134" spans="1:16" ht="18" customHeight="1" x14ac:dyDescent="0.15">
      <c r="A134" s="5" t="s">
        <v>1023</v>
      </c>
      <c r="B134" s="6" t="s">
        <v>1024</v>
      </c>
      <c r="C134" s="6"/>
      <c r="D134" s="8"/>
      <c r="E134" s="8"/>
      <c r="F134" s="43"/>
      <c r="G134" s="43"/>
      <c r="H134" s="36"/>
      <c r="I134" s="6" t="s">
        <v>1095</v>
      </c>
      <c r="J134" s="6" t="s">
        <v>1162</v>
      </c>
      <c r="K134" s="6">
        <v>79</v>
      </c>
      <c r="L134" s="6" t="s">
        <v>1163</v>
      </c>
      <c r="M134" s="50">
        <v>0.54082719486409847</v>
      </c>
      <c r="N134" s="50">
        <v>-5.6450827653359299E-2</v>
      </c>
      <c r="O134" s="50">
        <v>0.62120531201416762</v>
      </c>
      <c r="P134" s="50">
        <v>0.95466802076570478</v>
      </c>
    </row>
    <row r="135" spans="1:16" ht="18" customHeight="1" x14ac:dyDescent="0.15">
      <c r="A135" s="5" t="s">
        <v>1023</v>
      </c>
      <c r="B135" s="6" t="s">
        <v>1024</v>
      </c>
      <c r="C135" s="6"/>
      <c r="D135" s="8"/>
      <c r="E135" s="8"/>
      <c r="F135" s="43"/>
      <c r="G135" s="43"/>
      <c r="H135" s="36"/>
      <c r="I135" s="6" t="s">
        <v>1095</v>
      </c>
      <c r="J135" s="6" t="s">
        <v>1164</v>
      </c>
      <c r="K135" s="6">
        <v>79</v>
      </c>
      <c r="L135" s="6" t="s">
        <v>1165</v>
      </c>
      <c r="M135" s="50">
        <v>0.51212204450235344</v>
      </c>
      <c r="N135" s="50">
        <v>1.711295034079844E-2</v>
      </c>
      <c r="O135" s="50">
        <v>0.88100939078991536</v>
      </c>
      <c r="P135" s="50">
        <v>0.95466802076570478</v>
      </c>
    </row>
    <row r="136" spans="1:16" ht="18" customHeight="1" x14ac:dyDescent="0.15">
      <c r="A136" s="5" t="s">
        <v>1023</v>
      </c>
      <c r="B136" s="6" t="s">
        <v>1024</v>
      </c>
      <c r="C136" s="6"/>
      <c r="D136" s="8"/>
      <c r="E136" s="8"/>
      <c r="F136" s="43"/>
      <c r="G136" s="43"/>
      <c r="H136" s="36"/>
      <c r="I136" s="6" t="s">
        <v>1095</v>
      </c>
      <c r="J136" s="6" t="s">
        <v>1166</v>
      </c>
      <c r="K136" s="6">
        <v>79</v>
      </c>
      <c r="L136" s="6" t="s">
        <v>1167</v>
      </c>
      <c r="M136" s="50">
        <v>0.71419737024601015</v>
      </c>
      <c r="N136" s="50">
        <v>4.2405063291139238E-2</v>
      </c>
      <c r="O136" s="50">
        <v>0.71058996285024345</v>
      </c>
      <c r="P136" s="50">
        <v>0.95700793904120396</v>
      </c>
    </row>
    <row r="137" spans="1:16" ht="18" customHeight="1" x14ac:dyDescent="0.15">
      <c r="A137" s="5" t="s">
        <v>1023</v>
      </c>
      <c r="B137" s="6" t="s">
        <v>1024</v>
      </c>
      <c r="C137" s="6"/>
      <c r="D137" s="8"/>
      <c r="E137" s="8"/>
      <c r="F137" s="43"/>
      <c r="G137" s="43"/>
      <c r="H137" s="36"/>
      <c r="I137" s="6" t="s">
        <v>1095</v>
      </c>
      <c r="J137" s="6" t="s">
        <v>1168</v>
      </c>
      <c r="K137" s="6">
        <v>79</v>
      </c>
      <c r="L137" s="6" t="s">
        <v>1169</v>
      </c>
      <c r="M137" s="50">
        <v>0.22357017854758629</v>
      </c>
      <c r="N137" s="50">
        <v>4.5496592015579353E-2</v>
      </c>
      <c r="O137" s="50">
        <v>0.69052456512370719</v>
      </c>
      <c r="P137" s="50">
        <v>0.95466802076570478</v>
      </c>
    </row>
    <row r="138" spans="1:16" ht="18" customHeight="1" x14ac:dyDescent="0.15">
      <c r="A138" s="5" t="s">
        <v>1023</v>
      </c>
      <c r="B138" s="6" t="s">
        <v>1024</v>
      </c>
      <c r="C138" s="6"/>
      <c r="D138" s="8"/>
      <c r="E138" s="8"/>
      <c r="F138" s="43"/>
      <c r="G138" s="43"/>
      <c r="H138" s="36"/>
      <c r="I138" s="6" t="s">
        <v>1095</v>
      </c>
      <c r="J138" s="6" t="s">
        <v>1170</v>
      </c>
      <c r="K138" s="6">
        <v>79</v>
      </c>
      <c r="L138" s="6" t="s">
        <v>1171</v>
      </c>
      <c r="M138" s="50">
        <v>0.8627981176836208</v>
      </c>
      <c r="N138" s="50">
        <v>-4.3573515092502429E-2</v>
      </c>
      <c r="O138" s="50">
        <v>0.70298216658524004</v>
      </c>
      <c r="P138" s="50">
        <v>0.95811258889703843</v>
      </c>
    </row>
    <row r="139" spans="1:16" ht="18" customHeight="1" x14ac:dyDescent="0.15">
      <c r="A139" s="5" t="s">
        <v>1023</v>
      </c>
      <c r="B139" s="6" t="s">
        <v>1024</v>
      </c>
      <c r="C139" s="6"/>
      <c r="D139" s="8"/>
      <c r="E139" s="8"/>
      <c r="F139" s="43"/>
      <c r="G139" s="43"/>
      <c r="H139" s="36"/>
      <c r="I139" s="6" t="s">
        <v>1095</v>
      </c>
      <c r="J139" s="6" t="s">
        <v>1172</v>
      </c>
      <c r="K139" s="6">
        <v>79</v>
      </c>
      <c r="L139" s="6" t="s">
        <v>1173</v>
      </c>
      <c r="M139" s="50">
        <v>0.1650041821857666</v>
      </c>
      <c r="N139" s="50">
        <v>0.12850535540408961</v>
      </c>
      <c r="O139" s="50">
        <v>0.25904038759059178</v>
      </c>
      <c r="P139" s="50">
        <v>0.95466802076570478</v>
      </c>
    </row>
    <row r="140" spans="1:16" ht="18" customHeight="1" x14ac:dyDescent="0.15">
      <c r="A140" s="5" t="s">
        <v>1023</v>
      </c>
      <c r="B140" s="6" t="s">
        <v>1024</v>
      </c>
      <c r="C140" s="6"/>
      <c r="D140" s="8"/>
      <c r="E140" s="8"/>
      <c r="F140" s="43"/>
      <c r="G140" s="43"/>
      <c r="H140" s="36"/>
      <c r="I140" s="6" t="s">
        <v>1095</v>
      </c>
      <c r="J140" s="6" t="s">
        <v>1174</v>
      </c>
      <c r="K140" s="6">
        <v>79</v>
      </c>
      <c r="L140" s="6" t="s">
        <v>1175</v>
      </c>
      <c r="M140" s="50">
        <v>0.28737373189228149</v>
      </c>
      <c r="N140" s="50">
        <v>7.6022395326192801E-2</v>
      </c>
      <c r="O140" s="50">
        <v>0.50547739018075688</v>
      </c>
      <c r="P140" s="50">
        <v>0.95466802076570478</v>
      </c>
    </row>
    <row r="141" spans="1:16" ht="18" customHeight="1" x14ac:dyDescent="0.15">
      <c r="A141" s="5" t="s">
        <v>1023</v>
      </c>
      <c r="B141" s="6" t="s">
        <v>1024</v>
      </c>
      <c r="C141" s="6"/>
      <c r="D141" s="8"/>
      <c r="E141" s="8"/>
      <c r="F141" s="43"/>
      <c r="G141" s="43"/>
      <c r="H141" s="36"/>
      <c r="I141" s="6" t="s">
        <v>1095</v>
      </c>
      <c r="J141" s="6" t="s">
        <v>1176</v>
      </c>
      <c r="K141" s="6">
        <v>79</v>
      </c>
      <c r="L141" s="6" t="s">
        <v>1177</v>
      </c>
      <c r="M141" s="50">
        <v>0.85019415023137102</v>
      </c>
      <c r="N141" s="50">
        <v>8.7633885102238998E-4</v>
      </c>
      <c r="O141" s="50">
        <v>0.99388434027238404</v>
      </c>
      <c r="P141" s="50">
        <v>0.95700793904120396</v>
      </c>
    </row>
    <row r="142" spans="1:16" ht="18" customHeight="1" x14ac:dyDescent="0.15">
      <c r="A142" s="5" t="s">
        <v>1023</v>
      </c>
      <c r="B142" s="6" t="s">
        <v>1024</v>
      </c>
      <c r="C142" s="6"/>
      <c r="D142" s="8"/>
      <c r="E142" s="8"/>
      <c r="F142" s="43"/>
      <c r="G142" s="43"/>
      <c r="H142" s="36"/>
      <c r="I142" s="6" t="s">
        <v>1095</v>
      </c>
      <c r="J142" s="6" t="s">
        <v>1178</v>
      </c>
      <c r="K142" s="6">
        <v>79</v>
      </c>
      <c r="L142" s="6" t="s">
        <v>1179</v>
      </c>
      <c r="M142" s="50">
        <v>0.71411862656920067</v>
      </c>
      <c r="N142" s="50">
        <v>-5.6304771178188898E-2</v>
      </c>
      <c r="O142" s="50">
        <v>0.62210989683083073</v>
      </c>
      <c r="P142" s="50">
        <v>0.95700793904120396</v>
      </c>
    </row>
    <row r="143" spans="1:16" ht="18" customHeight="1" x14ac:dyDescent="0.15">
      <c r="A143" s="5" t="s">
        <v>1023</v>
      </c>
      <c r="B143" s="6" t="s">
        <v>1024</v>
      </c>
      <c r="C143" s="6"/>
      <c r="D143" s="8"/>
      <c r="E143" s="8"/>
      <c r="F143" s="43"/>
      <c r="G143" s="43"/>
      <c r="H143" s="36"/>
      <c r="I143" s="6" t="s">
        <v>1095</v>
      </c>
      <c r="J143" s="6" t="s">
        <v>1180</v>
      </c>
      <c r="K143" s="6">
        <v>79</v>
      </c>
      <c r="L143" s="6" t="s">
        <v>1181</v>
      </c>
      <c r="M143" s="50">
        <v>0.94925301622155223</v>
      </c>
      <c r="N143" s="50">
        <v>-3.037974683544304E-2</v>
      </c>
      <c r="O143" s="50">
        <v>0.79040979620815421</v>
      </c>
      <c r="P143" s="50">
        <v>0.97609564650031078</v>
      </c>
    </row>
    <row r="144" spans="1:16" ht="18" customHeight="1" x14ac:dyDescent="0.15">
      <c r="A144" s="5" t="s">
        <v>1023</v>
      </c>
      <c r="B144" s="6" t="s">
        <v>1024</v>
      </c>
      <c r="C144" s="6"/>
      <c r="D144" s="8"/>
      <c r="E144" s="8"/>
      <c r="F144" s="43"/>
      <c r="G144" s="43"/>
      <c r="H144" s="36"/>
      <c r="I144" s="6" t="s">
        <v>1095</v>
      </c>
      <c r="J144" s="6" t="s">
        <v>1182</v>
      </c>
      <c r="K144" s="6">
        <v>79</v>
      </c>
      <c r="L144" s="6" t="s">
        <v>1183</v>
      </c>
      <c r="M144" s="50">
        <v>0.31723345249630192</v>
      </c>
      <c r="N144" s="50">
        <v>0.1096397273612464</v>
      </c>
      <c r="O144" s="50">
        <v>0.33611481347516958</v>
      </c>
      <c r="P144" s="50">
        <v>0.95466802076570478</v>
      </c>
    </row>
    <row r="145" spans="1:16" ht="18" customHeight="1" x14ac:dyDescent="0.15">
      <c r="A145" s="5" t="s">
        <v>1023</v>
      </c>
      <c r="B145" s="6" t="s">
        <v>1024</v>
      </c>
      <c r="C145" s="6"/>
      <c r="D145" s="8"/>
      <c r="E145" s="8"/>
      <c r="F145" s="43"/>
      <c r="G145" s="43"/>
      <c r="H145" s="36"/>
      <c r="I145" s="6" t="s">
        <v>1095</v>
      </c>
      <c r="J145" s="6" t="s">
        <v>1184</v>
      </c>
      <c r="K145" s="6">
        <v>79</v>
      </c>
      <c r="L145" s="6" t="s">
        <v>1185</v>
      </c>
      <c r="M145" s="50">
        <v>0.24137276180181139</v>
      </c>
      <c r="N145" s="50">
        <v>-8.1085686465433307E-2</v>
      </c>
      <c r="O145" s="50">
        <v>0.47746301568621352</v>
      </c>
      <c r="P145" s="50">
        <v>0.95466802076570478</v>
      </c>
    </row>
    <row r="146" spans="1:16" ht="18" customHeight="1" x14ac:dyDescent="0.15">
      <c r="A146" s="5" t="s">
        <v>1023</v>
      </c>
      <c r="B146" s="6" t="s">
        <v>1024</v>
      </c>
      <c r="C146" s="6"/>
      <c r="D146" s="8"/>
      <c r="E146" s="8"/>
      <c r="F146" s="43"/>
      <c r="G146" s="43"/>
      <c r="H146" s="36"/>
      <c r="I146" s="6" t="s">
        <v>1095</v>
      </c>
      <c r="J146" s="6" t="s">
        <v>1186</v>
      </c>
      <c r="K146" s="6">
        <v>79</v>
      </c>
      <c r="L146" s="6" t="s">
        <v>1187</v>
      </c>
      <c r="M146" s="50">
        <v>0.40237158289351521</v>
      </c>
      <c r="N146" s="50">
        <v>0.15399221032132429</v>
      </c>
      <c r="O146" s="50">
        <v>0.17541941615416731</v>
      </c>
      <c r="P146" s="50">
        <v>0.95466802076570478</v>
      </c>
    </row>
    <row r="147" spans="1:16" ht="18" customHeight="1" x14ac:dyDescent="0.15">
      <c r="A147" s="5" t="s">
        <v>1023</v>
      </c>
      <c r="B147" s="6" t="s">
        <v>1024</v>
      </c>
      <c r="C147" s="6"/>
      <c r="D147" s="8"/>
      <c r="E147" s="8"/>
      <c r="F147" s="43"/>
      <c r="G147" s="43"/>
      <c r="H147" s="36"/>
      <c r="I147" s="6" t="s">
        <v>1095</v>
      </c>
      <c r="J147" s="6" t="s">
        <v>1188</v>
      </c>
      <c r="K147" s="6">
        <v>79</v>
      </c>
      <c r="L147" s="6" t="s">
        <v>1189</v>
      </c>
      <c r="M147" s="50">
        <v>0.94815242747023598</v>
      </c>
      <c r="N147" s="50">
        <v>2.7896786757546251E-2</v>
      </c>
      <c r="O147" s="50">
        <v>0.80719412376329891</v>
      </c>
      <c r="P147" s="50">
        <v>0.97609564650031078</v>
      </c>
    </row>
    <row r="148" spans="1:16" ht="18" customHeight="1" x14ac:dyDescent="0.15">
      <c r="A148" s="5" t="s">
        <v>1023</v>
      </c>
      <c r="B148" s="6" t="s">
        <v>1024</v>
      </c>
      <c r="C148" s="6"/>
      <c r="D148" s="8"/>
      <c r="E148" s="8"/>
      <c r="F148" s="43"/>
      <c r="G148" s="43"/>
      <c r="H148" s="36"/>
      <c r="I148" s="6" t="s">
        <v>1095</v>
      </c>
      <c r="J148" s="6" t="s">
        <v>1190</v>
      </c>
      <c r="K148" s="6">
        <v>79</v>
      </c>
      <c r="L148" s="6" t="s">
        <v>1191</v>
      </c>
      <c r="M148" s="50">
        <v>0.41245573180191097</v>
      </c>
      <c r="N148" s="50">
        <v>6.8622200584225912E-2</v>
      </c>
      <c r="O148" s="50">
        <v>0.54789679615687814</v>
      </c>
      <c r="P148" s="50">
        <v>0.95466802076570478</v>
      </c>
    </row>
    <row r="149" spans="1:16" ht="18" customHeight="1" x14ac:dyDescent="0.15">
      <c r="A149" s="5" t="s">
        <v>1023</v>
      </c>
      <c r="B149" s="6" t="s">
        <v>1024</v>
      </c>
      <c r="C149" s="6"/>
      <c r="D149" s="8"/>
      <c r="E149" s="8"/>
      <c r="F149" s="43"/>
      <c r="G149" s="43"/>
      <c r="H149" s="36"/>
      <c r="I149" s="6" t="s">
        <v>1095</v>
      </c>
      <c r="J149" s="6" t="s">
        <v>1192</v>
      </c>
      <c r="K149" s="6">
        <v>79</v>
      </c>
      <c r="L149" s="6" t="s">
        <v>1193</v>
      </c>
      <c r="M149" s="50">
        <v>0.99766671874927559</v>
      </c>
      <c r="N149" s="50">
        <v>3.3276533592989287E-2</v>
      </c>
      <c r="O149" s="50">
        <v>0.7709483654098761</v>
      </c>
      <c r="P149" s="50">
        <v>0.99766671874927559</v>
      </c>
    </row>
    <row r="150" spans="1:16" ht="18" customHeight="1" x14ac:dyDescent="0.15">
      <c r="A150" s="5" t="s">
        <v>1023</v>
      </c>
      <c r="B150" s="6" t="s">
        <v>1024</v>
      </c>
      <c r="C150" s="6"/>
      <c r="D150" s="8"/>
      <c r="E150" s="8"/>
      <c r="F150" s="43"/>
      <c r="G150" s="43"/>
      <c r="H150" s="36"/>
      <c r="I150" s="6" t="s">
        <v>1095</v>
      </c>
      <c r="J150" s="6" t="s">
        <v>1194</v>
      </c>
      <c r="K150" s="6">
        <v>79</v>
      </c>
      <c r="L150" s="6" t="s">
        <v>1195</v>
      </c>
      <c r="M150" s="50">
        <v>0.96472603094065601</v>
      </c>
      <c r="N150" s="50">
        <v>0.1131450827653359</v>
      </c>
      <c r="O150" s="50">
        <v>0.32079828722011638</v>
      </c>
      <c r="P150" s="50">
        <v>0.98212512151066245</v>
      </c>
    </row>
    <row r="151" spans="1:16" ht="18" customHeight="1" x14ac:dyDescent="0.15">
      <c r="A151" s="5" t="s">
        <v>1023</v>
      </c>
      <c r="B151" s="6" t="s">
        <v>1024</v>
      </c>
      <c r="C151" s="6"/>
      <c r="D151" s="8"/>
      <c r="E151" s="8"/>
      <c r="F151" s="43"/>
      <c r="G151" s="43"/>
      <c r="H151" s="36"/>
      <c r="I151" s="6" t="s">
        <v>1095</v>
      </c>
      <c r="J151" s="6" t="s">
        <v>1196</v>
      </c>
      <c r="K151" s="6">
        <v>79</v>
      </c>
      <c r="L151" s="6" t="s">
        <v>1197</v>
      </c>
      <c r="M151" s="50">
        <v>0.76470588502673043</v>
      </c>
      <c r="N151" s="50">
        <v>5.133885102239532E-2</v>
      </c>
      <c r="O151" s="50">
        <v>0.65319147312425285</v>
      </c>
      <c r="P151" s="50">
        <v>0.95700793904120396</v>
      </c>
    </row>
    <row r="152" spans="1:16" ht="18" customHeight="1" x14ac:dyDescent="0.15">
      <c r="A152" s="5" t="s">
        <v>1023</v>
      </c>
      <c r="B152" s="6" t="s">
        <v>1024</v>
      </c>
      <c r="C152" s="6"/>
      <c r="D152" s="8"/>
      <c r="E152" s="8"/>
      <c r="F152" s="43"/>
      <c r="G152" s="43"/>
      <c r="H152" s="36"/>
      <c r="I152" s="6" t="s">
        <v>1095</v>
      </c>
      <c r="J152" s="6" t="s">
        <v>1198</v>
      </c>
      <c r="K152" s="6">
        <v>79</v>
      </c>
      <c r="L152" s="6" t="s">
        <v>1199</v>
      </c>
      <c r="M152" s="50">
        <v>3.2658941601296558E-2</v>
      </c>
      <c r="N152" s="50">
        <v>-0.276460564751704</v>
      </c>
      <c r="O152" s="50">
        <v>1.365008215863449E-2</v>
      </c>
      <c r="P152" s="50">
        <v>0.95466802076570478</v>
      </c>
    </row>
    <row r="153" spans="1:16" ht="18" customHeight="1" x14ac:dyDescent="0.15">
      <c r="A153" s="5" t="s">
        <v>1023</v>
      </c>
      <c r="B153" s="6" t="s">
        <v>1024</v>
      </c>
      <c r="C153" s="6"/>
      <c r="D153" s="8"/>
      <c r="E153" s="8"/>
      <c r="F153" s="43"/>
      <c r="G153" s="43"/>
      <c r="H153" s="36"/>
      <c r="I153" s="6" t="s">
        <v>1095</v>
      </c>
      <c r="J153" s="6" t="s">
        <v>1200</v>
      </c>
      <c r="K153" s="6">
        <v>79</v>
      </c>
      <c r="L153" s="6" t="s">
        <v>1201</v>
      </c>
      <c r="M153" s="50">
        <v>0.37979887399057582</v>
      </c>
      <c r="N153" s="50">
        <v>2.8967867575462509E-2</v>
      </c>
      <c r="O153" s="50">
        <v>0.79994266677043946</v>
      </c>
      <c r="P153" s="50">
        <v>0.95466802076570478</v>
      </c>
    </row>
    <row r="154" spans="1:16" ht="18" customHeight="1" x14ac:dyDescent="0.15">
      <c r="A154" s="5" t="s">
        <v>1023</v>
      </c>
      <c r="B154" s="6" t="s">
        <v>1024</v>
      </c>
      <c r="C154" s="6"/>
      <c r="D154" s="8"/>
      <c r="E154" s="8"/>
      <c r="F154" s="43"/>
      <c r="G154" s="43"/>
      <c r="H154" s="36"/>
      <c r="I154" s="6" t="s">
        <v>1095</v>
      </c>
      <c r="J154" s="6" t="s">
        <v>1202</v>
      </c>
      <c r="K154" s="6">
        <v>79</v>
      </c>
      <c r="L154" s="6" t="s">
        <v>1203</v>
      </c>
      <c r="M154" s="50">
        <v>0.71696845724882874</v>
      </c>
      <c r="N154" s="50">
        <v>5.167964946445959E-2</v>
      </c>
      <c r="O154" s="50">
        <v>0.65103866516832798</v>
      </c>
      <c r="P154" s="50">
        <v>0.95700793904120396</v>
      </c>
    </row>
    <row r="155" spans="1:16" ht="18" customHeight="1" x14ac:dyDescent="0.15">
      <c r="A155" s="5" t="s">
        <v>1023</v>
      </c>
      <c r="B155" s="6" t="s">
        <v>1024</v>
      </c>
      <c r="C155" s="6"/>
      <c r="D155" s="8"/>
      <c r="E155" s="8"/>
      <c r="F155" s="43"/>
      <c r="G155" s="43"/>
      <c r="H155" s="36"/>
      <c r="I155" s="6" t="s">
        <v>1095</v>
      </c>
      <c r="J155" s="6" t="s">
        <v>1204</v>
      </c>
      <c r="K155" s="6">
        <v>79</v>
      </c>
      <c r="L155" s="6" t="s">
        <v>1205</v>
      </c>
      <c r="M155" s="50">
        <v>0.78968174045362061</v>
      </c>
      <c r="N155" s="50">
        <v>-1.2658227848101201E-3</v>
      </c>
      <c r="O155" s="50">
        <v>0.99116636140974024</v>
      </c>
      <c r="P155" s="50">
        <v>0.95700793904120396</v>
      </c>
    </row>
    <row r="156" spans="1:16" ht="18" customHeight="1" x14ac:dyDescent="0.15">
      <c r="A156" s="5" t="s">
        <v>1023</v>
      </c>
      <c r="B156" s="6" t="s">
        <v>1024</v>
      </c>
      <c r="C156" s="6"/>
      <c r="D156" s="8"/>
      <c r="E156" s="8"/>
      <c r="F156" s="43"/>
      <c r="G156" s="43"/>
      <c r="H156" s="36"/>
      <c r="I156" s="6" t="s">
        <v>1095</v>
      </c>
      <c r="J156" s="6" t="s">
        <v>1206</v>
      </c>
      <c r="K156" s="6">
        <v>79</v>
      </c>
      <c r="L156" s="6" t="s">
        <v>1207</v>
      </c>
      <c r="M156" s="50">
        <v>0.45266665212634571</v>
      </c>
      <c r="N156" s="50">
        <v>-7.1957156767283356E-2</v>
      </c>
      <c r="O156" s="50">
        <v>0.52856852579227709</v>
      </c>
      <c r="P156" s="50">
        <v>0.95466802076570478</v>
      </c>
    </row>
    <row r="157" spans="1:16" ht="18" customHeight="1" x14ac:dyDescent="0.15">
      <c r="A157" s="5" t="s">
        <v>1023</v>
      </c>
      <c r="B157" s="6" t="s">
        <v>1024</v>
      </c>
      <c r="C157" s="6"/>
      <c r="D157" s="8"/>
      <c r="E157" s="8"/>
      <c r="F157" s="43"/>
      <c r="G157" s="43"/>
      <c r="H157" s="36"/>
      <c r="I157" s="6" t="s">
        <v>1095</v>
      </c>
      <c r="J157" s="6" t="s">
        <v>1208</v>
      </c>
      <c r="K157" s="6">
        <v>79</v>
      </c>
      <c r="L157" s="6" t="s">
        <v>1209</v>
      </c>
      <c r="M157" s="50">
        <v>0.62406002386136827</v>
      </c>
      <c r="N157" s="50">
        <v>-3.3885102239532623E-2</v>
      </c>
      <c r="O157" s="50">
        <v>0.76687729267183036</v>
      </c>
      <c r="P157" s="50">
        <v>0.95466802076570478</v>
      </c>
    </row>
    <row r="158" spans="1:16" ht="18" customHeight="1" x14ac:dyDescent="0.15">
      <c r="A158" s="5" t="s">
        <v>1023</v>
      </c>
      <c r="B158" s="6" t="s">
        <v>1024</v>
      </c>
      <c r="C158" s="6"/>
      <c r="D158" s="8"/>
      <c r="E158" s="8"/>
      <c r="F158" s="43"/>
      <c r="G158" s="43"/>
      <c r="H158" s="36"/>
      <c r="I158" s="6" t="s">
        <v>1095</v>
      </c>
      <c r="J158" s="6" t="s">
        <v>1210</v>
      </c>
      <c r="K158" s="6">
        <v>79</v>
      </c>
      <c r="L158" s="6" t="s">
        <v>1211</v>
      </c>
      <c r="M158" s="50">
        <v>0.79716804963879107</v>
      </c>
      <c r="N158" s="50">
        <v>-9.1455696202531633E-2</v>
      </c>
      <c r="O158" s="50">
        <v>0.42278362317918611</v>
      </c>
      <c r="P158" s="50">
        <v>0.95700793904120396</v>
      </c>
    </row>
    <row r="159" spans="1:16" ht="18" customHeight="1" x14ac:dyDescent="0.15">
      <c r="A159" s="5" t="s">
        <v>1023</v>
      </c>
      <c r="B159" s="6" t="s">
        <v>1024</v>
      </c>
      <c r="C159" s="6"/>
      <c r="D159" s="8"/>
      <c r="E159" s="8"/>
      <c r="F159" s="43"/>
      <c r="G159" s="43"/>
      <c r="H159" s="36"/>
      <c r="I159" s="6" t="s">
        <v>1095</v>
      </c>
      <c r="J159" s="6" t="s">
        <v>1212</v>
      </c>
      <c r="K159" s="6">
        <v>79</v>
      </c>
      <c r="L159" s="6" t="s">
        <v>1213</v>
      </c>
      <c r="M159" s="50">
        <v>0.2332940624037374</v>
      </c>
      <c r="N159" s="50">
        <v>6.91333982473223E-2</v>
      </c>
      <c r="O159" s="50">
        <v>0.54491198584774048</v>
      </c>
      <c r="P159" s="50">
        <v>0.95466802076570478</v>
      </c>
    </row>
    <row r="160" spans="1:16" ht="18" customHeight="1" x14ac:dyDescent="0.15">
      <c r="A160" s="5" t="s">
        <v>1023</v>
      </c>
      <c r="B160" s="6" t="s">
        <v>1024</v>
      </c>
      <c r="C160" s="6"/>
      <c r="D160" s="8"/>
      <c r="E160" s="8"/>
      <c r="F160" s="43"/>
      <c r="G160" s="43"/>
      <c r="H160" s="36"/>
      <c r="I160" s="6" t="s">
        <v>1095</v>
      </c>
      <c r="J160" s="6" t="s">
        <v>1214</v>
      </c>
      <c r="K160" s="6">
        <v>79</v>
      </c>
      <c r="L160" s="6" t="s">
        <v>1215</v>
      </c>
      <c r="M160" s="50">
        <v>0.4894081667315206</v>
      </c>
      <c r="N160" s="50">
        <v>-2.290652385589094E-2</v>
      </c>
      <c r="O160" s="50">
        <v>0.84118440467823874</v>
      </c>
      <c r="P160" s="50">
        <v>0.95466802076570478</v>
      </c>
    </row>
    <row r="161" spans="1:16" ht="18" customHeight="1" x14ac:dyDescent="0.15">
      <c r="A161" s="5" t="s">
        <v>1023</v>
      </c>
      <c r="B161" s="6" t="s">
        <v>1024</v>
      </c>
      <c r="C161" s="6"/>
      <c r="D161" s="8"/>
      <c r="E161" s="8"/>
      <c r="F161" s="43"/>
      <c r="G161" s="43"/>
      <c r="H161" s="36"/>
      <c r="I161" s="6" t="s">
        <v>1095</v>
      </c>
      <c r="J161" s="6" t="s">
        <v>1216</v>
      </c>
      <c r="K161" s="6">
        <v>79</v>
      </c>
      <c r="L161" s="6" t="s">
        <v>1217</v>
      </c>
      <c r="M161" s="50">
        <v>0.82314230170234914</v>
      </c>
      <c r="N161" s="50">
        <v>-1.0296981499513139E-2</v>
      </c>
      <c r="O161" s="50">
        <v>0.92823543699420197</v>
      </c>
      <c r="P161" s="50">
        <v>0.95700793904120396</v>
      </c>
    </row>
    <row r="162" spans="1:16" ht="18" customHeight="1" x14ac:dyDescent="0.15">
      <c r="A162" s="5" t="s">
        <v>1023</v>
      </c>
      <c r="B162" s="6" t="s">
        <v>1024</v>
      </c>
      <c r="C162" s="6"/>
      <c r="D162" s="8"/>
      <c r="E162" s="8"/>
      <c r="F162" s="43"/>
      <c r="G162" s="43"/>
      <c r="H162" s="36"/>
      <c r="I162" s="6" t="s">
        <v>1095</v>
      </c>
      <c r="J162" s="6" t="s">
        <v>1218</v>
      </c>
      <c r="K162" s="6">
        <v>79</v>
      </c>
      <c r="L162" s="6" t="s">
        <v>1219</v>
      </c>
      <c r="M162" s="50">
        <v>8.1313474320944948E-2</v>
      </c>
      <c r="N162" s="50">
        <v>-0.1470545277507303</v>
      </c>
      <c r="O162" s="50">
        <v>0.1959213161395007</v>
      </c>
      <c r="P162" s="50">
        <v>0.95466802076570478</v>
      </c>
    </row>
    <row r="163" spans="1:16" ht="18" customHeight="1" x14ac:dyDescent="0.15">
      <c r="A163" s="5" t="s">
        <v>1023</v>
      </c>
      <c r="B163" s="6" t="s">
        <v>1024</v>
      </c>
      <c r="C163" s="6"/>
      <c r="D163" s="8"/>
      <c r="E163" s="8"/>
      <c r="F163" s="43"/>
      <c r="G163" s="43"/>
      <c r="H163" s="36"/>
      <c r="I163" s="6" t="s">
        <v>1095</v>
      </c>
      <c r="J163" s="6" t="s">
        <v>1220</v>
      </c>
      <c r="K163" s="6">
        <v>79</v>
      </c>
      <c r="L163" s="6" t="s">
        <v>1221</v>
      </c>
      <c r="M163" s="50">
        <v>0.83593446755560508</v>
      </c>
      <c r="N163" s="50">
        <v>9.1041869522882103E-3</v>
      </c>
      <c r="O163" s="50">
        <v>0.93653024872993162</v>
      </c>
      <c r="P163" s="50">
        <v>0.95700793904120396</v>
      </c>
    </row>
    <row r="164" spans="1:16" ht="18" customHeight="1" x14ac:dyDescent="0.15">
      <c r="A164" s="5" t="s">
        <v>1023</v>
      </c>
      <c r="B164" s="6" t="s">
        <v>1024</v>
      </c>
      <c r="C164" s="6"/>
      <c r="D164" s="8"/>
      <c r="E164" s="8"/>
      <c r="F164" s="43"/>
      <c r="G164" s="43"/>
      <c r="H164" s="36"/>
      <c r="I164" s="6" t="s">
        <v>1095</v>
      </c>
      <c r="J164" s="6" t="s">
        <v>1222</v>
      </c>
      <c r="K164" s="6">
        <v>79</v>
      </c>
      <c r="L164" s="6" t="s">
        <v>1223</v>
      </c>
      <c r="M164" s="50">
        <v>0.70976161330312637</v>
      </c>
      <c r="N164" s="50">
        <v>5.9761441090555013E-2</v>
      </c>
      <c r="O164" s="50">
        <v>0.60085398745293928</v>
      </c>
      <c r="P164" s="50">
        <v>0.95700793904120396</v>
      </c>
    </row>
    <row r="165" spans="1:16" ht="18" customHeight="1" x14ac:dyDescent="0.15">
      <c r="A165" s="5" t="s">
        <v>1023</v>
      </c>
      <c r="B165" s="6" t="s">
        <v>1024</v>
      </c>
      <c r="C165" s="6"/>
      <c r="D165" s="8"/>
      <c r="E165" s="8"/>
      <c r="F165" s="43"/>
      <c r="G165" s="43"/>
      <c r="H165" s="36"/>
      <c r="I165" s="6" t="s">
        <v>1095</v>
      </c>
      <c r="J165" s="6" t="s">
        <v>1224</v>
      </c>
      <c r="K165" s="6">
        <v>79</v>
      </c>
      <c r="L165" s="6" t="s">
        <v>1225</v>
      </c>
      <c r="M165" s="50">
        <v>0.61267753206524278</v>
      </c>
      <c r="N165" s="50">
        <v>5.6572541382667971E-2</v>
      </c>
      <c r="O165" s="50">
        <v>0.62045191981845493</v>
      </c>
      <c r="P165" s="50">
        <v>0.95466802076570478</v>
      </c>
    </row>
    <row r="166" spans="1:16" ht="18" customHeight="1" x14ac:dyDescent="0.15">
      <c r="A166" s="5" t="s">
        <v>1023</v>
      </c>
      <c r="B166" s="6" t="s">
        <v>1024</v>
      </c>
      <c r="C166" s="6"/>
      <c r="D166" s="8"/>
      <c r="E166" s="8"/>
      <c r="F166" s="43"/>
      <c r="G166" s="43"/>
      <c r="H166" s="36"/>
      <c r="I166" s="6" t="s">
        <v>1095</v>
      </c>
      <c r="J166" s="6" t="s">
        <v>1226</v>
      </c>
      <c r="K166" s="6">
        <v>79</v>
      </c>
      <c r="L166" s="6" t="s">
        <v>1227</v>
      </c>
      <c r="M166" s="50">
        <v>0.373044573290153</v>
      </c>
      <c r="N166" s="50">
        <v>-9.8198636806231754E-2</v>
      </c>
      <c r="O166" s="50">
        <v>0.38924894877194183</v>
      </c>
      <c r="P166" s="50">
        <v>0.95466802076570478</v>
      </c>
    </row>
    <row r="167" spans="1:16" ht="18" customHeight="1" x14ac:dyDescent="0.15">
      <c r="A167" s="5" t="s">
        <v>1023</v>
      </c>
      <c r="B167" s="6" t="s">
        <v>1024</v>
      </c>
      <c r="C167" s="6"/>
      <c r="D167" s="8"/>
      <c r="E167" s="8"/>
      <c r="F167" s="43"/>
      <c r="G167" s="43"/>
      <c r="H167" s="36"/>
      <c r="I167" s="6" t="s">
        <v>1095</v>
      </c>
      <c r="J167" s="6" t="s">
        <v>1228</v>
      </c>
      <c r="K167" s="6">
        <v>79</v>
      </c>
      <c r="L167" s="6" t="s">
        <v>1229</v>
      </c>
      <c r="M167" s="50">
        <v>0.36528927279773082</v>
      </c>
      <c r="N167" s="50">
        <v>-0.10759493670886081</v>
      </c>
      <c r="O167" s="50">
        <v>0.34525895384828442</v>
      </c>
      <c r="P167" s="50">
        <v>0.95466802076570478</v>
      </c>
    </row>
    <row r="168" spans="1:16" ht="18" customHeight="1" x14ac:dyDescent="0.15">
      <c r="A168" s="5" t="s">
        <v>1023</v>
      </c>
      <c r="B168" s="6" t="s">
        <v>1024</v>
      </c>
      <c r="C168" s="6"/>
      <c r="D168" s="8"/>
      <c r="E168" s="8"/>
      <c r="F168" s="43"/>
      <c r="G168" s="43"/>
      <c r="H168" s="36"/>
      <c r="I168" s="6" t="s">
        <v>1095</v>
      </c>
      <c r="J168" s="6" t="s">
        <v>1230</v>
      </c>
      <c r="K168" s="6">
        <v>79</v>
      </c>
      <c r="L168" s="6" t="s">
        <v>1231</v>
      </c>
      <c r="M168" s="50">
        <v>0.910096899703148</v>
      </c>
      <c r="N168" s="50">
        <v>9.5569620253164567E-2</v>
      </c>
      <c r="O168" s="50">
        <v>0.40213068304278721</v>
      </c>
      <c r="P168" s="50">
        <v>0.97609564650031078</v>
      </c>
    </row>
    <row r="169" spans="1:16" ht="18" customHeight="1" x14ac:dyDescent="0.15">
      <c r="A169" s="5" t="s">
        <v>1023</v>
      </c>
      <c r="B169" s="6" t="s">
        <v>1024</v>
      </c>
      <c r="C169" s="6"/>
      <c r="D169" s="8"/>
      <c r="E169" s="8"/>
      <c r="F169" s="43"/>
      <c r="G169" s="43"/>
      <c r="H169" s="36"/>
      <c r="I169" s="6" t="s">
        <v>1095</v>
      </c>
      <c r="J169" s="6" t="s">
        <v>1232</v>
      </c>
      <c r="K169" s="6">
        <v>79</v>
      </c>
      <c r="L169" s="6" t="s">
        <v>1233</v>
      </c>
      <c r="M169" s="50">
        <v>0.78019974761302546</v>
      </c>
      <c r="N169" s="50">
        <v>-1.582278481012658E-2</v>
      </c>
      <c r="O169" s="50">
        <v>0.88992192920260937</v>
      </c>
      <c r="P169" s="50">
        <v>0.95700793904120396</v>
      </c>
    </row>
    <row r="170" spans="1:16" ht="18" customHeight="1" x14ac:dyDescent="0.15">
      <c r="A170" s="5" t="s">
        <v>1023</v>
      </c>
      <c r="B170" s="6" t="s">
        <v>1024</v>
      </c>
      <c r="C170" s="6"/>
      <c r="D170" s="8"/>
      <c r="E170" s="8"/>
      <c r="F170" s="43"/>
      <c r="G170" s="43"/>
      <c r="H170" s="36"/>
      <c r="I170" s="6" t="s">
        <v>1095</v>
      </c>
      <c r="J170" s="6" t="s">
        <v>1234</v>
      </c>
      <c r="K170" s="6">
        <v>79</v>
      </c>
      <c r="L170" s="6" t="s">
        <v>1235</v>
      </c>
      <c r="M170" s="50">
        <v>0.2135078081386684</v>
      </c>
      <c r="N170" s="50">
        <v>9.4522882181110046E-2</v>
      </c>
      <c r="O170" s="50">
        <v>0.40732848427936741</v>
      </c>
      <c r="P170" s="50">
        <v>0.95466802076570478</v>
      </c>
    </row>
    <row r="171" spans="1:16" ht="18" customHeight="1" x14ac:dyDescent="0.15">
      <c r="A171" s="5" t="s">
        <v>1023</v>
      </c>
      <c r="B171" s="6" t="s">
        <v>1024</v>
      </c>
      <c r="C171" s="6"/>
      <c r="D171" s="8"/>
      <c r="E171" s="8"/>
      <c r="F171" s="43"/>
      <c r="G171" s="43"/>
      <c r="H171" s="36"/>
      <c r="I171" s="6" t="s">
        <v>1095</v>
      </c>
      <c r="J171" s="6" t="s">
        <v>1236</v>
      </c>
      <c r="K171" s="6">
        <v>79</v>
      </c>
      <c r="L171" s="6" t="s">
        <v>1237</v>
      </c>
      <c r="M171" s="50">
        <v>0.22148831115145029</v>
      </c>
      <c r="N171" s="50">
        <v>7.4440116845180135E-2</v>
      </c>
      <c r="O171" s="50">
        <v>0.51440262620540234</v>
      </c>
      <c r="P171" s="50">
        <v>0.95466802076570478</v>
      </c>
    </row>
    <row r="172" spans="1:16" ht="18" customHeight="1" x14ac:dyDescent="0.15">
      <c r="A172" s="5" t="s">
        <v>1023</v>
      </c>
      <c r="B172" s="6" t="s">
        <v>1024</v>
      </c>
      <c r="C172" s="6"/>
      <c r="D172" s="8"/>
      <c r="E172" s="8"/>
      <c r="F172" s="43"/>
      <c r="G172" s="43"/>
      <c r="H172" s="36"/>
      <c r="I172" s="6" t="s">
        <v>1095</v>
      </c>
      <c r="J172" s="6" t="s">
        <v>1238</v>
      </c>
      <c r="K172" s="6">
        <v>79</v>
      </c>
      <c r="L172" s="6" t="s">
        <v>1239</v>
      </c>
      <c r="M172" s="50">
        <v>0.84960700577961512</v>
      </c>
      <c r="N172" s="50">
        <v>6.3826679649464466E-2</v>
      </c>
      <c r="O172" s="50">
        <v>0.57627647920883796</v>
      </c>
      <c r="P172" s="50">
        <v>0.95700793904120396</v>
      </c>
    </row>
    <row r="173" spans="1:16" ht="18" customHeight="1" x14ac:dyDescent="0.15">
      <c r="A173" s="5" t="s">
        <v>1023</v>
      </c>
      <c r="B173" s="6" t="s">
        <v>1024</v>
      </c>
      <c r="C173" s="6"/>
      <c r="D173" s="8"/>
      <c r="E173" s="8"/>
      <c r="F173" s="43"/>
      <c r="G173" s="43"/>
      <c r="H173" s="36"/>
      <c r="I173" s="6" t="s">
        <v>1095</v>
      </c>
      <c r="J173" s="6" t="s">
        <v>1240</v>
      </c>
      <c r="K173" s="6">
        <v>79</v>
      </c>
      <c r="L173" s="6" t="s">
        <v>1241</v>
      </c>
      <c r="M173" s="50">
        <v>0.34310204538677719</v>
      </c>
      <c r="N173" s="50">
        <v>-0.1581548198636806</v>
      </c>
      <c r="O173" s="50">
        <v>0.16389713459428551</v>
      </c>
      <c r="P173" s="50">
        <v>0.95466802076570478</v>
      </c>
    </row>
    <row r="174" spans="1:16" ht="18" customHeight="1" x14ac:dyDescent="0.15">
      <c r="A174" s="5" t="s">
        <v>1023</v>
      </c>
      <c r="B174" s="6" t="s">
        <v>1024</v>
      </c>
      <c r="C174" s="6"/>
      <c r="D174" s="8"/>
      <c r="E174" s="8"/>
      <c r="F174" s="43"/>
      <c r="G174" s="43"/>
      <c r="H174" s="36"/>
      <c r="I174" s="6" t="s">
        <v>1095</v>
      </c>
      <c r="J174" s="6" t="s">
        <v>1242</v>
      </c>
      <c r="K174" s="6">
        <v>79</v>
      </c>
      <c r="L174" s="6" t="s">
        <v>1243</v>
      </c>
      <c r="M174" s="50">
        <v>0.48573318160438939</v>
      </c>
      <c r="N174" s="50">
        <v>-1.77458617332035E-2</v>
      </c>
      <c r="O174" s="50">
        <v>0.87664252742098636</v>
      </c>
      <c r="P174" s="50">
        <v>0.95466802076570478</v>
      </c>
    </row>
    <row r="175" spans="1:16" ht="18" customHeight="1" x14ac:dyDescent="0.15">
      <c r="A175" s="5" t="s">
        <v>1023</v>
      </c>
      <c r="B175" s="6" t="s">
        <v>1024</v>
      </c>
      <c r="C175" s="6"/>
      <c r="D175" s="8"/>
      <c r="E175" s="8"/>
      <c r="F175" s="43"/>
      <c r="G175" s="43"/>
      <c r="H175" s="36"/>
      <c r="I175" s="6" t="s">
        <v>1095</v>
      </c>
      <c r="J175" s="6" t="s">
        <v>1244</v>
      </c>
      <c r="K175" s="6">
        <v>79</v>
      </c>
      <c r="L175" s="6" t="s">
        <v>1245</v>
      </c>
      <c r="M175" s="50">
        <v>0.37912912433333013</v>
      </c>
      <c r="N175" s="50">
        <v>1.6966893865628042E-2</v>
      </c>
      <c r="O175" s="50">
        <v>0.88201763728007831</v>
      </c>
      <c r="P175" s="50">
        <v>0.95466802076570478</v>
      </c>
    </row>
    <row r="176" spans="1:16" ht="18" customHeight="1" x14ac:dyDescent="0.15">
      <c r="A176" s="5" t="s">
        <v>1023</v>
      </c>
      <c r="B176" s="6" t="s">
        <v>1024</v>
      </c>
      <c r="C176" s="6"/>
      <c r="D176" s="8"/>
      <c r="E176" s="8"/>
      <c r="F176" s="43"/>
      <c r="G176" s="43"/>
      <c r="H176" s="36"/>
      <c r="I176" s="6" t="s">
        <v>1095</v>
      </c>
      <c r="J176" s="6" t="s">
        <v>1246</v>
      </c>
      <c r="K176" s="6">
        <v>79</v>
      </c>
      <c r="L176" s="6" t="s">
        <v>1247</v>
      </c>
      <c r="M176" s="50">
        <v>0.4312560028294683</v>
      </c>
      <c r="N176" s="50">
        <v>0.1528967867575462</v>
      </c>
      <c r="O176" s="50">
        <v>0.1785477561827849</v>
      </c>
      <c r="P176" s="50">
        <v>0.95466802076570478</v>
      </c>
    </row>
    <row r="177" spans="1:16" ht="18" customHeight="1" x14ac:dyDescent="0.15">
      <c r="A177" s="5" t="s">
        <v>1023</v>
      </c>
      <c r="B177" s="6" t="s">
        <v>1024</v>
      </c>
      <c r="C177" s="6"/>
      <c r="D177" s="8"/>
      <c r="E177" s="8"/>
      <c r="F177" s="43"/>
      <c r="G177" s="43"/>
      <c r="H177" s="36"/>
      <c r="I177" s="6" t="s">
        <v>1095</v>
      </c>
      <c r="J177" s="6" t="s">
        <v>1248</v>
      </c>
      <c r="K177" s="6">
        <v>79</v>
      </c>
      <c r="L177" s="6" t="s">
        <v>1249</v>
      </c>
      <c r="M177" s="50">
        <v>6.7710045093166471E-2</v>
      </c>
      <c r="N177" s="50">
        <v>0.21674780915287239</v>
      </c>
      <c r="O177" s="50">
        <v>5.502668131154357E-2</v>
      </c>
      <c r="P177" s="50">
        <v>0.95466802076570478</v>
      </c>
    </row>
    <row r="178" spans="1:16" ht="18" customHeight="1" x14ac:dyDescent="0.15">
      <c r="A178" s="5" t="s">
        <v>1023</v>
      </c>
      <c r="B178" s="6" t="s">
        <v>1024</v>
      </c>
      <c r="C178" s="6"/>
      <c r="D178" s="8"/>
      <c r="E178" s="8"/>
      <c r="F178" s="43"/>
      <c r="G178" s="43"/>
      <c r="H178" s="36"/>
      <c r="I178" s="6" t="s">
        <v>1095</v>
      </c>
      <c r="J178" s="6" t="s">
        <v>1250</v>
      </c>
      <c r="K178" s="6">
        <v>79</v>
      </c>
      <c r="L178" s="6" t="s">
        <v>1251</v>
      </c>
      <c r="M178" s="50">
        <v>0.47051182966400318</v>
      </c>
      <c r="N178" s="50">
        <v>2.908958130477117E-2</v>
      </c>
      <c r="O178" s="50">
        <v>0.79911969398638472</v>
      </c>
      <c r="P178" s="50">
        <v>0.95466802076570478</v>
      </c>
    </row>
    <row r="179" spans="1:16" ht="18" customHeight="1" x14ac:dyDescent="0.15">
      <c r="A179" s="5" t="s">
        <v>1023</v>
      </c>
      <c r="B179" s="6" t="s">
        <v>1024</v>
      </c>
      <c r="C179" s="6"/>
      <c r="D179" s="8"/>
      <c r="E179" s="8"/>
      <c r="F179" s="43"/>
      <c r="G179" s="43"/>
      <c r="H179" s="36"/>
      <c r="I179" s="6" t="s">
        <v>1095</v>
      </c>
      <c r="J179" s="6" t="s">
        <v>1252</v>
      </c>
      <c r="K179" s="6">
        <v>79</v>
      </c>
      <c r="L179" s="6" t="s">
        <v>1253</v>
      </c>
      <c r="M179" s="50">
        <v>0.55861364260895008</v>
      </c>
      <c r="N179" s="50">
        <v>9.58860759493671E-2</v>
      </c>
      <c r="O179" s="50">
        <v>0.40056696702132583</v>
      </c>
      <c r="P179" s="50">
        <v>0.95466802076570478</v>
      </c>
    </row>
    <row r="180" spans="1:16" ht="18" customHeight="1" x14ac:dyDescent="0.15">
      <c r="A180" s="5" t="s">
        <v>1023</v>
      </c>
      <c r="B180" s="6" t="s">
        <v>1024</v>
      </c>
      <c r="C180" s="6"/>
      <c r="D180" s="8"/>
      <c r="E180" s="8"/>
      <c r="F180" s="43"/>
      <c r="G180" s="43"/>
      <c r="H180" s="36"/>
      <c r="I180" s="6" t="s">
        <v>1095</v>
      </c>
      <c r="J180" s="6" t="s">
        <v>1254</v>
      </c>
      <c r="K180" s="6">
        <v>79</v>
      </c>
      <c r="L180" s="6" t="s">
        <v>1255</v>
      </c>
      <c r="M180" s="50">
        <v>0.63028049321781021</v>
      </c>
      <c r="N180" s="50">
        <v>-5.3067185978578303E-3</v>
      </c>
      <c r="O180" s="50">
        <v>0.96297895980929804</v>
      </c>
      <c r="P180" s="50">
        <v>0.95466802076570478</v>
      </c>
    </row>
    <row r="181" spans="1:16" ht="18" customHeight="1" x14ac:dyDescent="0.15">
      <c r="A181" s="5" t="s">
        <v>1023</v>
      </c>
      <c r="B181" s="6" t="s">
        <v>1024</v>
      </c>
      <c r="C181" s="6"/>
      <c r="D181" s="8"/>
      <c r="E181" s="8"/>
      <c r="F181" s="43"/>
      <c r="G181" s="43"/>
      <c r="H181" s="36"/>
      <c r="I181" s="6" t="s">
        <v>1095</v>
      </c>
      <c r="J181" s="6" t="s">
        <v>1256</v>
      </c>
      <c r="K181" s="6">
        <v>79</v>
      </c>
      <c r="L181" s="6" t="s">
        <v>1257</v>
      </c>
      <c r="M181" s="50">
        <v>0.4607568844673226</v>
      </c>
      <c r="N181" s="50">
        <v>-9.4425511197663084E-2</v>
      </c>
      <c r="O181" s="50">
        <v>0.40781398890068837</v>
      </c>
      <c r="P181" s="50">
        <v>0.95466802076570478</v>
      </c>
    </row>
    <row r="182" spans="1:16" ht="18" customHeight="1" x14ac:dyDescent="0.15">
      <c r="A182" s="5" t="s">
        <v>1023</v>
      </c>
      <c r="B182" s="6" t="s">
        <v>1024</v>
      </c>
      <c r="C182" s="6"/>
      <c r="D182" s="8"/>
      <c r="E182" s="8"/>
      <c r="F182" s="43"/>
      <c r="G182" s="43"/>
      <c r="H182" s="36"/>
      <c r="I182" s="6" t="s">
        <v>1095</v>
      </c>
      <c r="J182" s="6" t="s">
        <v>1258</v>
      </c>
      <c r="K182" s="6">
        <v>79</v>
      </c>
      <c r="L182" s="6" t="s">
        <v>1259</v>
      </c>
      <c r="M182" s="50">
        <v>0.6117611792548312</v>
      </c>
      <c r="N182" s="50">
        <v>8.2497565725413835E-2</v>
      </c>
      <c r="O182" s="50">
        <v>0.4698025705079486</v>
      </c>
      <c r="P182" s="50">
        <v>0.95466802076570478</v>
      </c>
    </row>
    <row r="183" spans="1:16" ht="18" customHeight="1" x14ac:dyDescent="0.15">
      <c r="A183" s="5" t="s">
        <v>1023</v>
      </c>
      <c r="B183" s="6" t="s">
        <v>1024</v>
      </c>
      <c r="C183" s="6"/>
      <c r="D183" s="8"/>
      <c r="E183" s="8"/>
      <c r="F183" s="43"/>
      <c r="G183" s="43"/>
      <c r="H183" s="36"/>
      <c r="I183" s="6" t="s">
        <v>1095</v>
      </c>
      <c r="J183" s="6" t="s">
        <v>1260</v>
      </c>
      <c r="K183" s="6">
        <v>79</v>
      </c>
      <c r="L183" s="6" t="s">
        <v>1261</v>
      </c>
      <c r="M183" s="50">
        <v>0.76422948330662754</v>
      </c>
      <c r="N183" s="50">
        <v>-2.3101265822784808E-2</v>
      </c>
      <c r="O183" s="50">
        <v>0.83985206671336576</v>
      </c>
      <c r="P183" s="50">
        <v>0.95700793904120396</v>
      </c>
    </row>
    <row r="184" spans="1:16" ht="18" customHeight="1" x14ac:dyDescent="0.15">
      <c r="A184" s="5" t="s">
        <v>1023</v>
      </c>
      <c r="B184" s="6" t="s">
        <v>1024</v>
      </c>
      <c r="C184" s="6"/>
      <c r="D184" s="8"/>
      <c r="E184" s="8"/>
      <c r="F184" s="43"/>
      <c r="G184" s="43"/>
      <c r="H184" s="36"/>
      <c r="I184" s="6" t="s">
        <v>1095</v>
      </c>
      <c r="J184" s="6" t="s">
        <v>1262</v>
      </c>
      <c r="K184" s="6">
        <v>79</v>
      </c>
      <c r="L184" s="6" t="s">
        <v>1263</v>
      </c>
      <c r="M184" s="50">
        <v>0.81246612355242231</v>
      </c>
      <c r="N184" s="50">
        <v>-9.8442064264849097E-2</v>
      </c>
      <c r="O184" s="50">
        <v>0.3880687812615673</v>
      </c>
      <c r="P184" s="50">
        <v>0.95700793904120396</v>
      </c>
    </row>
    <row r="185" spans="1:16" ht="18" customHeight="1" x14ac:dyDescent="0.15">
      <c r="A185" s="5" t="s">
        <v>1023</v>
      </c>
      <c r="B185" s="6" t="s">
        <v>1024</v>
      </c>
      <c r="C185" s="6"/>
      <c r="D185" s="8"/>
      <c r="E185" s="8"/>
      <c r="F185" s="43"/>
      <c r="G185" s="43"/>
      <c r="H185" s="36"/>
      <c r="I185" s="6" t="s">
        <v>1095</v>
      </c>
      <c r="J185" s="6" t="s">
        <v>1264</v>
      </c>
      <c r="K185" s="6">
        <v>79</v>
      </c>
      <c r="L185" s="6" t="s">
        <v>1265</v>
      </c>
      <c r="M185" s="50">
        <v>0.81173044884341383</v>
      </c>
      <c r="N185" s="50">
        <v>3.2667964946445957E-2</v>
      </c>
      <c r="O185" s="50">
        <v>0.77502563296147542</v>
      </c>
      <c r="P185" s="50">
        <v>0.95700793904120396</v>
      </c>
    </row>
    <row r="186" spans="1:16" ht="18" customHeight="1" x14ac:dyDescent="0.15">
      <c r="A186" s="5" t="s">
        <v>1023</v>
      </c>
      <c r="B186" s="6" t="s">
        <v>1024</v>
      </c>
      <c r="C186" s="6"/>
      <c r="D186" s="8"/>
      <c r="E186" s="8"/>
      <c r="F186" s="43"/>
      <c r="G186" s="43"/>
      <c r="H186" s="36"/>
      <c r="I186" s="6" t="s">
        <v>1095</v>
      </c>
      <c r="J186" s="6" t="s">
        <v>1266</v>
      </c>
      <c r="K186" s="6">
        <v>79</v>
      </c>
      <c r="L186" s="6" t="s">
        <v>1267</v>
      </c>
      <c r="M186" s="50">
        <v>0.76495724918347063</v>
      </c>
      <c r="N186" s="50">
        <v>7.3515092502434279E-2</v>
      </c>
      <c r="O186" s="50">
        <v>0.5196574081693035</v>
      </c>
      <c r="P186" s="50">
        <v>0.95700793904120396</v>
      </c>
    </row>
    <row r="187" spans="1:16" ht="18" customHeight="1" x14ac:dyDescent="0.15">
      <c r="A187" s="5" t="s">
        <v>1023</v>
      </c>
      <c r="B187" s="6" t="s">
        <v>1024</v>
      </c>
      <c r="C187" s="6"/>
      <c r="D187" s="8"/>
      <c r="E187" s="8"/>
      <c r="F187" s="43"/>
      <c r="G187" s="43"/>
      <c r="H187" s="36"/>
      <c r="I187" s="6" t="s">
        <v>1095</v>
      </c>
      <c r="J187" s="6" t="s">
        <v>1268</v>
      </c>
      <c r="K187" s="6">
        <v>79</v>
      </c>
      <c r="L187" s="6" t="s">
        <v>1269</v>
      </c>
      <c r="M187" s="50">
        <v>0.93866651570893622</v>
      </c>
      <c r="N187" s="50">
        <v>-4.4547224926971699E-3</v>
      </c>
      <c r="O187" s="50">
        <v>0.96891947459451877</v>
      </c>
      <c r="P187" s="50">
        <v>0.97609564650031078</v>
      </c>
    </row>
    <row r="188" spans="1:16" ht="18" customHeight="1" x14ac:dyDescent="0.15">
      <c r="A188" s="5" t="s">
        <v>1023</v>
      </c>
      <c r="B188" s="6" t="s">
        <v>1024</v>
      </c>
      <c r="C188" s="6"/>
      <c r="D188" s="8"/>
      <c r="E188" s="8"/>
      <c r="F188" s="43"/>
      <c r="G188" s="43"/>
      <c r="H188" s="36"/>
      <c r="I188" s="6" t="s">
        <v>1095</v>
      </c>
      <c r="J188" s="6" t="s">
        <v>1270</v>
      </c>
      <c r="K188" s="6">
        <v>79</v>
      </c>
      <c r="L188" s="6" t="s">
        <v>1271</v>
      </c>
      <c r="M188" s="50">
        <v>0.50532628019413661</v>
      </c>
      <c r="N188" s="50">
        <v>-4.8977604673807212E-2</v>
      </c>
      <c r="O188" s="50">
        <v>0.66818437480632553</v>
      </c>
      <c r="P188" s="50">
        <v>0.95466802076570478</v>
      </c>
    </row>
    <row r="189" spans="1:16" ht="18" customHeight="1" x14ac:dyDescent="0.15">
      <c r="A189" s="5" t="s">
        <v>1023</v>
      </c>
      <c r="B189" s="6" t="s">
        <v>1024</v>
      </c>
      <c r="C189" s="6"/>
      <c r="D189" s="8"/>
      <c r="E189" s="8"/>
      <c r="F189" s="43"/>
      <c r="G189" s="43"/>
      <c r="H189" s="36"/>
      <c r="I189" s="6" t="s">
        <v>1095</v>
      </c>
      <c r="J189" s="6" t="s">
        <v>1272</v>
      </c>
      <c r="K189" s="6">
        <v>79</v>
      </c>
      <c r="L189" s="6" t="s">
        <v>1273</v>
      </c>
      <c r="M189" s="50">
        <v>0.18993097370320511</v>
      </c>
      <c r="N189" s="50">
        <v>0.13072054527750729</v>
      </c>
      <c r="O189" s="50">
        <v>0.25085072193588559</v>
      </c>
      <c r="P189" s="50">
        <v>0.95466802076570478</v>
      </c>
    </row>
    <row r="190" spans="1:16" ht="18" customHeight="1" x14ac:dyDescent="0.15">
      <c r="A190" s="5" t="s">
        <v>1023</v>
      </c>
      <c r="B190" s="6" t="s">
        <v>1024</v>
      </c>
      <c r="C190" s="6"/>
      <c r="D190" s="8"/>
      <c r="E190" s="8"/>
      <c r="F190" s="43"/>
      <c r="G190" s="43"/>
      <c r="H190" s="36"/>
      <c r="I190" s="6" t="s">
        <v>1095</v>
      </c>
      <c r="J190" s="6" t="s">
        <v>1274</v>
      </c>
      <c r="K190" s="6">
        <v>79</v>
      </c>
      <c r="L190" s="6" t="s">
        <v>1275</v>
      </c>
      <c r="M190" s="50">
        <v>0.90425245414330779</v>
      </c>
      <c r="N190" s="50">
        <v>5.1363193768257003E-3</v>
      </c>
      <c r="O190" s="50">
        <v>0.96416691196364723</v>
      </c>
      <c r="P190" s="50">
        <v>0.97609564650031078</v>
      </c>
    </row>
    <row r="191" spans="1:16" ht="18" customHeight="1" x14ac:dyDescent="0.15">
      <c r="A191" s="5" t="s">
        <v>1023</v>
      </c>
      <c r="B191" s="6" t="s">
        <v>1024</v>
      </c>
      <c r="C191" s="6"/>
      <c r="D191" s="8"/>
      <c r="E191" s="8"/>
      <c r="F191" s="43"/>
      <c r="G191" s="43"/>
      <c r="H191" s="36"/>
      <c r="I191" s="6" t="s">
        <v>1095</v>
      </c>
      <c r="J191" s="6" t="s">
        <v>1276</v>
      </c>
      <c r="K191" s="6">
        <v>79</v>
      </c>
      <c r="L191" s="6" t="s">
        <v>1277</v>
      </c>
      <c r="M191" s="50">
        <v>0.27997774394140129</v>
      </c>
      <c r="N191" s="50">
        <v>-0.11304771178188899</v>
      </c>
      <c r="O191" s="50">
        <v>0.32121761132448873</v>
      </c>
      <c r="P191" s="50">
        <v>0.95466802076570478</v>
      </c>
    </row>
    <row r="192" spans="1:16" ht="18" customHeight="1" x14ac:dyDescent="0.15">
      <c r="A192" s="5" t="s">
        <v>1023</v>
      </c>
      <c r="B192" s="6" t="s">
        <v>1024</v>
      </c>
      <c r="C192" s="6"/>
      <c r="D192" s="8"/>
      <c r="E192" s="8"/>
      <c r="F192" s="43"/>
      <c r="G192" s="43"/>
      <c r="H192" s="36"/>
      <c r="I192" s="6" t="s">
        <v>1095</v>
      </c>
      <c r="J192" s="6" t="s">
        <v>1278</v>
      </c>
      <c r="K192" s="6">
        <v>79</v>
      </c>
      <c r="L192" s="6" t="s">
        <v>1279</v>
      </c>
      <c r="M192" s="50">
        <v>0.43112326882934299</v>
      </c>
      <c r="N192" s="50">
        <v>3.1402142161635802E-3</v>
      </c>
      <c r="O192" s="50">
        <v>0.97808804322091425</v>
      </c>
      <c r="P192" s="50">
        <v>0.95466802076570478</v>
      </c>
    </row>
    <row r="193" spans="1:16" ht="18" customHeight="1" x14ac:dyDescent="0.15">
      <c r="A193" s="5" t="s">
        <v>1023</v>
      </c>
      <c r="B193" s="6" t="s">
        <v>1024</v>
      </c>
      <c r="C193" s="6"/>
      <c r="D193" s="8"/>
      <c r="E193" s="8"/>
      <c r="F193" s="43"/>
      <c r="G193" s="43"/>
      <c r="H193" s="36"/>
      <c r="I193" s="6" t="s">
        <v>1095</v>
      </c>
      <c r="J193" s="6" t="s">
        <v>1280</v>
      </c>
      <c r="K193" s="6">
        <v>79</v>
      </c>
      <c r="L193" s="6" t="s">
        <v>1281</v>
      </c>
      <c r="M193" s="50">
        <v>0.60479189719947979</v>
      </c>
      <c r="N193" s="50">
        <v>5.4186952288218099E-2</v>
      </c>
      <c r="O193" s="50">
        <v>0.63528872410565784</v>
      </c>
      <c r="P193" s="50">
        <v>0.95466802076570478</v>
      </c>
    </row>
    <row r="194" spans="1:16" ht="18" customHeight="1" x14ac:dyDescent="0.15">
      <c r="A194" s="5" t="s">
        <v>1023</v>
      </c>
      <c r="B194" s="6" t="s">
        <v>1024</v>
      </c>
      <c r="C194" s="6"/>
      <c r="D194" s="8"/>
      <c r="E194" s="8"/>
      <c r="F194" s="43"/>
      <c r="G194" s="43"/>
      <c r="H194" s="36"/>
      <c r="I194" s="6" t="s">
        <v>1095</v>
      </c>
      <c r="J194" s="6" t="s">
        <v>1282</v>
      </c>
      <c r="K194" s="6">
        <v>79</v>
      </c>
      <c r="L194" s="6" t="s">
        <v>1283</v>
      </c>
      <c r="M194" s="50">
        <v>0.88476993735165987</v>
      </c>
      <c r="N194" s="50">
        <v>-3.6757546251217099E-3</v>
      </c>
      <c r="O194" s="50">
        <v>0.97435229050694816</v>
      </c>
      <c r="P194" s="50">
        <v>0.97495309901009364</v>
      </c>
    </row>
    <row r="195" spans="1:16" ht="18" customHeight="1" x14ac:dyDescent="0.15">
      <c r="A195" s="5" t="s">
        <v>1023</v>
      </c>
      <c r="B195" s="6" t="s">
        <v>1024</v>
      </c>
      <c r="C195" s="6"/>
      <c r="D195" s="8"/>
      <c r="E195" s="8"/>
      <c r="F195" s="43"/>
      <c r="G195" s="43"/>
      <c r="H195" s="36"/>
      <c r="I195" s="6" t="s">
        <v>1095</v>
      </c>
      <c r="J195" s="6" t="s">
        <v>1284</v>
      </c>
      <c r="K195" s="6">
        <v>79</v>
      </c>
      <c r="L195" s="6" t="s">
        <v>1285</v>
      </c>
      <c r="M195" s="50">
        <v>0.36583128838857509</v>
      </c>
      <c r="N195" s="50">
        <v>-0.12962512171372931</v>
      </c>
      <c r="O195" s="50">
        <v>0.25487813888533439</v>
      </c>
      <c r="P195" s="50">
        <v>0.95466802076570478</v>
      </c>
    </row>
    <row r="196" spans="1:16" ht="18" customHeight="1" x14ac:dyDescent="0.15">
      <c r="A196" s="5" t="s">
        <v>1023</v>
      </c>
      <c r="B196" s="6" t="s">
        <v>1024</v>
      </c>
      <c r="C196" s="6"/>
      <c r="D196" s="8"/>
      <c r="E196" s="8"/>
      <c r="F196" s="43"/>
      <c r="G196" s="43"/>
      <c r="H196" s="36"/>
      <c r="I196" s="6" t="s">
        <v>1095</v>
      </c>
      <c r="J196" s="6" t="s">
        <v>1286</v>
      </c>
      <c r="K196" s="6">
        <v>79</v>
      </c>
      <c r="L196" s="6" t="s">
        <v>1287</v>
      </c>
      <c r="M196" s="50">
        <v>0.16699924315703449</v>
      </c>
      <c r="N196" s="50">
        <v>-0.14615384615384619</v>
      </c>
      <c r="O196" s="50">
        <v>0.19870422222798989</v>
      </c>
      <c r="P196" s="50">
        <v>0.95466802076570478</v>
      </c>
    </row>
    <row r="197" spans="1:16" ht="18" customHeight="1" x14ac:dyDescent="0.15">
      <c r="A197" s="5" t="s">
        <v>1023</v>
      </c>
      <c r="B197" s="6" t="s">
        <v>1024</v>
      </c>
      <c r="C197" s="6"/>
      <c r="D197" s="8"/>
      <c r="E197" s="8"/>
      <c r="F197" s="43"/>
      <c r="G197" s="43"/>
      <c r="H197" s="36"/>
      <c r="I197" s="6" t="s">
        <v>1095</v>
      </c>
      <c r="J197" s="6" t="s">
        <v>1288</v>
      </c>
      <c r="K197" s="6">
        <v>79</v>
      </c>
      <c r="L197" s="6" t="s">
        <v>1289</v>
      </c>
      <c r="M197" s="50">
        <v>0.41273327725331621</v>
      </c>
      <c r="N197" s="50">
        <v>0.16338851022395329</v>
      </c>
      <c r="O197" s="50">
        <v>0.15021577303761821</v>
      </c>
      <c r="P197" s="50">
        <v>0.95466802076570478</v>
      </c>
    </row>
    <row r="198" spans="1:16" ht="18" customHeight="1" x14ac:dyDescent="0.15">
      <c r="A198" s="5" t="s">
        <v>1023</v>
      </c>
      <c r="B198" s="6" t="s">
        <v>1024</v>
      </c>
      <c r="C198" s="6"/>
      <c r="D198" s="8"/>
      <c r="E198" s="8"/>
      <c r="F198" s="43"/>
      <c r="G198" s="43"/>
      <c r="H198" s="36"/>
      <c r="I198" s="6" t="s">
        <v>1095</v>
      </c>
      <c r="J198" s="6" t="s">
        <v>1290</v>
      </c>
      <c r="K198" s="6">
        <v>79</v>
      </c>
      <c r="L198" s="6" t="s">
        <v>1291</v>
      </c>
      <c r="M198" s="50">
        <v>0.71005040238194317</v>
      </c>
      <c r="N198" s="50">
        <v>-3.4420642648490749E-2</v>
      </c>
      <c r="O198" s="50">
        <v>0.76329995551458774</v>
      </c>
      <c r="P198" s="50">
        <v>0.95700793904120396</v>
      </c>
    </row>
    <row r="199" spans="1:16" ht="18" customHeight="1" x14ac:dyDescent="0.15">
      <c r="A199" s="5" t="s">
        <v>1023</v>
      </c>
      <c r="B199" s="6" t="s">
        <v>1024</v>
      </c>
      <c r="C199" s="6"/>
      <c r="D199" s="8"/>
      <c r="E199" s="8"/>
      <c r="F199" s="43"/>
      <c r="G199" s="43"/>
      <c r="H199" s="36"/>
      <c r="I199" s="6" t="s">
        <v>1095</v>
      </c>
      <c r="J199" s="6" t="s">
        <v>1292</v>
      </c>
      <c r="K199" s="6">
        <v>79</v>
      </c>
      <c r="L199" s="6" t="s">
        <v>1293</v>
      </c>
      <c r="M199" s="50">
        <v>0.5639935204245663</v>
      </c>
      <c r="N199" s="50">
        <v>-4.5764362220058419E-2</v>
      </c>
      <c r="O199" s="50">
        <v>0.68879637147891237</v>
      </c>
      <c r="P199" s="50">
        <v>0.95466802076570478</v>
      </c>
    </row>
    <row r="200" spans="1:16" ht="18" customHeight="1" x14ac:dyDescent="0.15">
      <c r="A200" s="5" t="s">
        <v>1023</v>
      </c>
      <c r="B200" s="6" t="s">
        <v>1024</v>
      </c>
      <c r="C200" s="6"/>
      <c r="D200" s="8"/>
      <c r="E200" s="8"/>
      <c r="F200" s="43"/>
      <c r="G200" s="43"/>
      <c r="H200" s="36"/>
      <c r="I200" s="6" t="s">
        <v>1095</v>
      </c>
      <c r="J200" s="6" t="s">
        <v>1294</v>
      </c>
      <c r="K200" s="6">
        <v>79</v>
      </c>
      <c r="L200" s="6" t="s">
        <v>1295</v>
      </c>
      <c r="M200" s="50">
        <v>0.32409855843154028</v>
      </c>
      <c r="N200" s="50">
        <v>4.169912366114898E-2</v>
      </c>
      <c r="O200" s="50">
        <v>0.7152001335438064</v>
      </c>
      <c r="P200" s="50">
        <v>0.95466802076570478</v>
      </c>
    </row>
    <row r="201" spans="1:16" ht="18" customHeight="1" x14ac:dyDescent="0.15">
      <c r="A201" s="5" t="s">
        <v>1023</v>
      </c>
      <c r="B201" s="6" t="s">
        <v>1030</v>
      </c>
      <c r="C201" s="6"/>
      <c r="D201" s="8"/>
      <c r="E201" s="8"/>
      <c r="F201" s="43"/>
      <c r="G201" s="43"/>
      <c r="H201" s="36"/>
      <c r="I201" s="6" t="s">
        <v>1095</v>
      </c>
      <c r="J201" s="6" t="s">
        <v>1096</v>
      </c>
      <c r="K201" s="6">
        <v>80</v>
      </c>
      <c r="L201" s="6" t="s">
        <v>1296</v>
      </c>
      <c r="M201" s="50">
        <v>0.60865174019652801</v>
      </c>
      <c r="N201" s="50">
        <v>0.1130098452883263</v>
      </c>
      <c r="O201" s="50">
        <v>0.31823850422014838</v>
      </c>
      <c r="P201" s="50">
        <v>0.95466802076570478</v>
      </c>
    </row>
    <row r="202" spans="1:16" ht="18" customHeight="1" x14ac:dyDescent="0.15">
      <c r="A202" s="5" t="s">
        <v>1023</v>
      </c>
      <c r="B202" s="6" t="s">
        <v>1030</v>
      </c>
      <c r="C202" s="6"/>
      <c r="D202" s="8"/>
      <c r="E202" s="8"/>
      <c r="F202" s="43"/>
      <c r="G202" s="43"/>
      <c r="H202" s="36"/>
      <c r="I202" s="6" t="s">
        <v>1095</v>
      </c>
      <c r="J202" s="6" t="s">
        <v>1098</v>
      </c>
      <c r="K202" s="6">
        <v>80</v>
      </c>
      <c r="L202" s="6" t="s">
        <v>1297</v>
      </c>
      <c r="M202" s="50">
        <v>9.9522568184397336E-2</v>
      </c>
      <c r="N202" s="50">
        <v>0.1155649320206282</v>
      </c>
      <c r="O202" s="50">
        <v>0.30734863779336341</v>
      </c>
      <c r="P202" s="50">
        <v>0.95466802076570478</v>
      </c>
    </row>
    <row r="203" spans="1:16" ht="18" customHeight="1" x14ac:dyDescent="0.15">
      <c r="A203" s="5" t="s">
        <v>1023</v>
      </c>
      <c r="B203" s="6" t="s">
        <v>1030</v>
      </c>
      <c r="C203" s="6"/>
      <c r="D203" s="8"/>
      <c r="E203" s="8"/>
      <c r="F203" s="43"/>
      <c r="G203" s="43"/>
      <c r="H203" s="36"/>
      <c r="I203" s="6" t="s">
        <v>1095</v>
      </c>
      <c r="J203" s="6" t="s">
        <v>1100</v>
      </c>
      <c r="K203" s="6">
        <v>80</v>
      </c>
      <c r="L203" s="6" t="s">
        <v>1298</v>
      </c>
      <c r="M203" s="50">
        <v>0.19605416569097439</v>
      </c>
      <c r="N203" s="50">
        <v>-0.10124238162212849</v>
      </c>
      <c r="O203" s="50">
        <v>0.37154318223262572</v>
      </c>
      <c r="P203" s="50">
        <v>0.95466802076570478</v>
      </c>
    </row>
    <row r="204" spans="1:16" ht="18" customHeight="1" x14ac:dyDescent="0.15">
      <c r="A204" s="5" t="s">
        <v>1023</v>
      </c>
      <c r="B204" s="6" t="s">
        <v>1030</v>
      </c>
      <c r="C204" s="6"/>
      <c r="D204" s="8"/>
      <c r="E204" s="8"/>
      <c r="F204" s="43"/>
      <c r="G204" s="43"/>
      <c r="H204" s="36"/>
      <c r="I204" s="6" t="s">
        <v>1095</v>
      </c>
      <c r="J204" s="6" t="s">
        <v>1102</v>
      </c>
      <c r="K204" s="6">
        <v>80</v>
      </c>
      <c r="L204" s="6" t="s">
        <v>1299</v>
      </c>
      <c r="M204" s="50">
        <v>0.89052951800279301</v>
      </c>
      <c r="N204" s="50">
        <v>0.12250351617440219</v>
      </c>
      <c r="O204" s="50">
        <v>0.27901110810806312</v>
      </c>
      <c r="P204" s="50">
        <v>0.97609564650031078</v>
      </c>
    </row>
    <row r="205" spans="1:16" ht="18" customHeight="1" x14ac:dyDescent="0.15">
      <c r="A205" s="5" t="s">
        <v>1023</v>
      </c>
      <c r="B205" s="6" t="s">
        <v>1030</v>
      </c>
      <c r="C205" s="6"/>
      <c r="D205" s="8"/>
      <c r="E205" s="8"/>
      <c r="F205" s="43"/>
      <c r="G205" s="43"/>
      <c r="H205" s="36"/>
      <c r="I205" s="6" t="s">
        <v>1095</v>
      </c>
      <c r="J205" s="6" t="s">
        <v>1104</v>
      </c>
      <c r="K205" s="6">
        <v>80</v>
      </c>
      <c r="L205" s="6" t="s">
        <v>1300</v>
      </c>
      <c r="M205" s="50">
        <v>0.30943575627555708</v>
      </c>
      <c r="N205" s="50">
        <v>5.4149085794655417E-2</v>
      </c>
      <c r="O205" s="50">
        <v>0.63332520193644293</v>
      </c>
      <c r="P205" s="50">
        <v>0.95466802076570478</v>
      </c>
    </row>
    <row r="206" spans="1:16" ht="18" customHeight="1" x14ac:dyDescent="0.15">
      <c r="A206" s="5" t="s">
        <v>1023</v>
      </c>
      <c r="B206" s="6" t="s">
        <v>1030</v>
      </c>
      <c r="C206" s="6"/>
      <c r="D206" s="8"/>
      <c r="E206" s="8"/>
      <c r="F206" s="43"/>
      <c r="G206" s="43"/>
      <c r="H206" s="36"/>
      <c r="I206" s="6" t="s">
        <v>1095</v>
      </c>
      <c r="J206" s="6" t="s">
        <v>1106</v>
      </c>
      <c r="K206" s="6">
        <v>80</v>
      </c>
      <c r="L206" s="6" t="s">
        <v>1301</v>
      </c>
      <c r="M206" s="50">
        <v>1.877215900353436E-2</v>
      </c>
      <c r="N206" s="50">
        <v>0.25328176277543368</v>
      </c>
      <c r="O206" s="50">
        <v>2.3398400451274309E-2</v>
      </c>
      <c r="P206" s="50">
        <v>0.95466802076570478</v>
      </c>
    </row>
    <row r="207" spans="1:16" ht="18" customHeight="1" x14ac:dyDescent="0.15">
      <c r="A207" s="5" t="s">
        <v>1023</v>
      </c>
      <c r="B207" s="6" t="s">
        <v>1030</v>
      </c>
      <c r="C207" s="6"/>
      <c r="D207" s="8"/>
      <c r="E207" s="8"/>
      <c r="F207" s="43"/>
      <c r="G207" s="43"/>
      <c r="H207" s="36"/>
      <c r="I207" s="6" t="s">
        <v>1095</v>
      </c>
      <c r="J207" s="6" t="s">
        <v>1108</v>
      </c>
      <c r="K207" s="6">
        <v>80</v>
      </c>
      <c r="L207" s="6" t="s">
        <v>1302</v>
      </c>
      <c r="M207" s="50">
        <v>0.2290589005613918</v>
      </c>
      <c r="N207" s="50">
        <v>-7.7074542897327722E-2</v>
      </c>
      <c r="O207" s="50">
        <v>0.49679717966410419</v>
      </c>
      <c r="P207" s="50">
        <v>0.95466802076570478</v>
      </c>
    </row>
    <row r="208" spans="1:16" ht="18" customHeight="1" x14ac:dyDescent="0.15">
      <c r="A208" s="5" t="s">
        <v>1023</v>
      </c>
      <c r="B208" s="6" t="s">
        <v>1030</v>
      </c>
      <c r="C208" s="6"/>
      <c r="D208" s="8"/>
      <c r="E208" s="8"/>
      <c r="F208" s="43"/>
      <c r="G208" s="43"/>
      <c r="H208" s="36"/>
      <c r="I208" s="6" t="s">
        <v>1095</v>
      </c>
      <c r="J208" s="6" t="s">
        <v>1110</v>
      </c>
      <c r="K208" s="6">
        <v>80</v>
      </c>
      <c r="L208" s="6" t="s">
        <v>1303</v>
      </c>
      <c r="M208" s="50">
        <v>0.49347774492123908</v>
      </c>
      <c r="N208" s="50">
        <v>9.0998593530239105E-2</v>
      </c>
      <c r="O208" s="50">
        <v>0.42210546841482482</v>
      </c>
      <c r="P208" s="50">
        <v>0.95466802076570478</v>
      </c>
    </row>
    <row r="209" spans="1:16" ht="18" customHeight="1" x14ac:dyDescent="0.15">
      <c r="A209" s="5" t="s">
        <v>1023</v>
      </c>
      <c r="B209" s="6" t="s">
        <v>1030</v>
      </c>
      <c r="C209" s="6"/>
      <c r="D209" s="8"/>
      <c r="E209" s="8"/>
      <c r="F209" s="43"/>
      <c r="G209" s="43"/>
      <c r="H209" s="36"/>
      <c r="I209" s="6" t="s">
        <v>1095</v>
      </c>
      <c r="J209" s="6" t="s">
        <v>1112</v>
      </c>
      <c r="K209" s="6">
        <v>80</v>
      </c>
      <c r="L209" s="6" t="s">
        <v>1304</v>
      </c>
      <c r="M209" s="50">
        <v>0.74272379831356905</v>
      </c>
      <c r="N209" s="50">
        <v>-1.833098921706516E-2</v>
      </c>
      <c r="O209" s="50">
        <v>0.87178589746876167</v>
      </c>
      <c r="P209" s="50">
        <v>0.95700793904120396</v>
      </c>
    </row>
    <row r="210" spans="1:16" ht="18" customHeight="1" x14ac:dyDescent="0.15">
      <c r="A210" s="5" t="s">
        <v>1023</v>
      </c>
      <c r="B210" s="6" t="s">
        <v>1030</v>
      </c>
      <c r="C210" s="6"/>
      <c r="D210" s="8"/>
      <c r="E210" s="8"/>
      <c r="F210" s="43"/>
      <c r="G210" s="43"/>
      <c r="H210" s="36"/>
      <c r="I210" s="6" t="s">
        <v>1095</v>
      </c>
      <c r="J210" s="6" t="s">
        <v>1114</v>
      </c>
      <c r="K210" s="6">
        <v>80</v>
      </c>
      <c r="L210" s="6" t="s">
        <v>1305</v>
      </c>
      <c r="M210" s="50">
        <v>0.57269024154190629</v>
      </c>
      <c r="N210" s="50">
        <v>-2.9278012189404599E-2</v>
      </c>
      <c r="O210" s="50">
        <v>0.79655794420445525</v>
      </c>
      <c r="P210" s="50">
        <v>0.95466802076570478</v>
      </c>
    </row>
    <row r="211" spans="1:16" ht="18" customHeight="1" x14ac:dyDescent="0.15">
      <c r="A211" s="5" t="s">
        <v>1023</v>
      </c>
      <c r="B211" s="6" t="s">
        <v>1030</v>
      </c>
      <c r="C211" s="6"/>
      <c r="D211" s="8"/>
      <c r="E211" s="8"/>
      <c r="F211" s="43"/>
      <c r="G211" s="43"/>
      <c r="H211" s="36"/>
      <c r="I211" s="6" t="s">
        <v>1095</v>
      </c>
      <c r="J211" s="6" t="s">
        <v>1116</v>
      </c>
      <c r="K211" s="6">
        <v>80</v>
      </c>
      <c r="L211" s="6" t="s">
        <v>1306</v>
      </c>
      <c r="M211" s="50">
        <v>0.78782928453441603</v>
      </c>
      <c r="N211" s="50">
        <v>-2.6957337083919298E-3</v>
      </c>
      <c r="O211" s="50">
        <v>0.98106643277582839</v>
      </c>
      <c r="P211" s="50">
        <v>0.95700793904120396</v>
      </c>
    </row>
    <row r="212" spans="1:16" ht="18" customHeight="1" x14ac:dyDescent="0.15">
      <c r="A212" s="5" t="s">
        <v>1023</v>
      </c>
      <c r="B212" s="6" t="s">
        <v>1030</v>
      </c>
      <c r="C212" s="6"/>
      <c r="D212" s="8"/>
      <c r="E212" s="8"/>
      <c r="F212" s="43"/>
      <c r="G212" s="43"/>
      <c r="H212" s="36"/>
      <c r="I212" s="6" t="s">
        <v>1095</v>
      </c>
      <c r="J212" s="6" t="s">
        <v>1118</v>
      </c>
      <c r="K212" s="6">
        <v>80</v>
      </c>
      <c r="L212" s="6" t="s">
        <v>1307</v>
      </c>
      <c r="M212" s="50">
        <v>5.7014121864379777E-2</v>
      </c>
      <c r="N212" s="50">
        <v>-0.19303797468354431</v>
      </c>
      <c r="O212" s="50">
        <v>8.6237718106232653E-2</v>
      </c>
      <c r="P212" s="50">
        <v>0.95466802076570478</v>
      </c>
    </row>
    <row r="213" spans="1:16" ht="18" customHeight="1" x14ac:dyDescent="0.15">
      <c r="A213" s="5" t="s">
        <v>1023</v>
      </c>
      <c r="B213" s="6" t="s">
        <v>1030</v>
      </c>
      <c r="C213" s="6"/>
      <c r="D213" s="8"/>
      <c r="E213" s="8"/>
      <c r="F213" s="43"/>
      <c r="G213" s="43"/>
      <c r="H213" s="36"/>
      <c r="I213" s="6" t="s">
        <v>1095</v>
      </c>
      <c r="J213" s="6" t="s">
        <v>1120</v>
      </c>
      <c r="K213" s="6">
        <v>80</v>
      </c>
      <c r="L213" s="6" t="s">
        <v>1308</v>
      </c>
      <c r="M213" s="50">
        <v>0.3982734470779915</v>
      </c>
      <c r="N213" s="50">
        <v>-4.1608063759962489E-2</v>
      </c>
      <c r="O213" s="50">
        <v>0.71402525272104445</v>
      </c>
      <c r="P213" s="50">
        <v>0.95466802076570478</v>
      </c>
    </row>
    <row r="214" spans="1:16" ht="18" customHeight="1" x14ac:dyDescent="0.15">
      <c r="A214" s="5" t="s">
        <v>1023</v>
      </c>
      <c r="B214" s="6" t="s">
        <v>1030</v>
      </c>
      <c r="C214" s="6"/>
      <c r="D214" s="8"/>
      <c r="E214" s="8"/>
      <c r="F214" s="43"/>
      <c r="G214" s="43"/>
      <c r="H214" s="36"/>
      <c r="I214" s="6" t="s">
        <v>1095</v>
      </c>
      <c r="J214" s="6" t="s">
        <v>1122</v>
      </c>
      <c r="K214" s="6">
        <v>80</v>
      </c>
      <c r="L214" s="6" t="s">
        <v>1309</v>
      </c>
      <c r="M214" s="50">
        <v>0.36583267893817578</v>
      </c>
      <c r="N214" s="50">
        <v>-0.18206751054852319</v>
      </c>
      <c r="O214" s="50">
        <v>0.1060137286009443</v>
      </c>
      <c r="P214" s="50">
        <v>0.95466802076570478</v>
      </c>
    </row>
    <row r="215" spans="1:16" ht="18" customHeight="1" x14ac:dyDescent="0.15">
      <c r="A215" s="5" t="s">
        <v>1023</v>
      </c>
      <c r="B215" s="6" t="s">
        <v>1030</v>
      </c>
      <c r="C215" s="6"/>
      <c r="D215" s="8"/>
      <c r="E215" s="8"/>
      <c r="F215" s="43"/>
      <c r="G215" s="43"/>
      <c r="H215" s="36"/>
      <c r="I215" s="6" t="s">
        <v>1095</v>
      </c>
      <c r="J215" s="6" t="s">
        <v>1124</v>
      </c>
      <c r="K215" s="6">
        <v>80</v>
      </c>
      <c r="L215" s="6" t="s">
        <v>1310</v>
      </c>
      <c r="M215" s="50">
        <v>0.43007771084765573</v>
      </c>
      <c r="N215" s="50">
        <v>4.0482887951242379E-2</v>
      </c>
      <c r="O215" s="50">
        <v>0.72143814017837271</v>
      </c>
      <c r="P215" s="50">
        <v>0.95466802076570478</v>
      </c>
    </row>
    <row r="216" spans="1:16" ht="18" customHeight="1" x14ac:dyDescent="0.15">
      <c r="A216" s="5" t="s">
        <v>1023</v>
      </c>
      <c r="B216" s="6" t="s">
        <v>1030</v>
      </c>
      <c r="C216" s="6"/>
      <c r="D216" s="8"/>
      <c r="E216" s="8"/>
      <c r="F216" s="43"/>
      <c r="G216" s="43"/>
      <c r="H216" s="36"/>
      <c r="I216" s="6" t="s">
        <v>1095</v>
      </c>
      <c r="J216" s="6" t="s">
        <v>1126</v>
      </c>
      <c r="K216" s="6">
        <v>80</v>
      </c>
      <c r="L216" s="6" t="s">
        <v>1311</v>
      </c>
      <c r="M216" s="50">
        <v>0.63485423380919381</v>
      </c>
      <c r="N216" s="50">
        <v>0.1197374589779653</v>
      </c>
      <c r="O216" s="50">
        <v>0.29009161441592718</v>
      </c>
      <c r="P216" s="50">
        <v>0.95466802076570478</v>
      </c>
    </row>
    <row r="217" spans="1:16" ht="18" customHeight="1" x14ac:dyDescent="0.15">
      <c r="A217" s="5" t="s">
        <v>1023</v>
      </c>
      <c r="B217" s="6" t="s">
        <v>1030</v>
      </c>
      <c r="C217" s="6"/>
      <c r="D217" s="8"/>
      <c r="E217" s="8"/>
      <c r="F217" s="43"/>
      <c r="G217" s="43"/>
      <c r="H217" s="36"/>
      <c r="I217" s="6" t="s">
        <v>1095</v>
      </c>
      <c r="J217" s="6" t="s">
        <v>1128</v>
      </c>
      <c r="K217" s="6">
        <v>80</v>
      </c>
      <c r="L217" s="6" t="s">
        <v>1312</v>
      </c>
      <c r="M217" s="50">
        <v>0.74596021821015701</v>
      </c>
      <c r="N217" s="50">
        <v>-8.361462728551336E-2</v>
      </c>
      <c r="O217" s="50">
        <v>0.46088262778642708</v>
      </c>
      <c r="P217" s="50">
        <v>0.95700793904120396</v>
      </c>
    </row>
    <row r="218" spans="1:16" ht="18" customHeight="1" x14ac:dyDescent="0.15">
      <c r="A218" s="5" t="s">
        <v>1023</v>
      </c>
      <c r="B218" s="6" t="s">
        <v>1030</v>
      </c>
      <c r="C218" s="6"/>
      <c r="D218" s="8"/>
      <c r="E218" s="8"/>
      <c r="F218" s="43"/>
      <c r="G218" s="43"/>
      <c r="H218" s="36"/>
      <c r="I218" s="6" t="s">
        <v>1095</v>
      </c>
      <c r="J218" s="6" t="s">
        <v>1130</v>
      </c>
      <c r="K218" s="6">
        <v>80</v>
      </c>
      <c r="L218" s="6" t="s">
        <v>1313</v>
      </c>
      <c r="M218" s="50">
        <v>0.29955766706027143</v>
      </c>
      <c r="N218" s="50">
        <v>-0.17601969057665259</v>
      </c>
      <c r="O218" s="50">
        <v>0.1183325190043292</v>
      </c>
      <c r="P218" s="50">
        <v>0.95466802076570478</v>
      </c>
    </row>
    <row r="219" spans="1:16" ht="18" customHeight="1" x14ac:dyDescent="0.15">
      <c r="A219" s="5" t="s">
        <v>1023</v>
      </c>
      <c r="B219" s="6" t="s">
        <v>1030</v>
      </c>
      <c r="C219" s="6"/>
      <c r="D219" s="8"/>
      <c r="E219" s="8"/>
      <c r="F219" s="43"/>
      <c r="G219" s="43"/>
      <c r="H219" s="36"/>
      <c r="I219" s="6" t="s">
        <v>1095</v>
      </c>
      <c r="J219" s="6" t="s">
        <v>1132</v>
      </c>
      <c r="K219" s="6">
        <v>80</v>
      </c>
      <c r="L219" s="6" t="s">
        <v>1314</v>
      </c>
      <c r="M219" s="50">
        <v>0.5015954753224654</v>
      </c>
      <c r="N219" s="50">
        <v>5.3094233473980311E-2</v>
      </c>
      <c r="O219" s="50">
        <v>0.6399667023729726</v>
      </c>
      <c r="P219" s="50">
        <v>0.95466802076570478</v>
      </c>
    </row>
    <row r="220" spans="1:16" ht="18" customHeight="1" x14ac:dyDescent="0.15">
      <c r="A220" s="5" t="s">
        <v>1023</v>
      </c>
      <c r="B220" s="6" t="s">
        <v>1030</v>
      </c>
      <c r="C220" s="6"/>
      <c r="D220" s="8"/>
      <c r="E220" s="8"/>
      <c r="F220" s="43"/>
      <c r="G220" s="43"/>
      <c r="H220" s="36"/>
      <c r="I220" s="6" t="s">
        <v>1095</v>
      </c>
      <c r="J220" s="6" t="s">
        <v>1134</v>
      </c>
      <c r="K220" s="6">
        <v>80</v>
      </c>
      <c r="L220" s="6" t="s">
        <v>1315</v>
      </c>
      <c r="M220" s="50">
        <v>0.76687614503764512</v>
      </c>
      <c r="N220" s="50">
        <v>-4.0037505860290659E-2</v>
      </c>
      <c r="O220" s="50">
        <v>0.72437955644741703</v>
      </c>
      <c r="P220" s="50">
        <v>0.95700793904120396</v>
      </c>
    </row>
    <row r="221" spans="1:16" ht="18" customHeight="1" x14ac:dyDescent="0.15">
      <c r="A221" s="5" t="s">
        <v>1023</v>
      </c>
      <c r="B221" s="6" t="s">
        <v>1030</v>
      </c>
      <c r="C221" s="6"/>
      <c r="D221" s="8"/>
      <c r="E221" s="8"/>
      <c r="F221" s="43"/>
      <c r="G221" s="43"/>
      <c r="H221" s="36"/>
      <c r="I221" s="6" t="s">
        <v>1095</v>
      </c>
      <c r="J221" s="6" t="s">
        <v>1136</v>
      </c>
      <c r="K221" s="6">
        <v>80</v>
      </c>
      <c r="L221" s="6" t="s">
        <v>1316</v>
      </c>
      <c r="M221" s="50">
        <v>0.84321942682550577</v>
      </c>
      <c r="N221" s="50">
        <v>1.9643694327238628E-2</v>
      </c>
      <c r="O221" s="50">
        <v>0.86269075490137392</v>
      </c>
      <c r="P221" s="50">
        <v>0.95700793904120396</v>
      </c>
    </row>
    <row r="222" spans="1:16" ht="18" customHeight="1" x14ac:dyDescent="0.15">
      <c r="A222" s="5" t="s">
        <v>1023</v>
      </c>
      <c r="B222" s="6" t="s">
        <v>1030</v>
      </c>
      <c r="C222" s="6"/>
      <c r="D222" s="8"/>
      <c r="E222" s="8"/>
      <c r="F222" s="43"/>
      <c r="G222" s="43"/>
      <c r="H222" s="36"/>
      <c r="I222" s="6" t="s">
        <v>1095</v>
      </c>
      <c r="J222" s="6" t="s">
        <v>1138</v>
      </c>
      <c r="K222" s="6">
        <v>80</v>
      </c>
      <c r="L222" s="6" t="s">
        <v>1317</v>
      </c>
      <c r="M222" s="50">
        <v>0.91802399543954805</v>
      </c>
      <c r="N222" s="50">
        <v>-4.0787623066103999E-3</v>
      </c>
      <c r="O222" s="50">
        <v>0.97135608880986724</v>
      </c>
      <c r="P222" s="50">
        <v>0.97609564650031078</v>
      </c>
    </row>
    <row r="223" spans="1:16" ht="18" customHeight="1" x14ac:dyDescent="0.15">
      <c r="A223" s="5" t="s">
        <v>1023</v>
      </c>
      <c r="B223" s="6" t="s">
        <v>1030</v>
      </c>
      <c r="C223" s="6"/>
      <c r="D223" s="8"/>
      <c r="E223" s="8"/>
      <c r="F223" s="43"/>
      <c r="G223" s="43"/>
      <c r="H223" s="36"/>
      <c r="I223" s="6" t="s">
        <v>1095</v>
      </c>
      <c r="J223" s="6" t="s">
        <v>1140</v>
      </c>
      <c r="K223" s="6">
        <v>80</v>
      </c>
      <c r="L223" s="6" t="s">
        <v>1318</v>
      </c>
      <c r="M223" s="50">
        <v>0.14669732386405879</v>
      </c>
      <c r="N223" s="50">
        <v>0.21997187060478199</v>
      </c>
      <c r="O223" s="50">
        <v>4.9924631307005259E-2</v>
      </c>
      <c r="P223" s="50">
        <v>0.95466802076570478</v>
      </c>
    </row>
    <row r="224" spans="1:16" ht="18" customHeight="1" x14ac:dyDescent="0.15">
      <c r="A224" s="5" t="s">
        <v>1023</v>
      </c>
      <c r="B224" s="6" t="s">
        <v>1030</v>
      </c>
      <c r="C224" s="6"/>
      <c r="D224" s="8"/>
      <c r="E224" s="8"/>
      <c r="F224" s="43"/>
      <c r="G224" s="43"/>
      <c r="H224" s="36"/>
      <c r="I224" s="6" t="s">
        <v>1095</v>
      </c>
      <c r="J224" s="6" t="s">
        <v>1142</v>
      </c>
      <c r="K224" s="6">
        <v>80</v>
      </c>
      <c r="L224" s="6" t="s">
        <v>1319</v>
      </c>
      <c r="M224" s="50">
        <v>0.54979605792823794</v>
      </c>
      <c r="N224" s="50">
        <v>-0.1074074074074074</v>
      </c>
      <c r="O224" s="50">
        <v>0.34297251261902351</v>
      </c>
      <c r="P224" s="50">
        <v>0.95466802076570478</v>
      </c>
    </row>
    <row r="225" spans="1:16" ht="18" customHeight="1" x14ac:dyDescent="0.15">
      <c r="A225" s="5" t="s">
        <v>1023</v>
      </c>
      <c r="B225" s="6" t="s">
        <v>1030</v>
      </c>
      <c r="C225" s="6"/>
      <c r="D225" s="8"/>
      <c r="E225" s="8"/>
      <c r="F225" s="43"/>
      <c r="G225" s="43"/>
      <c r="H225" s="36"/>
      <c r="I225" s="6" t="s">
        <v>1095</v>
      </c>
      <c r="J225" s="6" t="s">
        <v>1144</v>
      </c>
      <c r="K225" s="6">
        <v>80</v>
      </c>
      <c r="L225" s="6" t="s">
        <v>1320</v>
      </c>
      <c r="M225" s="50">
        <v>0.93557773377395403</v>
      </c>
      <c r="N225" s="50">
        <v>2.2034692920768869E-2</v>
      </c>
      <c r="O225" s="50">
        <v>0.84617118600860008</v>
      </c>
      <c r="P225" s="50">
        <v>0.97609564650031078</v>
      </c>
    </row>
    <row r="226" spans="1:16" ht="18" customHeight="1" x14ac:dyDescent="0.15">
      <c r="A226" s="5" t="s">
        <v>1023</v>
      </c>
      <c r="B226" s="6" t="s">
        <v>1030</v>
      </c>
      <c r="C226" s="6"/>
      <c r="D226" s="8"/>
      <c r="E226" s="8"/>
      <c r="F226" s="43"/>
      <c r="G226" s="43"/>
      <c r="H226" s="36"/>
      <c r="I226" s="6" t="s">
        <v>1095</v>
      </c>
      <c r="J226" s="6" t="s">
        <v>1146</v>
      </c>
      <c r="K226" s="6">
        <v>80</v>
      </c>
      <c r="L226" s="6" t="s">
        <v>1321</v>
      </c>
      <c r="M226" s="50">
        <v>0.74534112725734769</v>
      </c>
      <c r="N226" s="50">
        <v>-6.1767463666197849E-2</v>
      </c>
      <c r="O226" s="50">
        <v>0.58624182245776801</v>
      </c>
      <c r="P226" s="50">
        <v>0.95700793904120396</v>
      </c>
    </row>
    <row r="227" spans="1:16" ht="18" customHeight="1" x14ac:dyDescent="0.15">
      <c r="A227" s="5" t="s">
        <v>1023</v>
      </c>
      <c r="B227" s="6" t="s">
        <v>1030</v>
      </c>
      <c r="C227" s="6"/>
      <c r="D227" s="8"/>
      <c r="E227" s="8"/>
      <c r="F227" s="43"/>
      <c r="G227" s="43"/>
      <c r="H227" s="36"/>
      <c r="I227" s="6" t="s">
        <v>1095</v>
      </c>
      <c r="J227" s="6" t="s">
        <v>1148</v>
      </c>
      <c r="K227" s="6">
        <v>80</v>
      </c>
      <c r="L227" s="6" t="s">
        <v>1322</v>
      </c>
      <c r="M227" s="50">
        <v>0.705080773977103</v>
      </c>
      <c r="N227" s="50">
        <v>9.892170651664324E-2</v>
      </c>
      <c r="O227" s="50">
        <v>0.38266233359042401</v>
      </c>
      <c r="P227" s="50">
        <v>0.95700793904120396</v>
      </c>
    </row>
    <row r="228" spans="1:16" ht="18" customHeight="1" x14ac:dyDescent="0.15">
      <c r="A228" s="5" t="s">
        <v>1023</v>
      </c>
      <c r="B228" s="6" t="s">
        <v>1030</v>
      </c>
      <c r="C228" s="6"/>
      <c r="D228" s="8"/>
      <c r="E228" s="8"/>
      <c r="F228" s="43"/>
      <c r="G228" s="43"/>
      <c r="H228" s="36"/>
      <c r="I228" s="6" t="s">
        <v>1095</v>
      </c>
      <c r="J228" s="6" t="s">
        <v>1150</v>
      </c>
      <c r="K228" s="6">
        <v>80</v>
      </c>
      <c r="L228" s="6" t="s">
        <v>1323</v>
      </c>
      <c r="M228" s="50">
        <v>0.35513008553903519</v>
      </c>
      <c r="N228" s="50">
        <v>-3.2208157524613222E-2</v>
      </c>
      <c r="O228" s="50">
        <v>0.77670301027830024</v>
      </c>
      <c r="P228" s="50">
        <v>0.95466802076570478</v>
      </c>
    </row>
    <row r="229" spans="1:16" ht="18" customHeight="1" x14ac:dyDescent="0.15">
      <c r="A229" s="5" t="s">
        <v>1023</v>
      </c>
      <c r="B229" s="6" t="s">
        <v>1030</v>
      </c>
      <c r="C229" s="6"/>
      <c r="D229" s="8"/>
      <c r="E229" s="8"/>
      <c r="F229" s="43"/>
      <c r="G229" s="43"/>
      <c r="H229" s="36"/>
      <c r="I229" s="6" t="s">
        <v>1095</v>
      </c>
      <c r="J229" s="6" t="s">
        <v>1152</v>
      </c>
      <c r="K229" s="6">
        <v>80</v>
      </c>
      <c r="L229" s="6" t="s">
        <v>1324</v>
      </c>
      <c r="M229" s="50">
        <v>0.56749107688030354</v>
      </c>
      <c r="N229" s="50">
        <v>-4.2100328176277547E-2</v>
      </c>
      <c r="O229" s="50">
        <v>0.71079037120700994</v>
      </c>
      <c r="P229" s="50">
        <v>0.95466802076570478</v>
      </c>
    </row>
    <row r="230" spans="1:16" ht="18" customHeight="1" x14ac:dyDescent="0.15">
      <c r="A230" s="5" t="s">
        <v>1023</v>
      </c>
      <c r="B230" s="6" t="s">
        <v>1030</v>
      </c>
      <c r="C230" s="6"/>
      <c r="D230" s="8"/>
      <c r="E230" s="8"/>
      <c r="F230" s="43"/>
      <c r="G230" s="43"/>
      <c r="H230" s="36"/>
      <c r="I230" s="6" t="s">
        <v>1095</v>
      </c>
      <c r="J230" s="6" t="s">
        <v>1154</v>
      </c>
      <c r="K230" s="6">
        <v>80</v>
      </c>
      <c r="L230" s="6" t="s">
        <v>1325</v>
      </c>
      <c r="M230" s="50">
        <v>4.6573524792199679E-2</v>
      </c>
      <c r="N230" s="50">
        <v>0.16887013595874359</v>
      </c>
      <c r="O230" s="50">
        <v>0.13428256400096941</v>
      </c>
      <c r="P230" s="50">
        <v>0.95466802076570478</v>
      </c>
    </row>
    <row r="231" spans="1:16" ht="18" customHeight="1" x14ac:dyDescent="0.15">
      <c r="A231" s="5" t="s">
        <v>1023</v>
      </c>
      <c r="B231" s="6" t="s">
        <v>1030</v>
      </c>
      <c r="C231" s="6"/>
      <c r="D231" s="8"/>
      <c r="E231" s="8"/>
      <c r="F231" s="43"/>
      <c r="G231" s="43"/>
      <c r="H231" s="36"/>
      <c r="I231" s="6" t="s">
        <v>1095</v>
      </c>
      <c r="J231" s="6" t="s">
        <v>1156</v>
      </c>
      <c r="K231" s="6">
        <v>80</v>
      </c>
      <c r="L231" s="6" t="s">
        <v>1326</v>
      </c>
      <c r="M231" s="50">
        <v>0.51723914071423605</v>
      </c>
      <c r="N231" s="50">
        <v>-6.5541490857946555E-2</v>
      </c>
      <c r="O231" s="50">
        <v>0.56352321452589149</v>
      </c>
      <c r="P231" s="50">
        <v>0.95466802076570478</v>
      </c>
    </row>
    <row r="232" spans="1:16" ht="18" customHeight="1" x14ac:dyDescent="0.15">
      <c r="A232" s="5" t="s">
        <v>1023</v>
      </c>
      <c r="B232" s="6" t="s">
        <v>1030</v>
      </c>
      <c r="C232" s="6"/>
      <c r="D232" s="8"/>
      <c r="E232" s="8"/>
      <c r="F232" s="43"/>
      <c r="G232" s="43"/>
      <c r="H232" s="36"/>
      <c r="I232" s="6" t="s">
        <v>1095</v>
      </c>
      <c r="J232" s="6" t="s">
        <v>1158</v>
      </c>
      <c r="K232" s="6">
        <v>80</v>
      </c>
      <c r="L232" s="6" t="s">
        <v>1327</v>
      </c>
      <c r="M232" s="50">
        <v>0.80015763685957997</v>
      </c>
      <c r="N232" s="50">
        <v>-1.132208157524613E-2</v>
      </c>
      <c r="O232" s="50">
        <v>0.92060064706598999</v>
      </c>
      <c r="P232" s="50">
        <v>0.95700793904120396</v>
      </c>
    </row>
    <row r="233" spans="1:16" ht="18" customHeight="1" x14ac:dyDescent="0.15">
      <c r="A233" s="5" t="s">
        <v>1023</v>
      </c>
      <c r="B233" s="6" t="s">
        <v>1030</v>
      </c>
      <c r="C233" s="6"/>
      <c r="D233" s="8"/>
      <c r="E233" s="8"/>
      <c r="F233" s="43"/>
      <c r="G233" s="43"/>
      <c r="H233" s="36"/>
      <c r="I233" s="6" t="s">
        <v>1095</v>
      </c>
      <c r="J233" s="6" t="s">
        <v>1160</v>
      </c>
      <c r="K233" s="6">
        <v>80</v>
      </c>
      <c r="L233" s="6" t="s">
        <v>1328</v>
      </c>
      <c r="M233" s="50">
        <v>0.35947793204705408</v>
      </c>
      <c r="N233" s="50">
        <v>0.20623534927332399</v>
      </c>
      <c r="O233" s="50">
        <v>6.6449710680115195E-2</v>
      </c>
      <c r="P233" s="50">
        <v>0.95466802076570478</v>
      </c>
    </row>
    <row r="234" spans="1:16" ht="18" customHeight="1" x14ac:dyDescent="0.15">
      <c r="A234" s="5" t="s">
        <v>1023</v>
      </c>
      <c r="B234" s="6" t="s">
        <v>1030</v>
      </c>
      <c r="C234" s="6"/>
      <c r="D234" s="8"/>
      <c r="E234" s="8"/>
      <c r="F234" s="43"/>
      <c r="G234" s="43"/>
      <c r="H234" s="36"/>
      <c r="I234" s="6" t="s">
        <v>1095</v>
      </c>
      <c r="J234" s="6" t="s">
        <v>1162</v>
      </c>
      <c r="K234" s="6">
        <v>80</v>
      </c>
      <c r="L234" s="6" t="s">
        <v>1329</v>
      </c>
      <c r="M234" s="50">
        <v>0.58945393313678029</v>
      </c>
      <c r="N234" s="50">
        <v>1.3783403656821369E-2</v>
      </c>
      <c r="O234" s="50">
        <v>0.90341543051689077</v>
      </c>
      <c r="P234" s="50">
        <v>0.95466802076570478</v>
      </c>
    </row>
    <row r="235" spans="1:16" ht="18" customHeight="1" x14ac:dyDescent="0.15">
      <c r="A235" s="5" t="s">
        <v>1023</v>
      </c>
      <c r="B235" s="6" t="s">
        <v>1030</v>
      </c>
      <c r="C235" s="6"/>
      <c r="D235" s="8"/>
      <c r="E235" s="8"/>
      <c r="F235" s="43"/>
      <c r="G235" s="43"/>
      <c r="H235" s="36"/>
      <c r="I235" s="6" t="s">
        <v>1095</v>
      </c>
      <c r="J235" s="6" t="s">
        <v>1164</v>
      </c>
      <c r="K235" s="6">
        <v>80</v>
      </c>
      <c r="L235" s="6" t="s">
        <v>1330</v>
      </c>
      <c r="M235" s="50">
        <v>0.50539390308801935</v>
      </c>
      <c r="N235" s="50">
        <v>-5.3164556962025308E-2</v>
      </c>
      <c r="O235" s="50">
        <v>0.63952304687835482</v>
      </c>
      <c r="P235" s="50">
        <v>0.95466802076570478</v>
      </c>
    </row>
    <row r="236" spans="1:16" ht="18" customHeight="1" x14ac:dyDescent="0.15">
      <c r="A236" s="5" t="s">
        <v>1023</v>
      </c>
      <c r="B236" s="6" t="s">
        <v>1030</v>
      </c>
      <c r="C236" s="6"/>
      <c r="D236" s="8"/>
      <c r="E236" s="8"/>
      <c r="F236" s="43"/>
      <c r="G236" s="43"/>
      <c r="H236" s="36"/>
      <c r="I236" s="6" t="s">
        <v>1095</v>
      </c>
      <c r="J236" s="6" t="s">
        <v>1166</v>
      </c>
      <c r="K236" s="6">
        <v>80</v>
      </c>
      <c r="L236" s="6" t="s">
        <v>1331</v>
      </c>
      <c r="M236" s="50">
        <v>0.43912134408332631</v>
      </c>
      <c r="N236" s="50">
        <v>0.106516643225504</v>
      </c>
      <c r="O236" s="50">
        <v>0.34701323201950512</v>
      </c>
      <c r="P236" s="50">
        <v>0.95466802076570478</v>
      </c>
    </row>
    <row r="237" spans="1:16" ht="18" customHeight="1" x14ac:dyDescent="0.15">
      <c r="A237" s="5" t="s">
        <v>1023</v>
      </c>
      <c r="B237" s="6" t="s">
        <v>1030</v>
      </c>
      <c r="C237" s="6"/>
      <c r="D237" s="8"/>
      <c r="E237" s="8"/>
      <c r="F237" s="43"/>
      <c r="G237" s="43"/>
      <c r="H237" s="36"/>
      <c r="I237" s="6" t="s">
        <v>1095</v>
      </c>
      <c r="J237" s="6" t="s">
        <v>1168</v>
      </c>
      <c r="K237" s="6">
        <v>80</v>
      </c>
      <c r="L237" s="6" t="s">
        <v>1332</v>
      </c>
      <c r="M237" s="50">
        <v>0.58290191649461565</v>
      </c>
      <c r="N237" s="50">
        <v>-4.2264416315049229E-2</v>
      </c>
      <c r="O237" s="50">
        <v>0.70971320817927552</v>
      </c>
      <c r="P237" s="50">
        <v>0.95466802076570478</v>
      </c>
    </row>
    <row r="238" spans="1:16" ht="18" customHeight="1" x14ac:dyDescent="0.15">
      <c r="A238" s="5" t="s">
        <v>1023</v>
      </c>
      <c r="B238" s="6" t="s">
        <v>1030</v>
      </c>
      <c r="C238" s="6"/>
      <c r="D238" s="8"/>
      <c r="E238" s="8"/>
      <c r="F238" s="43"/>
      <c r="G238" s="43"/>
      <c r="H238" s="36"/>
      <c r="I238" s="6" t="s">
        <v>1095</v>
      </c>
      <c r="J238" s="6" t="s">
        <v>1170</v>
      </c>
      <c r="K238" s="6">
        <v>80</v>
      </c>
      <c r="L238" s="6" t="s">
        <v>1333</v>
      </c>
      <c r="M238" s="50">
        <v>0.64557986276317569</v>
      </c>
      <c r="N238" s="50">
        <v>-7.0862634786685419E-2</v>
      </c>
      <c r="O238" s="50">
        <v>0.53221698174478027</v>
      </c>
      <c r="P238" s="50">
        <v>0.95700793904120396</v>
      </c>
    </row>
    <row r="239" spans="1:16" ht="18" customHeight="1" x14ac:dyDescent="0.15">
      <c r="A239" s="5" t="s">
        <v>1023</v>
      </c>
      <c r="B239" s="6" t="s">
        <v>1030</v>
      </c>
      <c r="C239" s="6"/>
      <c r="D239" s="8"/>
      <c r="E239" s="8"/>
      <c r="F239" s="43"/>
      <c r="G239" s="43"/>
      <c r="H239" s="36"/>
      <c r="I239" s="6" t="s">
        <v>1095</v>
      </c>
      <c r="J239" s="6" t="s">
        <v>1172</v>
      </c>
      <c r="K239" s="6">
        <v>80</v>
      </c>
      <c r="L239" s="6" t="s">
        <v>1334</v>
      </c>
      <c r="M239" s="50">
        <v>0.58920413007030126</v>
      </c>
      <c r="N239" s="50">
        <v>2.0909517112048751E-2</v>
      </c>
      <c r="O239" s="50">
        <v>0.85393729647007788</v>
      </c>
      <c r="P239" s="50">
        <v>0.95466802076570478</v>
      </c>
    </row>
    <row r="240" spans="1:16" ht="18" customHeight="1" x14ac:dyDescent="0.15">
      <c r="A240" s="5" t="s">
        <v>1023</v>
      </c>
      <c r="B240" s="6" t="s">
        <v>1030</v>
      </c>
      <c r="C240" s="6"/>
      <c r="D240" s="8"/>
      <c r="E240" s="8"/>
      <c r="F240" s="43"/>
      <c r="G240" s="43"/>
      <c r="H240" s="36"/>
      <c r="I240" s="6" t="s">
        <v>1095</v>
      </c>
      <c r="J240" s="6" t="s">
        <v>1174</v>
      </c>
      <c r="K240" s="6">
        <v>80</v>
      </c>
      <c r="L240" s="6" t="s">
        <v>1335</v>
      </c>
      <c r="M240" s="50">
        <v>0.91773278627957755</v>
      </c>
      <c r="N240" s="50">
        <v>2.1518987341772149E-2</v>
      </c>
      <c r="O240" s="50">
        <v>0.84972888115403156</v>
      </c>
      <c r="P240" s="50">
        <v>0.97609564650031078</v>
      </c>
    </row>
    <row r="241" spans="1:16" ht="18" customHeight="1" x14ac:dyDescent="0.15">
      <c r="A241" s="5" t="s">
        <v>1023</v>
      </c>
      <c r="B241" s="6" t="s">
        <v>1030</v>
      </c>
      <c r="C241" s="6"/>
      <c r="D241" s="8"/>
      <c r="E241" s="8"/>
      <c r="F241" s="43"/>
      <c r="G241" s="43"/>
      <c r="H241" s="36"/>
      <c r="I241" s="6" t="s">
        <v>1095</v>
      </c>
      <c r="J241" s="6" t="s">
        <v>1176</v>
      </c>
      <c r="K241" s="6">
        <v>80</v>
      </c>
      <c r="L241" s="6" t="s">
        <v>1336</v>
      </c>
      <c r="M241" s="50">
        <v>0.2016896018000435</v>
      </c>
      <c r="N241" s="50">
        <v>-0.16038443506797939</v>
      </c>
      <c r="O241" s="50">
        <v>0.1552693781720251</v>
      </c>
      <c r="P241" s="50">
        <v>0.95466802076570478</v>
      </c>
    </row>
    <row r="242" spans="1:16" ht="18" customHeight="1" x14ac:dyDescent="0.15">
      <c r="A242" s="5" t="s">
        <v>1023</v>
      </c>
      <c r="B242" s="6" t="s">
        <v>1030</v>
      </c>
      <c r="C242" s="6"/>
      <c r="D242" s="8"/>
      <c r="E242" s="8"/>
      <c r="F242" s="43"/>
      <c r="G242" s="43"/>
      <c r="H242" s="36"/>
      <c r="I242" s="6" t="s">
        <v>1095</v>
      </c>
      <c r="J242" s="6" t="s">
        <v>1178</v>
      </c>
      <c r="K242" s="6">
        <v>80</v>
      </c>
      <c r="L242" s="6" t="s">
        <v>1337</v>
      </c>
      <c r="M242" s="50">
        <v>3.245996507508965E-2</v>
      </c>
      <c r="N242" s="50">
        <v>-0.1394280356305673</v>
      </c>
      <c r="O242" s="50">
        <v>0.21739287116545941</v>
      </c>
      <c r="P242" s="50">
        <v>0.95466802076570478</v>
      </c>
    </row>
    <row r="243" spans="1:16" ht="18" customHeight="1" x14ac:dyDescent="0.15">
      <c r="A243" s="5" t="s">
        <v>1023</v>
      </c>
      <c r="B243" s="6" t="s">
        <v>1030</v>
      </c>
      <c r="C243" s="6"/>
      <c r="D243" s="8"/>
      <c r="E243" s="8"/>
      <c r="F243" s="43"/>
      <c r="G243" s="43"/>
      <c r="H243" s="36"/>
      <c r="I243" s="6" t="s">
        <v>1095</v>
      </c>
      <c r="J243" s="6" t="s">
        <v>1180</v>
      </c>
      <c r="K243" s="6">
        <v>80</v>
      </c>
      <c r="L243" s="6" t="s">
        <v>1338</v>
      </c>
      <c r="M243" s="50">
        <v>0.54618914040661271</v>
      </c>
      <c r="N243" s="50">
        <v>-4.5639943741209568E-2</v>
      </c>
      <c r="O243" s="50">
        <v>0.68768333375486912</v>
      </c>
      <c r="P243" s="50">
        <v>0.95466802076570478</v>
      </c>
    </row>
    <row r="244" spans="1:16" ht="18" customHeight="1" x14ac:dyDescent="0.15">
      <c r="A244" s="5" t="s">
        <v>1023</v>
      </c>
      <c r="B244" s="6" t="s">
        <v>1030</v>
      </c>
      <c r="C244" s="6"/>
      <c r="D244" s="8"/>
      <c r="E244" s="8"/>
      <c r="F244" s="43"/>
      <c r="G244" s="43"/>
      <c r="H244" s="36"/>
      <c r="I244" s="6" t="s">
        <v>1095</v>
      </c>
      <c r="J244" s="6" t="s">
        <v>1182</v>
      </c>
      <c r="K244" s="6">
        <v>80</v>
      </c>
      <c r="L244" s="6" t="s">
        <v>1339</v>
      </c>
      <c r="M244" s="50">
        <v>0.13492822309260469</v>
      </c>
      <c r="N244" s="50">
        <v>0.14280356305672759</v>
      </c>
      <c r="O244" s="50">
        <v>0.20635234551261139</v>
      </c>
      <c r="P244" s="50">
        <v>0.95466802076570478</v>
      </c>
    </row>
    <row r="245" spans="1:16" ht="18" customHeight="1" x14ac:dyDescent="0.15">
      <c r="A245" s="5" t="s">
        <v>1023</v>
      </c>
      <c r="B245" s="6" t="s">
        <v>1030</v>
      </c>
      <c r="C245" s="6"/>
      <c r="D245" s="8"/>
      <c r="E245" s="8"/>
      <c r="F245" s="43"/>
      <c r="G245" s="43"/>
      <c r="H245" s="36"/>
      <c r="I245" s="6" t="s">
        <v>1095</v>
      </c>
      <c r="J245" s="6" t="s">
        <v>1184</v>
      </c>
      <c r="K245" s="6">
        <v>80</v>
      </c>
      <c r="L245" s="6" t="s">
        <v>1340</v>
      </c>
      <c r="M245" s="50">
        <v>8.454965834582738E-2</v>
      </c>
      <c r="N245" s="50">
        <v>0.1398968588842007</v>
      </c>
      <c r="O245" s="50">
        <v>0.2158350442486778</v>
      </c>
      <c r="P245" s="50">
        <v>0.95466802076570478</v>
      </c>
    </row>
    <row r="246" spans="1:16" ht="18" customHeight="1" x14ac:dyDescent="0.15">
      <c r="A246" s="5" t="s">
        <v>1023</v>
      </c>
      <c r="B246" s="6" t="s">
        <v>1030</v>
      </c>
      <c r="C246" s="6"/>
      <c r="D246" s="8"/>
      <c r="E246" s="8"/>
      <c r="F246" s="43"/>
      <c r="G246" s="43"/>
      <c r="H246" s="36"/>
      <c r="I246" s="6" t="s">
        <v>1095</v>
      </c>
      <c r="J246" s="6" t="s">
        <v>1186</v>
      </c>
      <c r="K246" s="6">
        <v>80</v>
      </c>
      <c r="L246" s="6" t="s">
        <v>1341</v>
      </c>
      <c r="M246" s="50">
        <v>0.36399839467323991</v>
      </c>
      <c r="N246" s="50">
        <v>0.1478199718706048</v>
      </c>
      <c r="O246" s="50">
        <v>0.19069188844139889</v>
      </c>
      <c r="P246" s="50">
        <v>0.95466802076570478</v>
      </c>
    </row>
    <row r="247" spans="1:16" ht="18" customHeight="1" x14ac:dyDescent="0.15">
      <c r="A247" s="5" t="s">
        <v>1023</v>
      </c>
      <c r="B247" s="6" t="s">
        <v>1030</v>
      </c>
      <c r="C247" s="6"/>
      <c r="D247" s="8"/>
      <c r="E247" s="8"/>
      <c r="F247" s="43"/>
      <c r="G247" s="43"/>
      <c r="H247" s="36"/>
      <c r="I247" s="6" t="s">
        <v>1095</v>
      </c>
      <c r="J247" s="6" t="s">
        <v>1188</v>
      </c>
      <c r="K247" s="6">
        <v>80</v>
      </c>
      <c r="L247" s="6" t="s">
        <v>1342</v>
      </c>
      <c r="M247" s="50">
        <v>0.62802243873266705</v>
      </c>
      <c r="N247" s="50">
        <v>-6.1861228316924532E-2</v>
      </c>
      <c r="O247" s="50">
        <v>0.58567237341151723</v>
      </c>
      <c r="P247" s="50">
        <v>0.95466802076570478</v>
      </c>
    </row>
    <row r="248" spans="1:16" ht="18" customHeight="1" x14ac:dyDescent="0.15">
      <c r="A248" s="5" t="s">
        <v>1023</v>
      </c>
      <c r="B248" s="6" t="s">
        <v>1030</v>
      </c>
      <c r="C248" s="6"/>
      <c r="D248" s="8"/>
      <c r="E248" s="8"/>
      <c r="F248" s="43"/>
      <c r="G248" s="43"/>
      <c r="H248" s="36"/>
      <c r="I248" s="6" t="s">
        <v>1095</v>
      </c>
      <c r="J248" s="6" t="s">
        <v>1190</v>
      </c>
      <c r="K248" s="6">
        <v>80</v>
      </c>
      <c r="L248" s="6" t="s">
        <v>1343</v>
      </c>
      <c r="M248" s="50">
        <v>4.3676651084878747E-2</v>
      </c>
      <c r="N248" s="50">
        <v>-0.25321143928738871</v>
      </c>
      <c r="O248" s="50">
        <v>2.343819449898828E-2</v>
      </c>
      <c r="P248" s="50">
        <v>0.95466802076570478</v>
      </c>
    </row>
    <row r="249" spans="1:16" ht="18" customHeight="1" x14ac:dyDescent="0.15">
      <c r="A249" s="5" t="s">
        <v>1023</v>
      </c>
      <c r="B249" s="6" t="s">
        <v>1030</v>
      </c>
      <c r="C249" s="6"/>
      <c r="D249" s="8"/>
      <c r="E249" s="8"/>
      <c r="F249" s="43"/>
      <c r="G249" s="43"/>
      <c r="H249" s="36"/>
      <c r="I249" s="6" t="s">
        <v>1095</v>
      </c>
      <c r="J249" s="6" t="s">
        <v>1192</v>
      </c>
      <c r="K249" s="6">
        <v>80</v>
      </c>
      <c r="L249" s="6" t="s">
        <v>1344</v>
      </c>
      <c r="M249" s="50">
        <v>0.28289601098349332</v>
      </c>
      <c r="N249" s="50">
        <v>-1.884669479606188E-2</v>
      </c>
      <c r="O249" s="50">
        <v>0.86821075524319036</v>
      </c>
      <c r="P249" s="50">
        <v>0.95466802076570478</v>
      </c>
    </row>
    <row r="250" spans="1:16" ht="18" customHeight="1" x14ac:dyDescent="0.15">
      <c r="A250" s="5" t="s">
        <v>1023</v>
      </c>
      <c r="B250" s="6" t="s">
        <v>1030</v>
      </c>
      <c r="C250" s="6"/>
      <c r="D250" s="8"/>
      <c r="E250" s="8"/>
      <c r="F250" s="43"/>
      <c r="G250" s="43"/>
      <c r="H250" s="36"/>
      <c r="I250" s="6" t="s">
        <v>1095</v>
      </c>
      <c r="J250" s="6" t="s">
        <v>1194</v>
      </c>
      <c r="K250" s="6">
        <v>80</v>
      </c>
      <c r="L250" s="6" t="s">
        <v>1345</v>
      </c>
      <c r="M250" s="50">
        <v>0.91822394821206921</v>
      </c>
      <c r="N250" s="50">
        <v>1.106422878574777E-2</v>
      </c>
      <c r="O250" s="50">
        <v>0.9224032472652528</v>
      </c>
      <c r="P250" s="50">
        <v>0.97609564650031078</v>
      </c>
    </row>
    <row r="251" spans="1:16" ht="18" customHeight="1" x14ac:dyDescent="0.15">
      <c r="A251" s="5" t="s">
        <v>1023</v>
      </c>
      <c r="B251" s="6" t="s">
        <v>1030</v>
      </c>
      <c r="C251" s="6"/>
      <c r="D251" s="8"/>
      <c r="E251" s="8"/>
      <c r="F251" s="43"/>
      <c r="G251" s="43"/>
      <c r="H251" s="36"/>
      <c r="I251" s="6" t="s">
        <v>1095</v>
      </c>
      <c r="J251" s="6" t="s">
        <v>1196</v>
      </c>
      <c r="K251" s="6">
        <v>80</v>
      </c>
      <c r="L251" s="6" t="s">
        <v>1346</v>
      </c>
      <c r="M251" s="50">
        <v>0.67083459089816488</v>
      </c>
      <c r="N251" s="50">
        <v>-6.9151429910923497E-3</v>
      </c>
      <c r="O251" s="50">
        <v>0.95145621900265021</v>
      </c>
      <c r="P251" s="50">
        <v>0.95700793904120396</v>
      </c>
    </row>
    <row r="252" spans="1:16" ht="18" customHeight="1" x14ac:dyDescent="0.15">
      <c r="A252" s="5" t="s">
        <v>1023</v>
      </c>
      <c r="B252" s="6" t="s">
        <v>1030</v>
      </c>
      <c r="C252" s="6"/>
      <c r="D252" s="8"/>
      <c r="E252" s="8"/>
      <c r="F252" s="43"/>
      <c r="G252" s="43"/>
      <c r="H252" s="36"/>
      <c r="I252" s="6" t="s">
        <v>1095</v>
      </c>
      <c r="J252" s="6" t="s">
        <v>1198</v>
      </c>
      <c r="K252" s="6">
        <v>80</v>
      </c>
      <c r="L252" s="6" t="s">
        <v>1347</v>
      </c>
      <c r="M252" s="50">
        <v>0.49049485951033528</v>
      </c>
      <c r="N252" s="50">
        <v>-5.1007969995311771E-2</v>
      </c>
      <c r="O252" s="50">
        <v>0.65318534114398608</v>
      </c>
      <c r="P252" s="50">
        <v>0.95466802076570478</v>
      </c>
    </row>
    <row r="253" spans="1:16" ht="18" customHeight="1" x14ac:dyDescent="0.15">
      <c r="A253" s="5" t="s">
        <v>1023</v>
      </c>
      <c r="B253" s="6" t="s">
        <v>1030</v>
      </c>
      <c r="C253" s="6"/>
      <c r="D253" s="8"/>
      <c r="E253" s="8"/>
      <c r="F253" s="43"/>
      <c r="G253" s="43"/>
      <c r="H253" s="36"/>
      <c r="I253" s="6" t="s">
        <v>1095</v>
      </c>
      <c r="J253" s="6" t="s">
        <v>1200</v>
      </c>
      <c r="K253" s="6">
        <v>80</v>
      </c>
      <c r="L253" s="6" t="s">
        <v>1348</v>
      </c>
      <c r="M253" s="50">
        <v>0.14169249980702939</v>
      </c>
      <c r="N253" s="50">
        <v>0.2144866385372714</v>
      </c>
      <c r="O253" s="50">
        <v>5.6064667419630163E-2</v>
      </c>
      <c r="P253" s="50">
        <v>0.95466802076570478</v>
      </c>
    </row>
    <row r="254" spans="1:16" ht="18" customHeight="1" x14ac:dyDescent="0.15">
      <c r="A254" s="5" t="s">
        <v>1023</v>
      </c>
      <c r="B254" s="6" t="s">
        <v>1030</v>
      </c>
      <c r="C254" s="6"/>
      <c r="D254" s="8"/>
      <c r="E254" s="8"/>
      <c r="F254" s="43"/>
      <c r="G254" s="43"/>
      <c r="H254" s="36"/>
      <c r="I254" s="6" t="s">
        <v>1095</v>
      </c>
      <c r="J254" s="6" t="s">
        <v>1202</v>
      </c>
      <c r="K254" s="6">
        <v>80</v>
      </c>
      <c r="L254" s="6" t="s">
        <v>1349</v>
      </c>
      <c r="M254" s="50">
        <v>0.30427161605335779</v>
      </c>
      <c r="N254" s="50">
        <v>-0.1100328176277544</v>
      </c>
      <c r="O254" s="50">
        <v>0.33123541475215318</v>
      </c>
      <c r="P254" s="50">
        <v>0.95466802076570478</v>
      </c>
    </row>
    <row r="255" spans="1:16" ht="18" customHeight="1" x14ac:dyDescent="0.15">
      <c r="A255" s="5" t="s">
        <v>1023</v>
      </c>
      <c r="B255" s="6" t="s">
        <v>1030</v>
      </c>
      <c r="C255" s="6"/>
      <c r="D255" s="8"/>
      <c r="E255" s="8"/>
      <c r="F255" s="43"/>
      <c r="G255" s="43"/>
      <c r="H255" s="36"/>
      <c r="I255" s="6" t="s">
        <v>1095</v>
      </c>
      <c r="J255" s="6" t="s">
        <v>1204</v>
      </c>
      <c r="K255" s="6">
        <v>80</v>
      </c>
      <c r="L255" s="6" t="s">
        <v>1350</v>
      </c>
      <c r="M255" s="50">
        <v>0.49022016287800257</v>
      </c>
      <c r="N255" s="50">
        <v>-0.1378340365682138</v>
      </c>
      <c r="O255" s="50">
        <v>0.22274874207266929</v>
      </c>
      <c r="P255" s="50">
        <v>0.95466802076570478</v>
      </c>
    </row>
    <row r="256" spans="1:16" ht="18" customHeight="1" x14ac:dyDescent="0.15">
      <c r="A256" s="5" t="s">
        <v>1023</v>
      </c>
      <c r="B256" s="6" t="s">
        <v>1030</v>
      </c>
      <c r="C256" s="6"/>
      <c r="D256" s="8"/>
      <c r="E256" s="8"/>
      <c r="F256" s="43"/>
      <c r="G256" s="43"/>
      <c r="H256" s="36"/>
      <c r="I256" s="6" t="s">
        <v>1095</v>
      </c>
      <c r="J256" s="6" t="s">
        <v>1206</v>
      </c>
      <c r="K256" s="6">
        <v>80</v>
      </c>
      <c r="L256" s="6" t="s">
        <v>1351</v>
      </c>
      <c r="M256" s="50">
        <v>0.1614116951970706</v>
      </c>
      <c r="N256" s="50">
        <v>-0.16507266760431319</v>
      </c>
      <c r="O256" s="50">
        <v>0.14339170058716891</v>
      </c>
      <c r="P256" s="50">
        <v>0.95466802076570478</v>
      </c>
    </row>
    <row r="257" spans="1:16" ht="18" customHeight="1" x14ac:dyDescent="0.15">
      <c r="A257" s="5" t="s">
        <v>1023</v>
      </c>
      <c r="B257" s="6" t="s">
        <v>1030</v>
      </c>
      <c r="C257" s="6"/>
      <c r="D257" s="8"/>
      <c r="E257" s="8"/>
      <c r="F257" s="43"/>
      <c r="G257" s="43"/>
      <c r="H257" s="36"/>
      <c r="I257" s="6" t="s">
        <v>1095</v>
      </c>
      <c r="J257" s="6" t="s">
        <v>1208</v>
      </c>
      <c r="K257" s="6">
        <v>80</v>
      </c>
      <c r="L257" s="6" t="s">
        <v>1352</v>
      </c>
      <c r="M257" s="50">
        <v>3.6335762973785823E-2</v>
      </c>
      <c r="N257" s="50">
        <v>0.19997655883731841</v>
      </c>
      <c r="O257" s="50">
        <v>7.5320820119723936E-2</v>
      </c>
      <c r="P257" s="50">
        <v>0.95466802076570478</v>
      </c>
    </row>
    <row r="258" spans="1:16" ht="18" customHeight="1" x14ac:dyDescent="0.15">
      <c r="A258" s="5" t="s">
        <v>1023</v>
      </c>
      <c r="B258" s="6" t="s">
        <v>1030</v>
      </c>
      <c r="C258" s="6"/>
      <c r="D258" s="8"/>
      <c r="E258" s="8"/>
      <c r="F258" s="43"/>
      <c r="G258" s="43"/>
      <c r="H258" s="36"/>
      <c r="I258" s="6" t="s">
        <v>1095</v>
      </c>
      <c r="J258" s="6" t="s">
        <v>1210</v>
      </c>
      <c r="K258" s="6">
        <v>80</v>
      </c>
      <c r="L258" s="6" t="s">
        <v>1353</v>
      </c>
      <c r="M258" s="50">
        <v>0.23680873284054221</v>
      </c>
      <c r="N258" s="50">
        <v>0.15900140646976091</v>
      </c>
      <c r="O258" s="50">
        <v>0.15890943528627169</v>
      </c>
      <c r="P258" s="50">
        <v>0.95466802076570478</v>
      </c>
    </row>
    <row r="259" spans="1:16" ht="18" customHeight="1" x14ac:dyDescent="0.15">
      <c r="A259" s="5" t="s">
        <v>1023</v>
      </c>
      <c r="B259" s="6" t="s">
        <v>1030</v>
      </c>
      <c r="C259" s="6"/>
      <c r="D259" s="8"/>
      <c r="E259" s="8"/>
      <c r="F259" s="43"/>
      <c r="G259" s="43"/>
      <c r="H259" s="36"/>
      <c r="I259" s="6" t="s">
        <v>1095</v>
      </c>
      <c r="J259" s="6" t="s">
        <v>1212</v>
      </c>
      <c r="K259" s="6">
        <v>80</v>
      </c>
      <c r="L259" s="6" t="s">
        <v>1354</v>
      </c>
      <c r="M259" s="50">
        <v>8.8487468922118881E-2</v>
      </c>
      <c r="N259" s="50">
        <v>0.21300984528832631</v>
      </c>
      <c r="O259" s="50">
        <v>5.7819163372950032E-2</v>
      </c>
      <c r="P259" s="50">
        <v>0.95466802076570478</v>
      </c>
    </row>
    <row r="260" spans="1:16" ht="18" customHeight="1" x14ac:dyDescent="0.15">
      <c r="A260" s="5" t="s">
        <v>1023</v>
      </c>
      <c r="B260" s="6" t="s">
        <v>1030</v>
      </c>
      <c r="C260" s="6"/>
      <c r="D260" s="8"/>
      <c r="E260" s="8"/>
      <c r="F260" s="43"/>
      <c r="G260" s="43"/>
      <c r="H260" s="36"/>
      <c r="I260" s="6" t="s">
        <v>1095</v>
      </c>
      <c r="J260" s="6" t="s">
        <v>1214</v>
      </c>
      <c r="K260" s="6">
        <v>80</v>
      </c>
      <c r="L260" s="6" t="s">
        <v>1355</v>
      </c>
      <c r="M260" s="50">
        <v>0.19539067195316959</v>
      </c>
      <c r="N260" s="50">
        <v>-3.6075949367088599E-2</v>
      </c>
      <c r="O260" s="50">
        <v>0.7507139217129587</v>
      </c>
      <c r="P260" s="50">
        <v>0.95466802076570478</v>
      </c>
    </row>
    <row r="261" spans="1:16" ht="18" customHeight="1" x14ac:dyDescent="0.15">
      <c r="A261" s="5" t="s">
        <v>1023</v>
      </c>
      <c r="B261" s="6" t="s">
        <v>1030</v>
      </c>
      <c r="C261" s="6"/>
      <c r="D261" s="8"/>
      <c r="E261" s="8"/>
      <c r="F261" s="43"/>
      <c r="G261" s="43"/>
      <c r="H261" s="36"/>
      <c r="I261" s="6" t="s">
        <v>1095</v>
      </c>
      <c r="J261" s="6" t="s">
        <v>1216</v>
      </c>
      <c r="K261" s="6">
        <v>80</v>
      </c>
      <c r="L261" s="6" t="s">
        <v>1356</v>
      </c>
      <c r="M261" s="50">
        <v>0.71707308865390473</v>
      </c>
      <c r="N261" s="50">
        <v>-5.3984997655883729E-2</v>
      </c>
      <c r="O261" s="50">
        <v>0.63435644032633887</v>
      </c>
      <c r="P261" s="50">
        <v>0.95700793904120396</v>
      </c>
    </row>
    <row r="262" spans="1:16" ht="18" customHeight="1" x14ac:dyDescent="0.15">
      <c r="A262" s="5" t="s">
        <v>1023</v>
      </c>
      <c r="B262" s="6" t="s">
        <v>1030</v>
      </c>
      <c r="C262" s="6"/>
      <c r="D262" s="8"/>
      <c r="E262" s="8"/>
      <c r="F262" s="43"/>
      <c r="G262" s="43"/>
      <c r="H262" s="36"/>
      <c r="I262" s="6" t="s">
        <v>1095</v>
      </c>
      <c r="J262" s="6" t="s">
        <v>1218</v>
      </c>
      <c r="K262" s="6">
        <v>80</v>
      </c>
      <c r="L262" s="6" t="s">
        <v>1357</v>
      </c>
      <c r="M262" s="50">
        <v>1.217673397622647E-2</v>
      </c>
      <c r="N262" s="50">
        <v>0.1886310360993905</v>
      </c>
      <c r="O262" s="50">
        <v>9.3798301308419624E-2</v>
      </c>
      <c r="P262" s="50">
        <v>0.95466802076570478</v>
      </c>
    </row>
    <row r="263" spans="1:16" ht="18" customHeight="1" x14ac:dyDescent="0.15">
      <c r="A263" s="5" t="s">
        <v>1023</v>
      </c>
      <c r="B263" s="6" t="s">
        <v>1030</v>
      </c>
      <c r="C263" s="6"/>
      <c r="D263" s="8"/>
      <c r="E263" s="8"/>
      <c r="F263" s="43"/>
      <c r="G263" s="43"/>
      <c r="H263" s="36"/>
      <c r="I263" s="6" t="s">
        <v>1095</v>
      </c>
      <c r="J263" s="6" t="s">
        <v>1220</v>
      </c>
      <c r="K263" s="6">
        <v>80</v>
      </c>
      <c r="L263" s="6" t="s">
        <v>1358</v>
      </c>
      <c r="M263" s="50">
        <v>0.45382425171318802</v>
      </c>
      <c r="N263" s="50">
        <v>-1.624472573839662E-2</v>
      </c>
      <c r="O263" s="50">
        <v>0.88627447289065031</v>
      </c>
      <c r="P263" s="50">
        <v>0.95466802076570478</v>
      </c>
    </row>
    <row r="264" spans="1:16" ht="18" customHeight="1" x14ac:dyDescent="0.15">
      <c r="A264" s="5" t="s">
        <v>1023</v>
      </c>
      <c r="B264" s="6" t="s">
        <v>1030</v>
      </c>
      <c r="C264" s="6"/>
      <c r="D264" s="8"/>
      <c r="E264" s="8"/>
      <c r="F264" s="43"/>
      <c r="G264" s="43"/>
      <c r="H264" s="36"/>
      <c r="I264" s="6" t="s">
        <v>1095</v>
      </c>
      <c r="J264" s="6" t="s">
        <v>1222</v>
      </c>
      <c r="K264" s="6">
        <v>80</v>
      </c>
      <c r="L264" s="6" t="s">
        <v>1359</v>
      </c>
      <c r="M264" s="50">
        <v>0.82818971578830824</v>
      </c>
      <c r="N264" s="50">
        <v>9.1889357712142492E-3</v>
      </c>
      <c r="O264" s="50">
        <v>0.93552425878152357</v>
      </c>
      <c r="P264" s="50">
        <v>0.95700793904120396</v>
      </c>
    </row>
    <row r="265" spans="1:16" ht="18" customHeight="1" x14ac:dyDescent="0.15">
      <c r="A265" s="5" t="s">
        <v>1023</v>
      </c>
      <c r="B265" s="6" t="s">
        <v>1030</v>
      </c>
      <c r="C265" s="6"/>
      <c r="D265" s="8"/>
      <c r="E265" s="8"/>
      <c r="F265" s="43"/>
      <c r="G265" s="43"/>
      <c r="H265" s="36"/>
      <c r="I265" s="6" t="s">
        <v>1095</v>
      </c>
      <c r="J265" s="6" t="s">
        <v>1224</v>
      </c>
      <c r="K265" s="6">
        <v>80</v>
      </c>
      <c r="L265" s="6" t="s">
        <v>1360</v>
      </c>
      <c r="M265" s="50">
        <v>0.9289521362639972</v>
      </c>
      <c r="N265" s="50">
        <v>-7.3206751054852331E-2</v>
      </c>
      <c r="O265" s="50">
        <v>0.51870522058400248</v>
      </c>
      <c r="P265" s="50">
        <v>0.97609564650031078</v>
      </c>
    </row>
    <row r="266" spans="1:16" ht="18" customHeight="1" x14ac:dyDescent="0.15">
      <c r="A266" s="5" t="s">
        <v>1023</v>
      </c>
      <c r="B266" s="6" t="s">
        <v>1030</v>
      </c>
      <c r="C266" s="6"/>
      <c r="D266" s="8"/>
      <c r="E266" s="8"/>
      <c r="F266" s="43"/>
      <c r="G266" s="43"/>
      <c r="H266" s="36"/>
      <c r="I266" s="6" t="s">
        <v>1095</v>
      </c>
      <c r="J266" s="6" t="s">
        <v>1226</v>
      </c>
      <c r="K266" s="6">
        <v>80</v>
      </c>
      <c r="L266" s="6" t="s">
        <v>1361</v>
      </c>
      <c r="M266" s="50">
        <v>0.50687477096258005</v>
      </c>
      <c r="N266" s="50">
        <v>0.1879278012189404</v>
      </c>
      <c r="O266" s="50">
        <v>9.5051592809530461E-2</v>
      </c>
      <c r="P266" s="50">
        <v>0.95466802076570478</v>
      </c>
    </row>
    <row r="267" spans="1:16" ht="18" customHeight="1" x14ac:dyDescent="0.15">
      <c r="A267" s="5" t="s">
        <v>1023</v>
      </c>
      <c r="B267" s="6" t="s">
        <v>1030</v>
      </c>
      <c r="C267" s="6"/>
      <c r="D267" s="8"/>
      <c r="E267" s="8"/>
      <c r="F267" s="43"/>
      <c r="G267" s="43"/>
      <c r="H267" s="36"/>
      <c r="I267" s="6" t="s">
        <v>1095</v>
      </c>
      <c r="J267" s="6" t="s">
        <v>1228</v>
      </c>
      <c r="K267" s="6">
        <v>80</v>
      </c>
      <c r="L267" s="6" t="s">
        <v>1362</v>
      </c>
      <c r="M267" s="50">
        <v>1.315742233412851E-2</v>
      </c>
      <c r="N267" s="50">
        <v>0.2702062822315987</v>
      </c>
      <c r="O267" s="50">
        <v>1.534908400576019E-2</v>
      </c>
      <c r="P267" s="50">
        <v>0.95466802076570478</v>
      </c>
    </row>
    <row r="268" spans="1:16" ht="18" customHeight="1" x14ac:dyDescent="0.15">
      <c r="A268" s="5" t="s">
        <v>1023</v>
      </c>
      <c r="B268" s="6" t="s">
        <v>1030</v>
      </c>
      <c r="C268" s="6"/>
      <c r="D268" s="8"/>
      <c r="E268" s="8"/>
      <c r="F268" s="43"/>
      <c r="G268" s="43"/>
      <c r="H268" s="36"/>
      <c r="I268" s="6" t="s">
        <v>1095</v>
      </c>
      <c r="J268" s="6" t="s">
        <v>1230</v>
      </c>
      <c r="K268" s="6">
        <v>80</v>
      </c>
      <c r="L268" s="6" t="s">
        <v>1363</v>
      </c>
      <c r="M268" s="50">
        <v>0.1209980890630571</v>
      </c>
      <c r="N268" s="50">
        <v>-0.1178387248007501</v>
      </c>
      <c r="O268" s="50">
        <v>0.2978635861226514</v>
      </c>
      <c r="P268" s="50">
        <v>0.95466802076570478</v>
      </c>
    </row>
    <row r="269" spans="1:16" ht="18" customHeight="1" x14ac:dyDescent="0.15">
      <c r="A269" s="5" t="s">
        <v>1023</v>
      </c>
      <c r="B269" s="6" t="s">
        <v>1030</v>
      </c>
      <c r="C269" s="6"/>
      <c r="D269" s="8"/>
      <c r="E269" s="8"/>
      <c r="F269" s="43"/>
      <c r="G269" s="43"/>
      <c r="H269" s="36"/>
      <c r="I269" s="6" t="s">
        <v>1095</v>
      </c>
      <c r="J269" s="6" t="s">
        <v>1232</v>
      </c>
      <c r="K269" s="6">
        <v>80</v>
      </c>
      <c r="L269" s="6" t="s">
        <v>1364</v>
      </c>
      <c r="M269" s="50">
        <v>0.52486572762843531</v>
      </c>
      <c r="N269" s="50">
        <v>4.767932489451477E-2</v>
      </c>
      <c r="O269" s="50">
        <v>0.67449711100249388</v>
      </c>
      <c r="P269" s="50">
        <v>0.95466802076570478</v>
      </c>
    </row>
    <row r="270" spans="1:16" ht="18" customHeight="1" x14ac:dyDescent="0.15">
      <c r="A270" s="5" t="s">
        <v>1023</v>
      </c>
      <c r="B270" s="6" t="s">
        <v>1030</v>
      </c>
      <c r="C270" s="6"/>
      <c r="D270" s="8"/>
      <c r="E270" s="8"/>
      <c r="F270" s="43"/>
      <c r="G270" s="43"/>
      <c r="H270" s="36"/>
      <c r="I270" s="6" t="s">
        <v>1095</v>
      </c>
      <c r="J270" s="6" t="s">
        <v>1234</v>
      </c>
      <c r="K270" s="6">
        <v>80</v>
      </c>
      <c r="L270" s="6" t="s">
        <v>1365</v>
      </c>
      <c r="M270" s="50">
        <v>0.75647355437438613</v>
      </c>
      <c r="N270" s="50">
        <v>-4.2451945616502583E-2</v>
      </c>
      <c r="O270" s="50">
        <v>0.70848286107871006</v>
      </c>
      <c r="P270" s="50">
        <v>0.95700793904120396</v>
      </c>
    </row>
    <row r="271" spans="1:16" ht="18" customHeight="1" x14ac:dyDescent="0.15">
      <c r="A271" s="5" t="s">
        <v>1023</v>
      </c>
      <c r="B271" s="6" t="s">
        <v>1030</v>
      </c>
      <c r="C271" s="6"/>
      <c r="D271" s="8"/>
      <c r="E271" s="8"/>
      <c r="F271" s="43"/>
      <c r="G271" s="43"/>
      <c r="H271" s="36"/>
      <c r="I271" s="6" t="s">
        <v>1095</v>
      </c>
      <c r="J271" s="6" t="s">
        <v>1236</v>
      </c>
      <c r="K271" s="6">
        <v>80</v>
      </c>
      <c r="L271" s="6" t="s">
        <v>1366</v>
      </c>
      <c r="M271" s="50">
        <v>0.98460680199834238</v>
      </c>
      <c r="N271" s="50">
        <v>4.9835911861228328E-2</v>
      </c>
      <c r="O271" s="50">
        <v>0.66065898452425698</v>
      </c>
      <c r="P271" s="50">
        <v>0.98955457487270604</v>
      </c>
    </row>
    <row r="272" spans="1:16" ht="18" customHeight="1" x14ac:dyDescent="0.15">
      <c r="A272" s="5" t="s">
        <v>1023</v>
      </c>
      <c r="B272" s="6" t="s">
        <v>1030</v>
      </c>
      <c r="C272" s="6"/>
      <c r="D272" s="8"/>
      <c r="E272" s="8"/>
      <c r="F272" s="43"/>
      <c r="G272" s="43"/>
      <c r="H272" s="36"/>
      <c r="I272" s="6" t="s">
        <v>1095</v>
      </c>
      <c r="J272" s="6" t="s">
        <v>1238</v>
      </c>
      <c r="K272" s="6">
        <v>80</v>
      </c>
      <c r="L272" s="6" t="s">
        <v>1367</v>
      </c>
      <c r="M272" s="50">
        <v>0.70022215444969982</v>
      </c>
      <c r="N272" s="50">
        <v>-9.3858415377402721E-2</v>
      </c>
      <c r="O272" s="50">
        <v>0.4076064902790526</v>
      </c>
      <c r="P272" s="50">
        <v>0.95700793904120396</v>
      </c>
    </row>
    <row r="273" spans="1:16" ht="18" customHeight="1" x14ac:dyDescent="0.15">
      <c r="A273" s="5" t="s">
        <v>1023</v>
      </c>
      <c r="B273" s="6" t="s">
        <v>1030</v>
      </c>
      <c r="C273" s="6"/>
      <c r="D273" s="8"/>
      <c r="E273" s="8"/>
      <c r="F273" s="43"/>
      <c r="G273" s="43"/>
      <c r="H273" s="36"/>
      <c r="I273" s="6" t="s">
        <v>1095</v>
      </c>
      <c r="J273" s="6" t="s">
        <v>1240</v>
      </c>
      <c r="K273" s="6">
        <v>80</v>
      </c>
      <c r="L273" s="6" t="s">
        <v>1368</v>
      </c>
      <c r="M273" s="50">
        <v>0.92767912069659642</v>
      </c>
      <c r="N273" s="50">
        <v>-1.6385372714486639E-2</v>
      </c>
      <c r="O273" s="50">
        <v>0.88529648745690448</v>
      </c>
      <c r="P273" s="50">
        <v>0.97609564650031078</v>
      </c>
    </row>
    <row r="274" spans="1:16" ht="18" customHeight="1" x14ac:dyDescent="0.15">
      <c r="A274" s="5" t="s">
        <v>1023</v>
      </c>
      <c r="B274" s="6" t="s">
        <v>1030</v>
      </c>
      <c r="C274" s="6"/>
      <c r="D274" s="8"/>
      <c r="E274" s="8"/>
      <c r="F274" s="43"/>
      <c r="G274" s="43"/>
      <c r="H274" s="36"/>
      <c r="I274" s="6" t="s">
        <v>1095</v>
      </c>
      <c r="J274" s="6" t="s">
        <v>1242</v>
      </c>
      <c r="K274" s="6">
        <v>80</v>
      </c>
      <c r="L274" s="6" t="s">
        <v>1369</v>
      </c>
      <c r="M274" s="50">
        <v>0.17972342072316741</v>
      </c>
      <c r="N274" s="50">
        <v>4.5077355836849513E-2</v>
      </c>
      <c r="O274" s="50">
        <v>0.69133757062313694</v>
      </c>
      <c r="P274" s="50">
        <v>0.95466802076570478</v>
      </c>
    </row>
    <row r="275" spans="1:16" ht="18" customHeight="1" x14ac:dyDescent="0.15">
      <c r="A275" s="5" t="s">
        <v>1023</v>
      </c>
      <c r="B275" s="6" t="s">
        <v>1030</v>
      </c>
      <c r="C275" s="6"/>
      <c r="D275" s="8"/>
      <c r="E275" s="8"/>
      <c r="F275" s="43"/>
      <c r="G275" s="43"/>
      <c r="H275" s="36"/>
      <c r="I275" s="6" t="s">
        <v>1095</v>
      </c>
      <c r="J275" s="6" t="s">
        <v>1244</v>
      </c>
      <c r="K275" s="6">
        <v>80</v>
      </c>
      <c r="L275" s="6" t="s">
        <v>1370</v>
      </c>
      <c r="M275" s="50">
        <v>0.52907564609219238</v>
      </c>
      <c r="N275" s="50">
        <v>1.2072198781059539E-2</v>
      </c>
      <c r="O275" s="50">
        <v>0.91535902600668939</v>
      </c>
      <c r="P275" s="50">
        <v>0.95466802076570478</v>
      </c>
    </row>
    <row r="276" spans="1:16" ht="18" customHeight="1" x14ac:dyDescent="0.15">
      <c r="A276" s="5" t="s">
        <v>1023</v>
      </c>
      <c r="B276" s="6" t="s">
        <v>1030</v>
      </c>
      <c r="C276" s="6"/>
      <c r="D276" s="8"/>
      <c r="E276" s="8"/>
      <c r="F276" s="43"/>
      <c r="G276" s="43"/>
      <c r="H276" s="36"/>
      <c r="I276" s="6" t="s">
        <v>1095</v>
      </c>
      <c r="J276" s="6" t="s">
        <v>1246</v>
      </c>
      <c r="K276" s="6">
        <v>80</v>
      </c>
      <c r="L276" s="6" t="s">
        <v>1371</v>
      </c>
      <c r="M276" s="50">
        <v>0.57671436512143204</v>
      </c>
      <c r="N276" s="50">
        <v>0.1616502578527895</v>
      </c>
      <c r="O276" s="50">
        <v>0.15199254178631161</v>
      </c>
      <c r="P276" s="50">
        <v>0.95466802076570478</v>
      </c>
    </row>
    <row r="277" spans="1:16" ht="18" customHeight="1" x14ac:dyDescent="0.15">
      <c r="A277" s="5" t="s">
        <v>1023</v>
      </c>
      <c r="B277" s="6" t="s">
        <v>1030</v>
      </c>
      <c r="C277" s="6"/>
      <c r="D277" s="8"/>
      <c r="E277" s="8"/>
      <c r="F277" s="43"/>
      <c r="G277" s="43"/>
      <c r="H277" s="36"/>
      <c r="I277" s="6" t="s">
        <v>1095</v>
      </c>
      <c r="J277" s="6" t="s">
        <v>1248</v>
      </c>
      <c r="K277" s="6">
        <v>80</v>
      </c>
      <c r="L277" s="6" t="s">
        <v>1372</v>
      </c>
      <c r="M277" s="50">
        <v>0.62517097266951027</v>
      </c>
      <c r="N277" s="50">
        <v>0.18183309892170649</v>
      </c>
      <c r="O277" s="50">
        <v>0.10647184206720781</v>
      </c>
      <c r="P277" s="50">
        <v>0.95466802076570478</v>
      </c>
    </row>
    <row r="278" spans="1:16" ht="18" customHeight="1" x14ac:dyDescent="0.15">
      <c r="A278" s="5" t="s">
        <v>1023</v>
      </c>
      <c r="B278" s="6" t="s">
        <v>1030</v>
      </c>
      <c r="C278" s="6"/>
      <c r="D278" s="8"/>
      <c r="E278" s="8"/>
      <c r="F278" s="43"/>
      <c r="G278" s="43"/>
      <c r="H278" s="36"/>
      <c r="I278" s="6" t="s">
        <v>1095</v>
      </c>
      <c r="J278" s="6" t="s">
        <v>1250</v>
      </c>
      <c r="K278" s="6">
        <v>80</v>
      </c>
      <c r="L278" s="6" t="s">
        <v>1373</v>
      </c>
      <c r="M278" s="50">
        <v>0.13791951683441861</v>
      </c>
      <c r="N278" s="50">
        <v>0.19428035630567281</v>
      </c>
      <c r="O278" s="50">
        <v>8.419590372703846E-2</v>
      </c>
      <c r="P278" s="50">
        <v>0.95466802076570478</v>
      </c>
    </row>
    <row r="279" spans="1:16" ht="18" customHeight="1" x14ac:dyDescent="0.15">
      <c r="A279" s="5" t="s">
        <v>1023</v>
      </c>
      <c r="B279" s="6" t="s">
        <v>1030</v>
      </c>
      <c r="C279" s="6"/>
      <c r="D279" s="8"/>
      <c r="E279" s="8"/>
      <c r="F279" s="43"/>
      <c r="G279" s="43"/>
      <c r="H279" s="36"/>
      <c r="I279" s="6" t="s">
        <v>1095</v>
      </c>
      <c r="J279" s="6" t="s">
        <v>1252</v>
      </c>
      <c r="K279" s="6">
        <v>80</v>
      </c>
      <c r="L279" s="6" t="s">
        <v>1374</v>
      </c>
      <c r="M279" s="50">
        <v>0.69970538611894317</v>
      </c>
      <c r="N279" s="50">
        <v>-1.6361931551804969E-2</v>
      </c>
      <c r="O279" s="50">
        <v>0.88545947317081275</v>
      </c>
      <c r="P279" s="50">
        <v>0.95700793904120396</v>
      </c>
    </row>
    <row r="280" spans="1:16" ht="18" customHeight="1" x14ac:dyDescent="0.15">
      <c r="A280" s="5" t="s">
        <v>1023</v>
      </c>
      <c r="B280" s="6" t="s">
        <v>1030</v>
      </c>
      <c r="C280" s="6"/>
      <c r="D280" s="8"/>
      <c r="E280" s="8"/>
      <c r="F280" s="43"/>
      <c r="G280" s="43"/>
      <c r="H280" s="36"/>
      <c r="I280" s="6" t="s">
        <v>1095</v>
      </c>
      <c r="J280" s="6" t="s">
        <v>1254</v>
      </c>
      <c r="K280" s="6">
        <v>80</v>
      </c>
      <c r="L280" s="6" t="s">
        <v>1375</v>
      </c>
      <c r="M280" s="50">
        <v>0.47097898428581791</v>
      </c>
      <c r="N280" s="50">
        <v>-3.5489920300046877E-2</v>
      </c>
      <c r="O280" s="50">
        <v>0.75463467605607792</v>
      </c>
      <c r="P280" s="50">
        <v>0.95466802076570478</v>
      </c>
    </row>
    <row r="281" spans="1:16" ht="18" customHeight="1" x14ac:dyDescent="0.15">
      <c r="A281" s="5" t="s">
        <v>1023</v>
      </c>
      <c r="B281" s="6" t="s">
        <v>1030</v>
      </c>
      <c r="C281" s="6"/>
      <c r="D281" s="8"/>
      <c r="E281" s="8"/>
      <c r="F281" s="43"/>
      <c r="G281" s="43"/>
      <c r="H281" s="36"/>
      <c r="I281" s="6" t="s">
        <v>1095</v>
      </c>
      <c r="J281" s="6" t="s">
        <v>1256</v>
      </c>
      <c r="K281" s="6">
        <v>80</v>
      </c>
      <c r="L281" s="6" t="s">
        <v>1376</v>
      </c>
      <c r="M281" s="50">
        <v>0.42795610244404408</v>
      </c>
      <c r="N281" s="50">
        <v>-0.1210736052508205</v>
      </c>
      <c r="O281" s="50">
        <v>0.28470341649085679</v>
      </c>
      <c r="P281" s="50">
        <v>0.95466802076570478</v>
      </c>
    </row>
    <row r="282" spans="1:16" ht="18" customHeight="1" x14ac:dyDescent="0.15">
      <c r="A282" s="5" t="s">
        <v>1023</v>
      </c>
      <c r="B282" s="6" t="s">
        <v>1030</v>
      </c>
      <c r="C282" s="6"/>
      <c r="D282" s="8"/>
      <c r="E282" s="8"/>
      <c r="F282" s="43"/>
      <c r="G282" s="43"/>
      <c r="H282" s="36"/>
      <c r="I282" s="6" t="s">
        <v>1095</v>
      </c>
      <c r="J282" s="6" t="s">
        <v>1258</v>
      </c>
      <c r="K282" s="6">
        <v>80</v>
      </c>
      <c r="L282" s="6" t="s">
        <v>1377</v>
      </c>
      <c r="M282" s="50">
        <v>0.40554738193573359</v>
      </c>
      <c r="N282" s="50">
        <v>-0.18778715424285039</v>
      </c>
      <c r="O282" s="50">
        <v>9.5303822463137275E-2</v>
      </c>
      <c r="P282" s="50">
        <v>0.95466802076570478</v>
      </c>
    </row>
    <row r="283" spans="1:16" ht="18" customHeight="1" x14ac:dyDescent="0.15">
      <c r="A283" s="5" t="s">
        <v>1023</v>
      </c>
      <c r="B283" s="6" t="s">
        <v>1030</v>
      </c>
      <c r="C283" s="6"/>
      <c r="D283" s="8"/>
      <c r="E283" s="8"/>
      <c r="F283" s="43"/>
      <c r="G283" s="43"/>
      <c r="H283" s="36"/>
      <c r="I283" s="6" t="s">
        <v>1095</v>
      </c>
      <c r="J283" s="6" t="s">
        <v>1260</v>
      </c>
      <c r="K283" s="6">
        <v>80</v>
      </c>
      <c r="L283" s="6" t="s">
        <v>1378</v>
      </c>
      <c r="M283" s="50">
        <v>8.6548074466054378E-2</v>
      </c>
      <c r="N283" s="50">
        <v>4.3436474449132678E-2</v>
      </c>
      <c r="O283" s="50">
        <v>0.70203583614464671</v>
      </c>
      <c r="P283" s="50">
        <v>0.95466802076570478</v>
      </c>
    </row>
    <row r="284" spans="1:16" ht="18" customHeight="1" x14ac:dyDescent="0.15">
      <c r="A284" s="5" t="s">
        <v>1023</v>
      </c>
      <c r="B284" s="6" t="s">
        <v>1030</v>
      </c>
      <c r="C284" s="6"/>
      <c r="D284" s="8"/>
      <c r="E284" s="8"/>
      <c r="F284" s="43"/>
      <c r="G284" s="43"/>
      <c r="H284" s="36"/>
      <c r="I284" s="6" t="s">
        <v>1095</v>
      </c>
      <c r="J284" s="6" t="s">
        <v>1262</v>
      </c>
      <c r="K284" s="6">
        <v>80</v>
      </c>
      <c r="L284" s="6" t="s">
        <v>1379</v>
      </c>
      <c r="M284" s="50">
        <v>0.25280464523410168</v>
      </c>
      <c r="N284" s="50">
        <v>-0.12154242850445381</v>
      </c>
      <c r="O284" s="50">
        <v>0.28282865909331728</v>
      </c>
      <c r="P284" s="50">
        <v>0.95466802076570478</v>
      </c>
    </row>
    <row r="285" spans="1:16" ht="18" customHeight="1" x14ac:dyDescent="0.15">
      <c r="A285" s="5" t="s">
        <v>1023</v>
      </c>
      <c r="B285" s="6" t="s">
        <v>1030</v>
      </c>
      <c r="C285" s="6"/>
      <c r="D285" s="8"/>
      <c r="E285" s="8"/>
      <c r="F285" s="43"/>
      <c r="G285" s="43"/>
      <c r="H285" s="36"/>
      <c r="I285" s="6" t="s">
        <v>1095</v>
      </c>
      <c r="J285" s="6" t="s">
        <v>1264</v>
      </c>
      <c r="K285" s="6">
        <v>80</v>
      </c>
      <c r="L285" s="6" t="s">
        <v>1380</v>
      </c>
      <c r="M285" s="50">
        <v>0.57757668858798683</v>
      </c>
      <c r="N285" s="50">
        <v>-0.14263947491795589</v>
      </c>
      <c r="O285" s="50">
        <v>0.2068796252874826</v>
      </c>
      <c r="P285" s="50">
        <v>0.95466802076570478</v>
      </c>
    </row>
    <row r="286" spans="1:16" ht="18" customHeight="1" x14ac:dyDescent="0.15">
      <c r="A286" s="5" t="s">
        <v>1023</v>
      </c>
      <c r="B286" s="6" t="s">
        <v>1030</v>
      </c>
      <c r="C286" s="6"/>
      <c r="D286" s="8"/>
      <c r="E286" s="8"/>
      <c r="F286" s="43"/>
      <c r="G286" s="43"/>
      <c r="H286" s="36"/>
      <c r="I286" s="6" t="s">
        <v>1095</v>
      </c>
      <c r="J286" s="6" t="s">
        <v>1266</v>
      </c>
      <c r="K286" s="6">
        <v>80</v>
      </c>
      <c r="L286" s="6" t="s">
        <v>1381</v>
      </c>
      <c r="M286" s="50">
        <v>0.182619475734594</v>
      </c>
      <c r="N286" s="50">
        <v>-0.13548992030004689</v>
      </c>
      <c r="O286" s="50">
        <v>0.23079217330531809</v>
      </c>
      <c r="P286" s="50">
        <v>0.95466802076570478</v>
      </c>
    </row>
    <row r="287" spans="1:16" ht="18" customHeight="1" x14ac:dyDescent="0.15">
      <c r="A287" s="5" t="s">
        <v>1023</v>
      </c>
      <c r="B287" s="6" t="s">
        <v>1030</v>
      </c>
      <c r="C287" s="6"/>
      <c r="D287" s="8"/>
      <c r="E287" s="8"/>
      <c r="F287" s="43"/>
      <c r="G287" s="43"/>
      <c r="H287" s="36"/>
      <c r="I287" s="6" t="s">
        <v>1095</v>
      </c>
      <c r="J287" s="6" t="s">
        <v>1268</v>
      </c>
      <c r="K287" s="6">
        <v>80</v>
      </c>
      <c r="L287" s="6" t="s">
        <v>1382</v>
      </c>
      <c r="M287" s="50">
        <v>0.39093288921375519</v>
      </c>
      <c r="N287" s="50">
        <v>7.3863103609939057E-2</v>
      </c>
      <c r="O287" s="50">
        <v>0.51495332282984585</v>
      </c>
      <c r="P287" s="50">
        <v>0.95466802076570478</v>
      </c>
    </row>
    <row r="288" spans="1:16" ht="18" customHeight="1" x14ac:dyDescent="0.15">
      <c r="A288" s="5" t="s">
        <v>1023</v>
      </c>
      <c r="B288" s="6" t="s">
        <v>1030</v>
      </c>
      <c r="C288" s="6"/>
      <c r="D288" s="8"/>
      <c r="E288" s="8"/>
      <c r="F288" s="43"/>
      <c r="G288" s="43"/>
      <c r="H288" s="36"/>
      <c r="I288" s="6" t="s">
        <v>1095</v>
      </c>
      <c r="J288" s="6" t="s">
        <v>1270</v>
      </c>
      <c r="K288" s="6">
        <v>80</v>
      </c>
      <c r="L288" s="6" t="s">
        <v>1383</v>
      </c>
      <c r="M288" s="50">
        <v>0.40431436154978578</v>
      </c>
      <c r="N288" s="50">
        <v>1.268166901078293E-2</v>
      </c>
      <c r="O288" s="50">
        <v>0.91110285439504479</v>
      </c>
      <c r="P288" s="50">
        <v>0.95466802076570478</v>
      </c>
    </row>
    <row r="289" spans="1:16" ht="18" customHeight="1" x14ac:dyDescent="0.15">
      <c r="A289" s="5" t="s">
        <v>1023</v>
      </c>
      <c r="B289" s="6" t="s">
        <v>1030</v>
      </c>
      <c r="C289" s="6"/>
      <c r="D289" s="8"/>
      <c r="E289" s="8"/>
      <c r="F289" s="43"/>
      <c r="G289" s="43"/>
      <c r="H289" s="36"/>
      <c r="I289" s="6" t="s">
        <v>1095</v>
      </c>
      <c r="J289" s="6" t="s">
        <v>1272</v>
      </c>
      <c r="K289" s="6">
        <v>80</v>
      </c>
      <c r="L289" s="6" t="s">
        <v>1384</v>
      </c>
      <c r="M289" s="50">
        <v>0.71685623736722981</v>
      </c>
      <c r="N289" s="50">
        <v>-1.8940459446788561E-2</v>
      </c>
      <c r="O289" s="50">
        <v>0.86756101104589056</v>
      </c>
      <c r="P289" s="50">
        <v>0.95700793904120396</v>
      </c>
    </row>
    <row r="290" spans="1:16" ht="18" customHeight="1" x14ac:dyDescent="0.15">
      <c r="A290" s="5" t="s">
        <v>1023</v>
      </c>
      <c r="B290" s="6" t="s">
        <v>1030</v>
      </c>
      <c r="C290" s="6"/>
      <c r="D290" s="8"/>
      <c r="E290" s="8"/>
      <c r="F290" s="43"/>
      <c r="G290" s="43"/>
      <c r="H290" s="36"/>
      <c r="I290" s="6" t="s">
        <v>1095</v>
      </c>
      <c r="J290" s="6" t="s">
        <v>1274</v>
      </c>
      <c r="K290" s="6">
        <v>80</v>
      </c>
      <c r="L290" s="6" t="s">
        <v>1385</v>
      </c>
      <c r="M290" s="50">
        <v>0.97037294418312381</v>
      </c>
      <c r="N290" s="50">
        <v>5.8673230192217533E-2</v>
      </c>
      <c r="O290" s="50">
        <v>0.60517316504984764</v>
      </c>
      <c r="P290" s="50">
        <v>0.98265614600822682</v>
      </c>
    </row>
    <row r="291" spans="1:16" ht="18" customHeight="1" x14ac:dyDescent="0.15">
      <c r="A291" s="5" t="s">
        <v>1023</v>
      </c>
      <c r="B291" s="6" t="s">
        <v>1030</v>
      </c>
      <c r="C291" s="6"/>
      <c r="D291" s="8"/>
      <c r="E291" s="8"/>
      <c r="F291" s="43"/>
      <c r="G291" s="43"/>
      <c r="H291" s="36"/>
      <c r="I291" s="6" t="s">
        <v>1095</v>
      </c>
      <c r="J291" s="6" t="s">
        <v>1276</v>
      </c>
      <c r="K291" s="6">
        <v>80</v>
      </c>
      <c r="L291" s="6" t="s">
        <v>1386</v>
      </c>
      <c r="M291" s="50">
        <v>0.27253101734150592</v>
      </c>
      <c r="N291" s="50">
        <v>0.1193624003750586</v>
      </c>
      <c r="O291" s="50">
        <v>0.2916161099550087</v>
      </c>
      <c r="P291" s="50">
        <v>0.95466802076570478</v>
      </c>
    </row>
    <row r="292" spans="1:16" ht="18" customHeight="1" x14ac:dyDescent="0.15">
      <c r="A292" s="5" t="s">
        <v>1023</v>
      </c>
      <c r="B292" s="6" t="s">
        <v>1030</v>
      </c>
      <c r="C292" s="6"/>
      <c r="D292" s="8"/>
      <c r="E292" s="8"/>
      <c r="F292" s="43"/>
      <c r="G292" s="43"/>
      <c r="H292" s="36"/>
      <c r="I292" s="6" t="s">
        <v>1095</v>
      </c>
      <c r="J292" s="6" t="s">
        <v>1278</v>
      </c>
      <c r="K292" s="6">
        <v>80</v>
      </c>
      <c r="L292" s="6" t="s">
        <v>1387</v>
      </c>
      <c r="M292" s="50">
        <v>0.98414747865512064</v>
      </c>
      <c r="N292" s="50">
        <v>-4.8945147679324889E-2</v>
      </c>
      <c r="O292" s="50">
        <v>0.66636128124049343</v>
      </c>
      <c r="P292" s="50">
        <v>0.98955457487270604</v>
      </c>
    </row>
    <row r="293" spans="1:16" ht="18" customHeight="1" x14ac:dyDescent="0.15">
      <c r="A293" s="5" t="s">
        <v>1023</v>
      </c>
      <c r="B293" s="6" t="s">
        <v>1030</v>
      </c>
      <c r="C293" s="6"/>
      <c r="D293" s="8"/>
      <c r="E293" s="8"/>
      <c r="F293" s="43"/>
      <c r="G293" s="43"/>
      <c r="H293" s="36"/>
      <c r="I293" s="6" t="s">
        <v>1095</v>
      </c>
      <c r="J293" s="6" t="s">
        <v>1280</v>
      </c>
      <c r="K293" s="6">
        <v>80</v>
      </c>
      <c r="L293" s="6" t="s">
        <v>1388</v>
      </c>
      <c r="M293" s="50">
        <v>0.34505151953044622</v>
      </c>
      <c r="N293" s="50">
        <v>7.5269573370839199E-2</v>
      </c>
      <c r="O293" s="50">
        <v>0.5069603534589584</v>
      </c>
      <c r="P293" s="50">
        <v>0.95466802076570478</v>
      </c>
    </row>
    <row r="294" spans="1:16" ht="18" customHeight="1" x14ac:dyDescent="0.15">
      <c r="A294" s="5" t="s">
        <v>1023</v>
      </c>
      <c r="B294" s="6" t="s">
        <v>1030</v>
      </c>
      <c r="C294" s="6"/>
      <c r="D294" s="8"/>
      <c r="E294" s="8"/>
      <c r="F294" s="43"/>
      <c r="G294" s="43"/>
      <c r="H294" s="36"/>
      <c r="I294" s="6" t="s">
        <v>1095</v>
      </c>
      <c r="J294" s="6" t="s">
        <v>1282</v>
      </c>
      <c r="K294" s="6">
        <v>80</v>
      </c>
      <c r="L294" s="6" t="s">
        <v>1389</v>
      </c>
      <c r="M294" s="50">
        <v>0.6803828720598003</v>
      </c>
      <c r="N294" s="50">
        <v>3.4458509142053402E-3</v>
      </c>
      <c r="O294" s="50">
        <v>0.97579937401589756</v>
      </c>
      <c r="P294" s="50">
        <v>0.95700793904120396</v>
      </c>
    </row>
    <row r="295" spans="1:16" ht="18" customHeight="1" x14ac:dyDescent="0.15">
      <c r="A295" s="5" t="s">
        <v>1023</v>
      </c>
      <c r="B295" s="6" t="s">
        <v>1030</v>
      </c>
      <c r="C295" s="6"/>
      <c r="D295" s="8"/>
      <c r="E295" s="8"/>
      <c r="F295" s="43"/>
      <c r="G295" s="43"/>
      <c r="H295" s="36"/>
      <c r="I295" s="6" t="s">
        <v>1095</v>
      </c>
      <c r="J295" s="6" t="s">
        <v>1284</v>
      </c>
      <c r="K295" s="6">
        <v>80</v>
      </c>
      <c r="L295" s="6" t="s">
        <v>1390</v>
      </c>
      <c r="M295" s="50">
        <v>0.29604612233552352</v>
      </c>
      <c r="N295" s="50">
        <v>-0.1083919362400375</v>
      </c>
      <c r="O295" s="50">
        <v>0.33854091065343628</v>
      </c>
      <c r="P295" s="50">
        <v>0.95466802076570478</v>
      </c>
    </row>
    <row r="296" spans="1:16" ht="18" customHeight="1" x14ac:dyDescent="0.15">
      <c r="A296" s="5" t="s">
        <v>1023</v>
      </c>
      <c r="B296" s="6" t="s">
        <v>1030</v>
      </c>
      <c r="C296" s="6"/>
      <c r="D296" s="8"/>
      <c r="E296" s="8"/>
      <c r="F296" s="43"/>
      <c r="G296" s="43"/>
      <c r="H296" s="36"/>
      <c r="I296" s="6" t="s">
        <v>1095</v>
      </c>
      <c r="J296" s="6" t="s">
        <v>1286</v>
      </c>
      <c r="K296" s="6">
        <v>80</v>
      </c>
      <c r="L296" s="6" t="s">
        <v>1391</v>
      </c>
      <c r="M296" s="50">
        <v>6.7045361265913499E-3</v>
      </c>
      <c r="N296" s="50">
        <v>0.26802625410220349</v>
      </c>
      <c r="O296" s="50">
        <v>1.622887607172532E-2</v>
      </c>
      <c r="P296" s="50">
        <v>0.95466802076570478</v>
      </c>
    </row>
    <row r="297" spans="1:16" ht="18" customHeight="1" x14ac:dyDescent="0.15">
      <c r="A297" s="5" t="s">
        <v>1023</v>
      </c>
      <c r="B297" s="6" t="s">
        <v>1030</v>
      </c>
      <c r="C297" s="6"/>
      <c r="D297" s="8"/>
      <c r="E297" s="8"/>
      <c r="F297" s="43"/>
      <c r="G297" s="43"/>
      <c r="H297" s="36"/>
      <c r="I297" s="6" t="s">
        <v>1095</v>
      </c>
      <c r="J297" s="6" t="s">
        <v>1288</v>
      </c>
      <c r="K297" s="6">
        <v>80</v>
      </c>
      <c r="L297" s="6" t="s">
        <v>1392</v>
      </c>
      <c r="M297" s="50">
        <v>0.24528463792748989</v>
      </c>
      <c r="N297" s="50">
        <v>0.10241443975621189</v>
      </c>
      <c r="O297" s="50">
        <v>0.36600293948211809</v>
      </c>
      <c r="P297" s="50">
        <v>0.95466802076570478</v>
      </c>
    </row>
    <row r="298" spans="1:16" ht="18" customHeight="1" x14ac:dyDescent="0.15">
      <c r="A298" s="5" t="s">
        <v>1023</v>
      </c>
      <c r="B298" s="6" t="s">
        <v>1030</v>
      </c>
      <c r="C298" s="6"/>
      <c r="D298" s="8"/>
      <c r="E298" s="8"/>
      <c r="F298" s="43"/>
      <c r="G298" s="43"/>
      <c r="H298" s="36"/>
      <c r="I298" s="6" t="s">
        <v>1095</v>
      </c>
      <c r="J298" s="6" t="s">
        <v>1290</v>
      </c>
      <c r="K298" s="6">
        <v>80</v>
      </c>
      <c r="L298" s="6" t="s">
        <v>1393</v>
      </c>
      <c r="M298" s="50">
        <v>0.9169816970778264</v>
      </c>
      <c r="N298" s="50">
        <v>-0.1118143459915612</v>
      </c>
      <c r="O298" s="50">
        <v>0.32341783446164057</v>
      </c>
      <c r="P298" s="50">
        <v>0.97609564650031078</v>
      </c>
    </row>
    <row r="299" spans="1:16" ht="18" customHeight="1" x14ac:dyDescent="0.15">
      <c r="A299" s="5" t="s">
        <v>1023</v>
      </c>
      <c r="B299" s="6" t="s">
        <v>1030</v>
      </c>
      <c r="C299" s="6"/>
      <c r="D299" s="8"/>
      <c r="E299" s="8"/>
      <c r="F299" s="43"/>
      <c r="G299" s="43"/>
      <c r="H299" s="36"/>
      <c r="I299" s="6" t="s">
        <v>1095</v>
      </c>
      <c r="J299" s="6" t="s">
        <v>1292</v>
      </c>
      <c r="K299" s="6">
        <v>80</v>
      </c>
      <c r="L299" s="6" t="s">
        <v>1394</v>
      </c>
      <c r="M299" s="50">
        <v>4.9544586251364223E-2</v>
      </c>
      <c r="N299" s="50">
        <v>0.18103609939052981</v>
      </c>
      <c r="O299" s="50">
        <v>0.1080409452415865</v>
      </c>
      <c r="P299" s="50">
        <v>0.95466802076570478</v>
      </c>
    </row>
    <row r="300" spans="1:16" ht="18" customHeight="1" x14ac:dyDescent="0.15">
      <c r="A300" s="5" t="s">
        <v>1023</v>
      </c>
      <c r="B300" s="6" t="s">
        <v>1030</v>
      </c>
      <c r="C300" s="6"/>
      <c r="D300" s="8"/>
      <c r="E300" s="8"/>
      <c r="F300" s="43"/>
      <c r="G300" s="43"/>
      <c r="H300" s="36"/>
      <c r="I300" s="6" t="s">
        <v>1095</v>
      </c>
      <c r="J300" s="6" t="s">
        <v>1294</v>
      </c>
      <c r="K300" s="6">
        <v>80</v>
      </c>
      <c r="L300" s="6" t="s">
        <v>1395</v>
      </c>
      <c r="M300" s="50">
        <v>0.79746096672607236</v>
      </c>
      <c r="N300" s="50">
        <v>-6.4322550398499767E-2</v>
      </c>
      <c r="O300" s="50">
        <v>0.57081525732502592</v>
      </c>
      <c r="P300" s="50">
        <v>0.95700793904120396</v>
      </c>
    </row>
    <row r="301" spans="1:16" ht="18" customHeight="1" x14ac:dyDescent="0.15">
      <c r="A301" s="5" t="s">
        <v>1023</v>
      </c>
      <c r="B301" s="6" t="s">
        <v>1033</v>
      </c>
      <c r="C301" s="6"/>
      <c r="D301" s="8"/>
      <c r="E301" s="8"/>
      <c r="F301" s="43"/>
      <c r="G301" s="43"/>
      <c r="H301" s="36"/>
      <c r="I301" s="6" t="s">
        <v>1095</v>
      </c>
      <c r="J301" s="6" t="s">
        <v>1096</v>
      </c>
      <c r="K301" s="6">
        <v>84</v>
      </c>
      <c r="L301" s="6" t="s">
        <v>1396</v>
      </c>
      <c r="M301" s="50">
        <v>0.43594260149865049</v>
      </c>
      <c r="N301" s="50">
        <v>-6.2245621140022273E-2</v>
      </c>
      <c r="O301" s="50">
        <v>0.57378338690515551</v>
      </c>
      <c r="P301" s="50">
        <v>0.95466802076570478</v>
      </c>
    </row>
    <row r="302" spans="1:16" ht="18" customHeight="1" x14ac:dyDescent="0.15">
      <c r="A302" s="5" t="s">
        <v>1023</v>
      </c>
      <c r="B302" s="6" t="s">
        <v>1033</v>
      </c>
      <c r="C302" s="6"/>
      <c r="D302" s="8"/>
      <c r="E302" s="8"/>
      <c r="F302" s="43"/>
      <c r="G302" s="43"/>
      <c r="H302" s="36"/>
      <c r="I302" s="6" t="s">
        <v>1095</v>
      </c>
      <c r="J302" s="6" t="s">
        <v>1098</v>
      </c>
      <c r="K302" s="6">
        <v>84</v>
      </c>
      <c r="L302" s="6" t="s">
        <v>1397</v>
      </c>
      <c r="M302" s="50">
        <v>0.36908980114519641</v>
      </c>
      <c r="N302" s="50">
        <v>-0.13929330768451961</v>
      </c>
      <c r="O302" s="50">
        <v>0.20634276489450809</v>
      </c>
      <c r="P302" s="50">
        <v>0.95466802076570478</v>
      </c>
    </row>
    <row r="303" spans="1:16" ht="18" customHeight="1" x14ac:dyDescent="0.15">
      <c r="A303" s="5" t="s">
        <v>1023</v>
      </c>
      <c r="B303" s="6" t="s">
        <v>1033</v>
      </c>
      <c r="C303" s="6"/>
      <c r="D303" s="8"/>
      <c r="E303" s="8"/>
      <c r="F303" s="43"/>
      <c r="G303" s="43"/>
      <c r="H303" s="36"/>
      <c r="I303" s="6" t="s">
        <v>1095</v>
      </c>
      <c r="J303" s="6" t="s">
        <v>1100</v>
      </c>
      <c r="K303" s="6">
        <v>84</v>
      </c>
      <c r="L303" s="6" t="s">
        <v>1398</v>
      </c>
      <c r="M303" s="50">
        <v>0.2097210316216532</v>
      </c>
      <c r="N303" s="50">
        <v>5.370051635111877E-2</v>
      </c>
      <c r="O303" s="50">
        <v>0.62757064985432676</v>
      </c>
      <c r="P303" s="50">
        <v>0.95466802076570478</v>
      </c>
    </row>
    <row r="304" spans="1:16" ht="18" customHeight="1" x14ac:dyDescent="0.15">
      <c r="A304" s="5" t="s">
        <v>1023</v>
      </c>
      <c r="B304" s="6" t="s">
        <v>1033</v>
      </c>
      <c r="C304" s="6"/>
      <c r="D304" s="8"/>
      <c r="E304" s="8"/>
      <c r="F304" s="43"/>
      <c r="G304" s="43"/>
      <c r="H304" s="36"/>
      <c r="I304" s="6" t="s">
        <v>1095</v>
      </c>
      <c r="J304" s="6" t="s">
        <v>1102</v>
      </c>
      <c r="K304" s="6">
        <v>84</v>
      </c>
      <c r="L304" s="6" t="s">
        <v>1399</v>
      </c>
      <c r="M304" s="50">
        <v>0.33992459207104092</v>
      </c>
      <c r="N304" s="50">
        <v>0.113880733016098</v>
      </c>
      <c r="O304" s="50">
        <v>0.30232744650659282</v>
      </c>
      <c r="P304" s="50">
        <v>0.95466802076570478</v>
      </c>
    </row>
    <row r="305" spans="1:16" ht="18" customHeight="1" x14ac:dyDescent="0.15">
      <c r="A305" s="5" t="s">
        <v>1023</v>
      </c>
      <c r="B305" s="6" t="s">
        <v>1033</v>
      </c>
      <c r="C305" s="6"/>
      <c r="D305" s="8"/>
      <c r="E305" s="8"/>
      <c r="F305" s="43"/>
      <c r="G305" s="43"/>
      <c r="H305" s="36"/>
      <c r="I305" s="6" t="s">
        <v>1095</v>
      </c>
      <c r="J305" s="6" t="s">
        <v>1104</v>
      </c>
      <c r="K305" s="6">
        <v>84</v>
      </c>
      <c r="L305" s="6" t="s">
        <v>1400</v>
      </c>
      <c r="M305" s="50">
        <v>0.55039932309137551</v>
      </c>
      <c r="N305" s="50">
        <v>5.8378050015186797E-2</v>
      </c>
      <c r="O305" s="50">
        <v>0.59786249290113114</v>
      </c>
      <c r="P305" s="50">
        <v>0.95466802076570478</v>
      </c>
    </row>
    <row r="306" spans="1:16" ht="18" customHeight="1" x14ac:dyDescent="0.15">
      <c r="A306" s="5" t="s">
        <v>1023</v>
      </c>
      <c r="B306" s="6" t="s">
        <v>1033</v>
      </c>
      <c r="C306" s="6"/>
      <c r="D306" s="8"/>
      <c r="E306" s="8"/>
      <c r="F306" s="43"/>
      <c r="G306" s="43"/>
      <c r="H306" s="36"/>
      <c r="I306" s="6" t="s">
        <v>1095</v>
      </c>
      <c r="J306" s="6" t="s">
        <v>1106</v>
      </c>
      <c r="K306" s="6">
        <v>84</v>
      </c>
      <c r="L306" s="6" t="s">
        <v>1401</v>
      </c>
      <c r="M306" s="50">
        <v>0.91277416004426737</v>
      </c>
      <c r="N306" s="50">
        <v>-5.0359420876784453E-2</v>
      </c>
      <c r="O306" s="50">
        <v>0.64916339433886383</v>
      </c>
      <c r="P306" s="50">
        <v>0.97609564650031078</v>
      </c>
    </row>
    <row r="307" spans="1:16" ht="18" customHeight="1" x14ac:dyDescent="0.15">
      <c r="A307" s="5" t="s">
        <v>1023</v>
      </c>
      <c r="B307" s="6" t="s">
        <v>1033</v>
      </c>
      <c r="C307" s="6"/>
      <c r="D307" s="8"/>
      <c r="E307" s="8"/>
      <c r="F307" s="43"/>
      <c r="G307" s="43"/>
      <c r="H307" s="36"/>
      <c r="I307" s="6" t="s">
        <v>1095</v>
      </c>
      <c r="J307" s="6" t="s">
        <v>1108</v>
      </c>
      <c r="K307" s="6">
        <v>84</v>
      </c>
      <c r="L307" s="6" t="s">
        <v>1402</v>
      </c>
      <c r="M307" s="50">
        <v>0.84617784920423</v>
      </c>
      <c r="N307" s="50">
        <v>-3.4220917282575682E-2</v>
      </c>
      <c r="O307" s="50">
        <v>0.75729803798184758</v>
      </c>
      <c r="P307" s="50">
        <v>0.95700793904120396</v>
      </c>
    </row>
    <row r="308" spans="1:16" ht="18" customHeight="1" x14ac:dyDescent="0.15">
      <c r="A308" s="5" t="s">
        <v>1023</v>
      </c>
      <c r="B308" s="6" t="s">
        <v>1033</v>
      </c>
      <c r="C308" s="6"/>
      <c r="D308" s="8"/>
      <c r="E308" s="8"/>
      <c r="F308" s="43"/>
      <c r="G308" s="43"/>
      <c r="H308" s="36"/>
      <c r="I308" s="6" t="s">
        <v>1095</v>
      </c>
      <c r="J308" s="6" t="s">
        <v>1110</v>
      </c>
      <c r="K308" s="6">
        <v>84</v>
      </c>
      <c r="L308" s="6" t="s">
        <v>1403</v>
      </c>
      <c r="M308" s="50">
        <v>0.41100062070735621</v>
      </c>
      <c r="N308" s="50">
        <v>4.946846208362863E-2</v>
      </c>
      <c r="O308" s="50">
        <v>0.65497164781629591</v>
      </c>
      <c r="P308" s="50">
        <v>0.95466802076570478</v>
      </c>
    </row>
    <row r="309" spans="1:16" ht="18" customHeight="1" x14ac:dyDescent="0.15">
      <c r="A309" s="5" t="s">
        <v>1023</v>
      </c>
      <c r="B309" s="6" t="s">
        <v>1033</v>
      </c>
      <c r="C309" s="6"/>
      <c r="D309" s="8"/>
      <c r="E309" s="8"/>
      <c r="F309" s="43"/>
      <c r="G309" s="43"/>
      <c r="H309" s="36"/>
      <c r="I309" s="6" t="s">
        <v>1095</v>
      </c>
      <c r="J309" s="6" t="s">
        <v>1112</v>
      </c>
      <c r="K309" s="6">
        <v>84</v>
      </c>
      <c r="L309" s="6" t="s">
        <v>1404</v>
      </c>
      <c r="M309" s="50">
        <v>0.55232240635623786</v>
      </c>
      <c r="N309" s="50">
        <v>6.3096081806216467E-2</v>
      </c>
      <c r="O309" s="50">
        <v>0.56854964750886194</v>
      </c>
      <c r="P309" s="50">
        <v>0.95466802076570478</v>
      </c>
    </row>
    <row r="310" spans="1:16" ht="18" customHeight="1" x14ac:dyDescent="0.15">
      <c r="A310" s="5" t="s">
        <v>1023</v>
      </c>
      <c r="B310" s="6" t="s">
        <v>1033</v>
      </c>
      <c r="C310" s="6"/>
      <c r="D310" s="8"/>
      <c r="E310" s="8"/>
      <c r="F310" s="43"/>
      <c r="G310" s="43"/>
      <c r="H310" s="36"/>
      <c r="I310" s="6" t="s">
        <v>1095</v>
      </c>
      <c r="J310" s="6" t="s">
        <v>1114</v>
      </c>
      <c r="K310" s="6">
        <v>84</v>
      </c>
      <c r="L310" s="6" t="s">
        <v>1405</v>
      </c>
      <c r="M310" s="50">
        <v>0.41194985911831572</v>
      </c>
      <c r="N310" s="50">
        <v>-0.1534879011845702</v>
      </c>
      <c r="O310" s="50">
        <v>0.16333678247132441</v>
      </c>
      <c r="P310" s="50">
        <v>0.95466802076570478</v>
      </c>
    </row>
    <row r="311" spans="1:16" ht="18" customHeight="1" x14ac:dyDescent="0.15">
      <c r="A311" s="5" t="s">
        <v>1023</v>
      </c>
      <c r="B311" s="6" t="s">
        <v>1033</v>
      </c>
      <c r="C311" s="6"/>
      <c r="D311" s="8"/>
      <c r="E311" s="8"/>
      <c r="F311" s="43"/>
      <c r="G311" s="43"/>
      <c r="H311" s="36"/>
      <c r="I311" s="6" t="s">
        <v>1095</v>
      </c>
      <c r="J311" s="6" t="s">
        <v>1116</v>
      </c>
      <c r="K311" s="6">
        <v>84</v>
      </c>
      <c r="L311" s="6" t="s">
        <v>1406</v>
      </c>
      <c r="M311" s="50">
        <v>0.68560862404164857</v>
      </c>
      <c r="N311" s="50">
        <v>8.8285916776349088E-2</v>
      </c>
      <c r="O311" s="50">
        <v>0.42452781416581931</v>
      </c>
      <c r="P311" s="50">
        <v>0.95700793904120396</v>
      </c>
    </row>
    <row r="312" spans="1:16" ht="18" customHeight="1" x14ac:dyDescent="0.15">
      <c r="A312" s="5" t="s">
        <v>1023</v>
      </c>
      <c r="B312" s="6" t="s">
        <v>1033</v>
      </c>
      <c r="C312" s="6"/>
      <c r="D312" s="8"/>
      <c r="E312" s="8"/>
      <c r="F312" s="43"/>
      <c r="G312" s="43"/>
      <c r="H312" s="36"/>
      <c r="I312" s="6" t="s">
        <v>1095</v>
      </c>
      <c r="J312" s="6" t="s">
        <v>1118</v>
      </c>
      <c r="K312" s="6">
        <v>84</v>
      </c>
      <c r="L312" s="6" t="s">
        <v>1407</v>
      </c>
      <c r="M312" s="50">
        <v>0.83048145061610301</v>
      </c>
      <c r="N312" s="50">
        <v>8.3122405588741524E-2</v>
      </c>
      <c r="O312" s="50">
        <v>0.45222154423552852</v>
      </c>
      <c r="P312" s="50">
        <v>0.95700793904120396</v>
      </c>
    </row>
    <row r="313" spans="1:16" ht="18" customHeight="1" x14ac:dyDescent="0.15">
      <c r="A313" s="5" t="s">
        <v>1023</v>
      </c>
      <c r="B313" s="6" t="s">
        <v>1033</v>
      </c>
      <c r="C313" s="6"/>
      <c r="D313" s="8"/>
      <c r="E313" s="8"/>
      <c r="F313" s="43"/>
      <c r="G313" s="43"/>
      <c r="H313" s="36"/>
      <c r="I313" s="6" t="s">
        <v>1095</v>
      </c>
      <c r="J313" s="6" t="s">
        <v>1120</v>
      </c>
      <c r="K313" s="6">
        <v>84</v>
      </c>
      <c r="L313" s="6" t="s">
        <v>1408</v>
      </c>
      <c r="M313" s="50">
        <v>0.58514891037400596</v>
      </c>
      <c r="N313" s="50">
        <v>-0.12548344639060441</v>
      </c>
      <c r="O313" s="50">
        <v>0.25539430665185697</v>
      </c>
      <c r="P313" s="50">
        <v>0.95466802076570478</v>
      </c>
    </row>
    <row r="314" spans="1:16" ht="18" customHeight="1" x14ac:dyDescent="0.15">
      <c r="A314" s="5" t="s">
        <v>1023</v>
      </c>
      <c r="B314" s="6" t="s">
        <v>1033</v>
      </c>
      <c r="C314" s="6"/>
      <c r="D314" s="8"/>
      <c r="E314" s="8"/>
      <c r="F314" s="43"/>
      <c r="G314" s="43"/>
      <c r="H314" s="36"/>
      <c r="I314" s="6" t="s">
        <v>1095</v>
      </c>
      <c r="J314" s="6" t="s">
        <v>1122</v>
      </c>
      <c r="K314" s="6">
        <v>84</v>
      </c>
      <c r="L314" s="6" t="s">
        <v>1409</v>
      </c>
      <c r="M314" s="50">
        <v>0.80878360868291643</v>
      </c>
      <c r="N314" s="50">
        <v>-1.7009213323883769E-2</v>
      </c>
      <c r="O314" s="50">
        <v>0.87795097274442591</v>
      </c>
      <c r="P314" s="50">
        <v>0.95700793904120396</v>
      </c>
    </row>
    <row r="315" spans="1:16" ht="18" customHeight="1" x14ac:dyDescent="0.15">
      <c r="A315" s="5" t="s">
        <v>1023</v>
      </c>
      <c r="B315" s="6" t="s">
        <v>1033</v>
      </c>
      <c r="C315" s="6"/>
      <c r="D315" s="8"/>
      <c r="E315" s="8"/>
      <c r="F315" s="43"/>
      <c r="G315" s="43"/>
      <c r="H315" s="36"/>
      <c r="I315" s="6" t="s">
        <v>1095</v>
      </c>
      <c r="J315" s="6" t="s">
        <v>1124</v>
      </c>
      <c r="K315" s="6">
        <v>84</v>
      </c>
      <c r="L315" s="6" t="s">
        <v>1410</v>
      </c>
      <c r="M315" s="50">
        <v>0.68324507663346901</v>
      </c>
      <c r="N315" s="50">
        <v>2.591880125544193E-2</v>
      </c>
      <c r="O315" s="50">
        <v>0.81496198046644464</v>
      </c>
      <c r="P315" s="50">
        <v>0.95700793904120396</v>
      </c>
    </row>
    <row r="316" spans="1:16" ht="18" customHeight="1" x14ac:dyDescent="0.15">
      <c r="A316" s="5" t="s">
        <v>1023</v>
      </c>
      <c r="B316" s="6" t="s">
        <v>1033</v>
      </c>
      <c r="C316" s="6"/>
      <c r="D316" s="8"/>
      <c r="E316" s="8"/>
      <c r="F316" s="43"/>
      <c r="G316" s="43"/>
      <c r="H316" s="36"/>
      <c r="I316" s="6" t="s">
        <v>1095</v>
      </c>
      <c r="J316" s="6" t="s">
        <v>1126</v>
      </c>
      <c r="K316" s="6">
        <v>84</v>
      </c>
      <c r="L316" s="6" t="s">
        <v>1411</v>
      </c>
      <c r="M316" s="50">
        <v>0.55582239850576154</v>
      </c>
      <c r="N316" s="50">
        <v>-3.8311228105700118E-2</v>
      </c>
      <c r="O316" s="50">
        <v>0.7293472141027828</v>
      </c>
      <c r="P316" s="50">
        <v>0.95466802076570478</v>
      </c>
    </row>
    <row r="317" spans="1:16" ht="18" customHeight="1" x14ac:dyDescent="0.15">
      <c r="A317" s="5" t="s">
        <v>1023</v>
      </c>
      <c r="B317" s="6" t="s">
        <v>1033</v>
      </c>
      <c r="C317" s="6"/>
      <c r="D317" s="8"/>
      <c r="E317" s="8"/>
      <c r="F317" s="43"/>
      <c r="G317" s="43"/>
      <c r="H317" s="36"/>
      <c r="I317" s="6" t="s">
        <v>1095</v>
      </c>
      <c r="J317" s="6" t="s">
        <v>1128</v>
      </c>
      <c r="K317" s="6">
        <v>84</v>
      </c>
      <c r="L317" s="6" t="s">
        <v>1412</v>
      </c>
      <c r="M317" s="50">
        <v>0.26719275046524299</v>
      </c>
      <c r="N317" s="50">
        <v>-0.1147919408727347</v>
      </c>
      <c r="O317" s="50">
        <v>0.29845000530324411</v>
      </c>
      <c r="P317" s="50">
        <v>0.95466802076570478</v>
      </c>
    </row>
    <row r="318" spans="1:16" ht="18" customHeight="1" x14ac:dyDescent="0.15">
      <c r="A318" s="5" t="s">
        <v>1023</v>
      </c>
      <c r="B318" s="6" t="s">
        <v>1033</v>
      </c>
      <c r="C318" s="6"/>
      <c r="D318" s="8"/>
      <c r="E318" s="8"/>
      <c r="F318" s="43"/>
      <c r="G318" s="43"/>
      <c r="H318" s="36"/>
      <c r="I318" s="6" t="s">
        <v>1095</v>
      </c>
      <c r="J318" s="6" t="s">
        <v>1130</v>
      </c>
      <c r="K318" s="6">
        <v>84</v>
      </c>
      <c r="L318" s="6" t="s">
        <v>1413</v>
      </c>
      <c r="M318" s="50">
        <v>0.43525231746564269</v>
      </c>
      <c r="N318" s="50">
        <v>-6.7186392629340896E-2</v>
      </c>
      <c r="O318" s="50">
        <v>0.54369594439422608</v>
      </c>
      <c r="P318" s="50">
        <v>0.95466802076570478</v>
      </c>
    </row>
    <row r="319" spans="1:16" ht="18" customHeight="1" x14ac:dyDescent="0.15">
      <c r="A319" s="5" t="s">
        <v>1023</v>
      </c>
      <c r="B319" s="6" t="s">
        <v>1033</v>
      </c>
      <c r="C319" s="6"/>
      <c r="D319" s="8"/>
      <c r="E319" s="8"/>
      <c r="F319" s="43"/>
      <c r="G319" s="43"/>
      <c r="H319" s="36"/>
      <c r="I319" s="6" t="s">
        <v>1095</v>
      </c>
      <c r="J319" s="6" t="s">
        <v>1132</v>
      </c>
      <c r="K319" s="6">
        <v>84</v>
      </c>
      <c r="L319" s="6" t="s">
        <v>1414</v>
      </c>
      <c r="M319" s="50">
        <v>0.51144291810680109</v>
      </c>
      <c r="N319" s="50">
        <v>0.1067125645438898</v>
      </c>
      <c r="O319" s="50">
        <v>0.33397195808781582</v>
      </c>
      <c r="P319" s="50">
        <v>0.95466802076570478</v>
      </c>
    </row>
    <row r="320" spans="1:16" ht="18" customHeight="1" x14ac:dyDescent="0.15">
      <c r="A320" s="5" t="s">
        <v>1023</v>
      </c>
      <c r="B320" s="6" t="s">
        <v>1033</v>
      </c>
      <c r="C320" s="6"/>
      <c r="D320" s="8"/>
      <c r="E320" s="8"/>
      <c r="F320" s="43"/>
      <c r="G320" s="43"/>
      <c r="H320" s="36"/>
      <c r="I320" s="6" t="s">
        <v>1095</v>
      </c>
      <c r="J320" s="6" t="s">
        <v>1134</v>
      </c>
      <c r="K320" s="6">
        <v>84</v>
      </c>
      <c r="L320" s="6" t="s">
        <v>1415</v>
      </c>
      <c r="M320" s="50">
        <v>0.48001387334460638</v>
      </c>
      <c r="N320" s="50">
        <v>0.1037359522122102</v>
      </c>
      <c r="O320" s="50">
        <v>0.34770693659348539</v>
      </c>
      <c r="P320" s="50">
        <v>0.95466802076570478</v>
      </c>
    </row>
    <row r="321" spans="1:16" ht="18" customHeight="1" x14ac:dyDescent="0.15">
      <c r="A321" s="5" t="s">
        <v>1023</v>
      </c>
      <c r="B321" s="6" t="s">
        <v>1033</v>
      </c>
      <c r="C321" s="6"/>
      <c r="D321" s="8"/>
      <c r="E321" s="8"/>
      <c r="F321" s="43"/>
      <c r="G321" s="43"/>
      <c r="H321" s="36"/>
      <c r="I321" s="6" t="s">
        <v>1095</v>
      </c>
      <c r="J321" s="6" t="s">
        <v>1136</v>
      </c>
      <c r="K321" s="6">
        <v>84</v>
      </c>
      <c r="L321" s="6" t="s">
        <v>1416</v>
      </c>
      <c r="M321" s="50">
        <v>0.58985182172639461</v>
      </c>
      <c r="N321" s="50">
        <v>4.3940467753366399E-3</v>
      </c>
      <c r="O321" s="50">
        <v>0.96835713227168163</v>
      </c>
      <c r="P321" s="50">
        <v>0.95466802076570478</v>
      </c>
    </row>
    <row r="322" spans="1:16" ht="18" customHeight="1" x14ac:dyDescent="0.15">
      <c r="A322" s="5" t="s">
        <v>1023</v>
      </c>
      <c r="B322" s="6" t="s">
        <v>1033</v>
      </c>
      <c r="C322" s="6"/>
      <c r="D322" s="8"/>
      <c r="E322" s="8"/>
      <c r="F322" s="43"/>
      <c r="G322" s="43"/>
      <c r="H322" s="36"/>
      <c r="I322" s="6" t="s">
        <v>1095</v>
      </c>
      <c r="J322" s="6" t="s">
        <v>1138</v>
      </c>
      <c r="K322" s="6">
        <v>84</v>
      </c>
      <c r="L322" s="6" t="s">
        <v>1417</v>
      </c>
      <c r="M322" s="50">
        <v>0.84479315753524131</v>
      </c>
      <c r="N322" s="50">
        <v>1.854814214842563E-2</v>
      </c>
      <c r="O322" s="50">
        <v>0.8670052012578735</v>
      </c>
      <c r="P322" s="50">
        <v>0.95700793904120396</v>
      </c>
    </row>
    <row r="323" spans="1:16" ht="18" customHeight="1" x14ac:dyDescent="0.15">
      <c r="A323" s="5" t="s">
        <v>1023</v>
      </c>
      <c r="B323" s="6" t="s">
        <v>1033</v>
      </c>
      <c r="C323" s="6"/>
      <c r="D323" s="8"/>
      <c r="E323" s="8"/>
      <c r="F323" s="43"/>
      <c r="G323" s="43"/>
      <c r="H323" s="36"/>
      <c r="I323" s="6" t="s">
        <v>1095</v>
      </c>
      <c r="J323" s="6" t="s">
        <v>1140</v>
      </c>
      <c r="K323" s="6">
        <v>84</v>
      </c>
      <c r="L323" s="6" t="s">
        <v>1418</v>
      </c>
      <c r="M323" s="50">
        <v>0.2278611890281769</v>
      </c>
      <c r="N323" s="50">
        <v>-0.20020249063480819</v>
      </c>
      <c r="O323" s="50">
        <v>6.7861439695846612E-2</v>
      </c>
      <c r="P323" s="50">
        <v>0.95466802076570478</v>
      </c>
    </row>
    <row r="324" spans="1:16" ht="18" customHeight="1" x14ac:dyDescent="0.15">
      <c r="A324" s="5" t="s">
        <v>1023</v>
      </c>
      <c r="B324" s="6" t="s">
        <v>1033</v>
      </c>
      <c r="C324" s="6"/>
      <c r="D324" s="8"/>
      <c r="E324" s="8"/>
      <c r="F324" s="43"/>
      <c r="G324" s="43"/>
      <c r="H324" s="36"/>
      <c r="I324" s="6" t="s">
        <v>1095</v>
      </c>
      <c r="J324" s="6" t="s">
        <v>1142</v>
      </c>
      <c r="K324" s="6">
        <v>84</v>
      </c>
      <c r="L324" s="6" t="s">
        <v>1419</v>
      </c>
      <c r="M324" s="50">
        <v>5.2488933945578138E-2</v>
      </c>
      <c r="N324" s="50">
        <v>0.1047484053862509</v>
      </c>
      <c r="O324" s="50">
        <v>0.3429961295806665</v>
      </c>
      <c r="P324" s="50">
        <v>0.95466802076570478</v>
      </c>
    </row>
    <row r="325" spans="1:16" ht="18" customHeight="1" x14ac:dyDescent="0.15">
      <c r="A325" s="5" t="s">
        <v>1023</v>
      </c>
      <c r="B325" s="6" t="s">
        <v>1033</v>
      </c>
      <c r="C325" s="6"/>
      <c r="D325" s="8"/>
      <c r="E325" s="8"/>
      <c r="F325" s="43"/>
      <c r="G325" s="43"/>
      <c r="H325" s="36"/>
      <c r="I325" s="6" t="s">
        <v>1095</v>
      </c>
      <c r="J325" s="6" t="s">
        <v>1144</v>
      </c>
      <c r="K325" s="6">
        <v>84</v>
      </c>
      <c r="L325" s="6" t="s">
        <v>1420</v>
      </c>
      <c r="M325" s="50">
        <v>0.89919709425943994</v>
      </c>
      <c r="N325" s="50">
        <v>2.1625999797509361E-2</v>
      </c>
      <c r="O325" s="50">
        <v>0.84519059224350557</v>
      </c>
      <c r="P325" s="50">
        <v>0.97609564650031078</v>
      </c>
    </row>
    <row r="326" spans="1:16" ht="18" customHeight="1" x14ac:dyDescent="0.15">
      <c r="A326" s="5" t="s">
        <v>1023</v>
      </c>
      <c r="B326" s="6" t="s">
        <v>1033</v>
      </c>
      <c r="C326" s="6"/>
      <c r="D326" s="8"/>
      <c r="E326" s="8"/>
      <c r="F326" s="43"/>
      <c r="G326" s="43"/>
      <c r="H326" s="36"/>
      <c r="I326" s="6" t="s">
        <v>1095</v>
      </c>
      <c r="J326" s="6" t="s">
        <v>1146</v>
      </c>
      <c r="K326" s="6">
        <v>84</v>
      </c>
      <c r="L326" s="6" t="s">
        <v>1421</v>
      </c>
      <c r="M326" s="50">
        <v>0.74012906215423713</v>
      </c>
      <c r="N326" s="50">
        <v>-5.9532246633593197E-3</v>
      </c>
      <c r="O326" s="50">
        <v>0.95713823635356698</v>
      </c>
      <c r="P326" s="50">
        <v>0.95700793904120396</v>
      </c>
    </row>
    <row r="327" spans="1:16" ht="18" customHeight="1" x14ac:dyDescent="0.15">
      <c r="A327" s="5" t="s">
        <v>1023</v>
      </c>
      <c r="B327" s="6" t="s">
        <v>1033</v>
      </c>
      <c r="C327" s="6"/>
      <c r="D327" s="8"/>
      <c r="E327" s="8"/>
      <c r="F327" s="43"/>
      <c r="G327" s="43"/>
      <c r="H327" s="36"/>
      <c r="I327" s="6" t="s">
        <v>1095</v>
      </c>
      <c r="J327" s="6" t="s">
        <v>1148</v>
      </c>
      <c r="K327" s="6">
        <v>84</v>
      </c>
      <c r="L327" s="6" t="s">
        <v>1422</v>
      </c>
      <c r="M327" s="50">
        <v>0.40735961039038099</v>
      </c>
      <c r="N327" s="50">
        <v>-4.9772198035840848E-2</v>
      </c>
      <c r="O327" s="50">
        <v>0.65298923588210522</v>
      </c>
      <c r="P327" s="50">
        <v>0.95466802076570478</v>
      </c>
    </row>
    <row r="328" spans="1:16" ht="18" customHeight="1" x14ac:dyDescent="0.15">
      <c r="A328" s="5" t="s">
        <v>1023</v>
      </c>
      <c r="B328" s="6" t="s">
        <v>1033</v>
      </c>
      <c r="C328" s="6"/>
      <c r="D328" s="8"/>
      <c r="E328" s="8"/>
      <c r="F328" s="43"/>
      <c r="G328" s="43"/>
      <c r="H328" s="36"/>
      <c r="I328" s="6" t="s">
        <v>1095</v>
      </c>
      <c r="J328" s="6" t="s">
        <v>1150</v>
      </c>
      <c r="K328" s="6">
        <v>84</v>
      </c>
      <c r="L328" s="6" t="s">
        <v>1423</v>
      </c>
      <c r="M328" s="50">
        <v>0.65784728827341521</v>
      </c>
      <c r="N328" s="50">
        <v>-2.1140022273969831E-2</v>
      </c>
      <c r="O328" s="50">
        <v>0.84862770702649315</v>
      </c>
      <c r="P328" s="50">
        <v>0.95700793904120396</v>
      </c>
    </row>
    <row r="329" spans="1:16" ht="18" customHeight="1" x14ac:dyDescent="0.15">
      <c r="A329" s="5" t="s">
        <v>1023</v>
      </c>
      <c r="B329" s="6" t="s">
        <v>1033</v>
      </c>
      <c r="C329" s="6"/>
      <c r="D329" s="8"/>
      <c r="E329" s="8"/>
      <c r="F329" s="43"/>
      <c r="G329" s="43"/>
      <c r="H329" s="36"/>
      <c r="I329" s="6" t="s">
        <v>1095</v>
      </c>
      <c r="J329" s="6" t="s">
        <v>1152</v>
      </c>
      <c r="K329" s="6">
        <v>84</v>
      </c>
      <c r="L329" s="6" t="s">
        <v>1424</v>
      </c>
      <c r="M329" s="50">
        <v>0.76853255559645794</v>
      </c>
      <c r="N329" s="50">
        <v>-0.1084742330667207</v>
      </c>
      <c r="O329" s="50">
        <v>0.32600720958318602</v>
      </c>
      <c r="P329" s="50">
        <v>0.95700793904120396</v>
      </c>
    </row>
    <row r="330" spans="1:16" ht="18" customHeight="1" x14ac:dyDescent="0.15">
      <c r="A330" s="5" t="s">
        <v>1023</v>
      </c>
      <c r="B330" s="6" t="s">
        <v>1033</v>
      </c>
      <c r="C330" s="6"/>
      <c r="D330" s="8"/>
      <c r="E330" s="8"/>
      <c r="F330" s="43"/>
      <c r="G330" s="43"/>
      <c r="H330" s="36"/>
      <c r="I330" s="6" t="s">
        <v>1095</v>
      </c>
      <c r="J330" s="6" t="s">
        <v>1154</v>
      </c>
      <c r="K330" s="6">
        <v>84</v>
      </c>
      <c r="L330" s="6" t="s">
        <v>1425</v>
      </c>
      <c r="M330" s="50">
        <v>0.96259160929599363</v>
      </c>
      <c r="N330" s="50">
        <v>4.0599372279032091E-2</v>
      </c>
      <c r="O330" s="50">
        <v>0.71386134479569174</v>
      </c>
      <c r="P330" s="50">
        <v>0.98212512151066245</v>
      </c>
    </row>
    <row r="331" spans="1:16" ht="18" customHeight="1" x14ac:dyDescent="0.15">
      <c r="A331" s="5" t="s">
        <v>1023</v>
      </c>
      <c r="B331" s="6" t="s">
        <v>1033</v>
      </c>
      <c r="C331" s="6"/>
      <c r="D331" s="8"/>
      <c r="E331" s="8"/>
      <c r="F331" s="43"/>
      <c r="G331" s="43"/>
      <c r="H331" s="36"/>
      <c r="I331" s="6" t="s">
        <v>1095</v>
      </c>
      <c r="J331" s="6" t="s">
        <v>1156</v>
      </c>
      <c r="K331" s="6">
        <v>84</v>
      </c>
      <c r="L331" s="6" t="s">
        <v>1426</v>
      </c>
      <c r="M331" s="50">
        <v>0.1527690292175517</v>
      </c>
      <c r="N331" s="50">
        <v>0.12556444264452771</v>
      </c>
      <c r="O331" s="50">
        <v>0.25508520998151668</v>
      </c>
      <c r="P331" s="50">
        <v>0.95466802076570478</v>
      </c>
    </row>
    <row r="332" spans="1:16" ht="18" customHeight="1" x14ac:dyDescent="0.15">
      <c r="A332" s="5" t="s">
        <v>1023</v>
      </c>
      <c r="B332" s="6" t="s">
        <v>1033</v>
      </c>
      <c r="C332" s="6"/>
      <c r="D332" s="8"/>
      <c r="E332" s="8"/>
      <c r="F332" s="43"/>
      <c r="G332" s="43"/>
      <c r="H332" s="36"/>
      <c r="I332" s="6" t="s">
        <v>1095</v>
      </c>
      <c r="J332" s="6" t="s">
        <v>1158</v>
      </c>
      <c r="K332" s="6">
        <v>84</v>
      </c>
      <c r="L332" s="6" t="s">
        <v>1427</v>
      </c>
      <c r="M332" s="50">
        <v>0.54118236365759487</v>
      </c>
      <c r="N332" s="50">
        <v>3.2297256251898353E-2</v>
      </c>
      <c r="O332" s="50">
        <v>0.77055426329617338</v>
      </c>
      <c r="P332" s="50">
        <v>0.95466802076570478</v>
      </c>
    </row>
    <row r="333" spans="1:16" ht="18" customHeight="1" x14ac:dyDescent="0.15">
      <c r="A333" s="5" t="s">
        <v>1023</v>
      </c>
      <c r="B333" s="6" t="s">
        <v>1033</v>
      </c>
      <c r="C333" s="6"/>
      <c r="D333" s="8"/>
      <c r="E333" s="8"/>
      <c r="F333" s="43"/>
      <c r="G333" s="43"/>
      <c r="H333" s="36"/>
      <c r="I333" s="6" t="s">
        <v>1095</v>
      </c>
      <c r="J333" s="6" t="s">
        <v>1160</v>
      </c>
      <c r="K333" s="6">
        <v>84</v>
      </c>
      <c r="L333" s="6" t="s">
        <v>1428</v>
      </c>
      <c r="M333" s="50">
        <v>0.29568766765173848</v>
      </c>
      <c r="N333" s="50">
        <v>8.6119266983901988E-2</v>
      </c>
      <c r="O333" s="50">
        <v>0.43602797751412559</v>
      </c>
      <c r="P333" s="50">
        <v>0.95466802076570478</v>
      </c>
    </row>
    <row r="334" spans="1:16" ht="18" customHeight="1" x14ac:dyDescent="0.15">
      <c r="A334" s="5" t="s">
        <v>1023</v>
      </c>
      <c r="B334" s="6" t="s">
        <v>1033</v>
      </c>
      <c r="C334" s="6"/>
      <c r="D334" s="8"/>
      <c r="E334" s="8"/>
      <c r="F334" s="43"/>
      <c r="G334" s="43"/>
      <c r="H334" s="36"/>
      <c r="I334" s="6" t="s">
        <v>1095</v>
      </c>
      <c r="J334" s="6" t="s">
        <v>1162</v>
      </c>
      <c r="K334" s="6">
        <v>84</v>
      </c>
      <c r="L334" s="6" t="s">
        <v>1429</v>
      </c>
      <c r="M334" s="50">
        <v>0.43031197882200761</v>
      </c>
      <c r="N334" s="50">
        <v>-0.14312038068239341</v>
      </c>
      <c r="O334" s="50">
        <v>0.1940253354293546</v>
      </c>
      <c r="P334" s="50">
        <v>0.95466802076570478</v>
      </c>
    </row>
    <row r="335" spans="1:16" ht="18" customHeight="1" x14ac:dyDescent="0.15">
      <c r="A335" s="5" t="s">
        <v>1023</v>
      </c>
      <c r="B335" s="6" t="s">
        <v>1033</v>
      </c>
      <c r="C335" s="6"/>
      <c r="D335" s="8"/>
      <c r="E335" s="8"/>
      <c r="F335" s="43"/>
      <c r="G335" s="43"/>
      <c r="H335" s="36"/>
      <c r="I335" s="6" t="s">
        <v>1095</v>
      </c>
      <c r="J335" s="6" t="s">
        <v>1164</v>
      </c>
      <c r="K335" s="6">
        <v>84</v>
      </c>
      <c r="L335" s="6" t="s">
        <v>1430</v>
      </c>
      <c r="M335" s="50">
        <v>0.56525304929646236</v>
      </c>
      <c r="N335" s="50">
        <v>0.1134960008099625</v>
      </c>
      <c r="O335" s="50">
        <v>0.30397442076795739</v>
      </c>
      <c r="P335" s="50">
        <v>0.95466802076570478</v>
      </c>
    </row>
    <row r="336" spans="1:16" ht="18" customHeight="1" x14ac:dyDescent="0.15">
      <c r="A336" s="5" t="s">
        <v>1023</v>
      </c>
      <c r="B336" s="6" t="s">
        <v>1033</v>
      </c>
      <c r="C336" s="6"/>
      <c r="D336" s="8"/>
      <c r="E336" s="8"/>
      <c r="F336" s="43"/>
      <c r="G336" s="43"/>
      <c r="H336" s="36"/>
      <c r="I336" s="6" t="s">
        <v>1095</v>
      </c>
      <c r="J336" s="6" t="s">
        <v>1166</v>
      </c>
      <c r="K336" s="6">
        <v>84</v>
      </c>
      <c r="L336" s="6" t="s">
        <v>1431</v>
      </c>
      <c r="M336" s="50">
        <v>0.21657412989652111</v>
      </c>
      <c r="N336" s="50">
        <v>-0.10968917687556951</v>
      </c>
      <c r="O336" s="50">
        <v>0.32058550613639181</v>
      </c>
      <c r="P336" s="50">
        <v>0.95466802076570478</v>
      </c>
    </row>
    <row r="337" spans="1:16" ht="18" customHeight="1" x14ac:dyDescent="0.15">
      <c r="A337" s="5" t="s">
        <v>1023</v>
      </c>
      <c r="B337" s="6" t="s">
        <v>1033</v>
      </c>
      <c r="C337" s="6"/>
      <c r="D337" s="8"/>
      <c r="E337" s="8"/>
      <c r="F337" s="43"/>
      <c r="G337" s="43"/>
      <c r="H337" s="36"/>
      <c r="I337" s="6" t="s">
        <v>1095</v>
      </c>
      <c r="J337" s="6" t="s">
        <v>1168</v>
      </c>
      <c r="K337" s="6">
        <v>84</v>
      </c>
      <c r="L337" s="6" t="s">
        <v>1432</v>
      </c>
      <c r="M337" s="50">
        <v>0.38665884991226401</v>
      </c>
      <c r="N337" s="50">
        <v>-0.15986635618102671</v>
      </c>
      <c r="O337" s="50">
        <v>0.1463333088851019</v>
      </c>
      <c r="P337" s="50">
        <v>0.95466802076570478</v>
      </c>
    </row>
    <row r="338" spans="1:16" ht="18" customHeight="1" x14ac:dyDescent="0.15">
      <c r="A338" s="5" t="s">
        <v>1023</v>
      </c>
      <c r="B338" s="6" t="s">
        <v>1033</v>
      </c>
      <c r="C338" s="6"/>
      <c r="D338" s="8"/>
      <c r="E338" s="8"/>
      <c r="F338" s="43"/>
      <c r="G338" s="43"/>
      <c r="H338" s="36"/>
      <c r="I338" s="6" t="s">
        <v>1095</v>
      </c>
      <c r="J338" s="6" t="s">
        <v>1170</v>
      </c>
      <c r="K338" s="6">
        <v>84</v>
      </c>
      <c r="L338" s="6" t="s">
        <v>1433</v>
      </c>
      <c r="M338" s="50">
        <v>0.82757175344460743</v>
      </c>
      <c r="N338" s="50">
        <v>5.6332894603624589E-2</v>
      </c>
      <c r="O338" s="50">
        <v>0.61077478897648796</v>
      </c>
      <c r="P338" s="50">
        <v>0.95700793904120396</v>
      </c>
    </row>
    <row r="339" spans="1:16" ht="18" customHeight="1" x14ac:dyDescent="0.15">
      <c r="A339" s="5" t="s">
        <v>1023</v>
      </c>
      <c r="B339" s="6" t="s">
        <v>1033</v>
      </c>
      <c r="C339" s="6"/>
      <c r="D339" s="8"/>
      <c r="E339" s="8"/>
      <c r="F339" s="43"/>
      <c r="G339" s="43"/>
      <c r="H339" s="36"/>
      <c r="I339" s="6" t="s">
        <v>1095</v>
      </c>
      <c r="J339" s="6" t="s">
        <v>1172</v>
      </c>
      <c r="K339" s="6">
        <v>84</v>
      </c>
      <c r="L339" s="6" t="s">
        <v>1434</v>
      </c>
      <c r="M339" s="50">
        <v>0.41258887895342589</v>
      </c>
      <c r="N339" s="50">
        <v>0.1150349296345044</v>
      </c>
      <c r="O339" s="50">
        <v>0.29742155091118389</v>
      </c>
      <c r="P339" s="50">
        <v>0.95466802076570478</v>
      </c>
    </row>
    <row r="340" spans="1:16" ht="18" customHeight="1" x14ac:dyDescent="0.15">
      <c r="A340" s="5" t="s">
        <v>1023</v>
      </c>
      <c r="B340" s="6" t="s">
        <v>1033</v>
      </c>
      <c r="C340" s="6"/>
      <c r="D340" s="8"/>
      <c r="E340" s="8"/>
      <c r="F340" s="43"/>
      <c r="G340" s="43"/>
      <c r="H340" s="36"/>
      <c r="I340" s="6" t="s">
        <v>1095</v>
      </c>
      <c r="J340" s="6" t="s">
        <v>1174</v>
      </c>
      <c r="K340" s="6">
        <v>84</v>
      </c>
      <c r="L340" s="6" t="s">
        <v>1435</v>
      </c>
      <c r="M340" s="50">
        <v>0.22549224491779429</v>
      </c>
      <c r="N340" s="50">
        <v>-0.17464817252202089</v>
      </c>
      <c r="O340" s="50">
        <v>0.1120760347835089</v>
      </c>
      <c r="P340" s="50">
        <v>0.95466802076570478</v>
      </c>
    </row>
    <row r="341" spans="1:16" ht="18" customHeight="1" x14ac:dyDescent="0.15">
      <c r="A341" s="5" t="s">
        <v>1023</v>
      </c>
      <c r="B341" s="6" t="s">
        <v>1033</v>
      </c>
      <c r="C341" s="6"/>
      <c r="D341" s="8"/>
      <c r="E341" s="8"/>
      <c r="F341" s="43"/>
      <c r="G341" s="43"/>
      <c r="H341" s="36"/>
      <c r="I341" s="6" t="s">
        <v>1095</v>
      </c>
      <c r="J341" s="6" t="s">
        <v>1176</v>
      </c>
      <c r="K341" s="6">
        <v>84</v>
      </c>
      <c r="L341" s="6" t="s">
        <v>1436</v>
      </c>
      <c r="M341" s="50">
        <v>0.189564548715596</v>
      </c>
      <c r="N341" s="50">
        <v>-6.4918497519489721E-2</v>
      </c>
      <c r="O341" s="50">
        <v>0.55741055230613956</v>
      </c>
      <c r="P341" s="50">
        <v>0.95466802076570478</v>
      </c>
    </row>
    <row r="342" spans="1:16" ht="18" customHeight="1" x14ac:dyDescent="0.15">
      <c r="A342" s="5" t="s">
        <v>1023</v>
      </c>
      <c r="B342" s="6" t="s">
        <v>1033</v>
      </c>
      <c r="C342" s="6"/>
      <c r="D342" s="8"/>
      <c r="E342" s="8"/>
      <c r="F342" s="43"/>
      <c r="G342" s="43"/>
      <c r="H342" s="36"/>
      <c r="I342" s="6" t="s">
        <v>1095</v>
      </c>
      <c r="J342" s="6" t="s">
        <v>1178</v>
      </c>
      <c r="K342" s="6">
        <v>84</v>
      </c>
      <c r="L342" s="6" t="s">
        <v>1437</v>
      </c>
      <c r="M342" s="50">
        <v>9.1913780273281301E-2</v>
      </c>
      <c r="N342" s="50">
        <v>0.13619520097195509</v>
      </c>
      <c r="O342" s="50">
        <v>0.2167146201040297</v>
      </c>
      <c r="P342" s="50">
        <v>0.95466802076570478</v>
      </c>
    </row>
    <row r="343" spans="1:16" ht="18" customHeight="1" x14ac:dyDescent="0.15">
      <c r="A343" s="5" t="s">
        <v>1023</v>
      </c>
      <c r="B343" s="6" t="s">
        <v>1033</v>
      </c>
      <c r="C343" s="6"/>
      <c r="D343" s="8"/>
      <c r="E343" s="8"/>
      <c r="F343" s="43"/>
      <c r="G343" s="43"/>
      <c r="H343" s="36"/>
      <c r="I343" s="6" t="s">
        <v>1095</v>
      </c>
      <c r="J343" s="6" t="s">
        <v>1180</v>
      </c>
      <c r="K343" s="6">
        <v>84</v>
      </c>
      <c r="L343" s="6" t="s">
        <v>1438</v>
      </c>
      <c r="M343" s="50">
        <v>0.54018043526341475</v>
      </c>
      <c r="N343" s="50">
        <v>3.6043332995848942E-2</v>
      </c>
      <c r="O343" s="50">
        <v>0.74480375292724421</v>
      </c>
      <c r="P343" s="50">
        <v>0.95466802076570478</v>
      </c>
    </row>
    <row r="344" spans="1:16" ht="18" customHeight="1" x14ac:dyDescent="0.15">
      <c r="A344" s="5" t="s">
        <v>1023</v>
      </c>
      <c r="B344" s="6" t="s">
        <v>1033</v>
      </c>
      <c r="C344" s="6"/>
      <c r="D344" s="8"/>
      <c r="E344" s="8"/>
      <c r="F344" s="43"/>
      <c r="G344" s="43"/>
      <c r="H344" s="36"/>
      <c r="I344" s="6" t="s">
        <v>1095</v>
      </c>
      <c r="J344" s="6" t="s">
        <v>1182</v>
      </c>
      <c r="K344" s="6">
        <v>84</v>
      </c>
      <c r="L344" s="6" t="s">
        <v>1439</v>
      </c>
      <c r="M344" s="50">
        <v>0.29454290515769987</v>
      </c>
      <c r="N344" s="50">
        <v>-5.4733218588640269E-2</v>
      </c>
      <c r="O344" s="50">
        <v>0.62095826871907955</v>
      </c>
      <c r="P344" s="50">
        <v>0.95466802076570478</v>
      </c>
    </row>
    <row r="345" spans="1:16" ht="18" customHeight="1" x14ac:dyDescent="0.15">
      <c r="A345" s="5" t="s">
        <v>1023</v>
      </c>
      <c r="B345" s="6" t="s">
        <v>1033</v>
      </c>
      <c r="C345" s="6"/>
      <c r="D345" s="8"/>
      <c r="E345" s="8"/>
      <c r="F345" s="43"/>
      <c r="G345" s="43"/>
      <c r="H345" s="36"/>
      <c r="I345" s="6" t="s">
        <v>1095</v>
      </c>
      <c r="J345" s="6" t="s">
        <v>1184</v>
      </c>
      <c r="K345" s="6">
        <v>84</v>
      </c>
      <c r="L345" s="6" t="s">
        <v>1440</v>
      </c>
      <c r="M345" s="50">
        <v>0.82450637437387475</v>
      </c>
      <c r="N345" s="50">
        <v>-0.13846309608180621</v>
      </c>
      <c r="O345" s="50">
        <v>0.20908678214305859</v>
      </c>
      <c r="P345" s="50">
        <v>0.95700793904120396</v>
      </c>
    </row>
    <row r="346" spans="1:16" ht="18" customHeight="1" x14ac:dyDescent="0.15">
      <c r="A346" s="5" t="s">
        <v>1023</v>
      </c>
      <c r="B346" s="6" t="s">
        <v>1033</v>
      </c>
      <c r="C346" s="6"/>
      <c r="D346" s="8"/>
      <c r="E346" s="8"/>
      <c r="F346" s="43"/>
      <c r="G346" s="43"/>
      <c r="H346" s="36"/>
      <c r="I346" s="6" t="s">
        <v>1095</v>
      </c>
      <c r="J346" s="6" t="s">
        <v>1186</v>
      </c>
      <c r="K346" s="6">
        <v>84</v>
      </c>
      <c r="L346" s="6" t="s">
        <v>1441</v>
      </c>
      <c r="M346" s="50">
        <v>0.77010569613399737</v>
      </c>
      <c r="N346" s="50">
        <v>6.7834362660726902E-3</v>
      </c>
      <c r="O346" s="50">
        <v>0.9511677980054134</v>
      </c>
      <c r="P346" s="50">
        <v>0.95700793904120396</v>
      </c>
    </row>
    <row r="347" spans="1:16" ht="18" customHeight="1" x14ac:dyDescent="0.15">
      <c r="A347" s="5" t="s">
        <v>1023</v>
      </c>
      <c r="B347" s="6" t="s">
        <v>1033</v>
      </c>
      <c r="C347" s="6"/>
      <c r="D347" s="8"/>
      <c r="E347" s="8"/>
      <c r="F347" s="43"/>
      <c r="G347" s="43"/>
      <c r="H347" s="36"/>
      <c r="I347" s="6" t="s">
        <v>1095</v>
      </c>
      <c r="J347" s="6" t="s">
        <v>1188</v>
      </c>
      <c r="K347" s="6">
        <v>84</v>
      </c>
      <c r="L347" s="6" t="s">
        <v>1442</v>
      </c>
      <c r="M347" s="50">
        <v>7.1981790862416281E-2</v>
      </c>
      <c r="N347" s="50">
        <v>-0.17997367621747501</v>
      </c>
      <c r="O347" s="50">
        <v>0.101384877051897</v>
      </c>
      <c r="P347" s="50">
        <v>0.95466802076570478</v>
      </c>
    </row>
    <row r="348" spans="1:16" ht="18" customHeight="1" x14ac:dyDescent="0.15">
      <c r="A348" s="5" t="s">
        <v>1023</v>
      </c>
      <c r="B348" s="6" t="s">
        <v>1033</v>
      </c>
      <c r="C348" s="6"/>
      <c r="D348" s="8"/>
      <c r="E348" s="8"/>
      <c r="F348" s="43"/>
      <c r="G348" s="43"/>
      <c r="H348" s="36"/>
      <c r="I348" s="6" t="s">
        <v>1095</v>
      </c>
      <c r="J348" s="6" t="s">
        <v>1190</v>
      </c>
      <c r="K348" s="6">
        <v>84</v>
      </c>
      <c r="L348" s="6" t="s">
        <v>1443</v>
      </c>
      <c r="M348" s="50">
        <v>0.43107639930996328</v>
      </c>
      <c r="N348" s="50">
        <v>3.4544902298268697E-2</v>
      </c>
      <c r="O348" s="50">
        <v>0.75507217236042734</v>
      </c>
      <c r="P348" s="50">
        <v>0.95466802076570478</v>
      </c>
    </row>
    <row r="349" spans="1:16" ht="18" customHeight="1" x14ac:dyDescent="0.15">
      <c r="A349" s="5" t="s">
        <v>1023</v>
      </c>
      <c r="B349" s="6" t="s">
        <v>1033</v>
      </c>
      <c r="C349" s="6"/>
      <c r="D349" s="8"/>
      <c r="E349" s="8"/>
      <c r="F349" s="43"/>
      <c r="G349" s="43"/>
      <c r="H349" s="36"/>
      <c r="I349" s="6" t="s">
        <v>1095</v>
      </c>
      <c r="J349" s="6" t="s">
        <v>1192</v>
      </c>
      <c r="K349" s="6">
        <v>84</v>
      </c>
      <c r="L349" s="6" t="s">
        <v>1444</v>
      </c>
      <c r="M349" s="50">
        <v>0.93396087763558477</v>
      </c>
      <c r="N349" s="50">
        <v>3.578009517059836E-2</v>
      </c>
      <c r="O349" s="50">
        <v>0.74660450183854443</v>
      </c>
      <c r="P349" s="50">
        <v>0.97609564650031078</v>
      </c>
    </row>
    <row r="350" spans="1:16" ht="18" customHeight="1" x14ac:dyDescent="0.15">
      <c r="A350" s="5" t="s">
        <v>1023</v>
      </c>
      <c r="B350" s="6" t="s">
        <v>1033</v>
      </c>
      <c r="C350" s="6"/>
      <c r="D350" s="8"/>
      <c r="E350" s="8"/>
      <c r="F350" s="43"/>
      <c r="G350" s="43"/>
      <c r="H350" s="36"/>
      <c r="I350" s="6" t="s">
        <v>1095</v>
      </c>
      <c r="J350" s="6" t="s">
        <v>1194</v>
      </c>
      <c r="K350" s="6">
        <v>84</v>
      </c>
      <c r="L350" s="6" t="s">
        <v>1445</v>
      </c>
      <c r="M350" s="50">
        <v>0.1927194770652397</v>
      </c>
      <c r="N350" s="50">
        <v>5.6110154905335628E-2</v>
      </c>
      <c r="O350" s="50">
        <v>0.61218838007225362</v>
      </c>
      <c r="P350" s="50">
        <v>0.95466802076570478</v>
      </c>
    </row>
    <row r="351" spans="1:16" ht="18" customHeight="1" x14ac:dyDescent="0.15">
      <c r="A351" s="5" t="s">
        <v>1023</v>
      </c>
      <c r="B351" s="6" t="s">
        <v>1033</v>
      </c>
      <c r="C351" s="6"/>
      <c r="D351" s="8"/>
      <c r="E351" s="8"/>
      <c r="F351" s="43"/>
      <c r="G351" s="43"/>
      <c r="H351" s="36"/>
      <c r="I351" s="6" t="s">
        <v>1095</v>
      </c>
      <c r="J351" s="6" t="s">
        <v>1196</v>
      </c>
      <c r="K351" s="6">
        <v>84</v>
      </c>
      <c r="L351" s="6" t="s">
        <v>1446</v>
      </c>
      <c r="M351" s="50">
        <v>0.35621677110215322</v>
      </c>
      <c r="N351" s="50">
        <v>0.1146096993014073</v>
      </c>
      <c r="O351" s="50">
        <v>0.29922287398198127</v>
      </c>
      <c r="P351" s="50">
        <v>0.95466802076570478</v>
      </c>
    </row>
    <row r="352" spans="1:16" ht="18" customHeight="1" x14ac:dyDescent="0.15">
      <c r="A352" s="5" t="s">
        <v>1023</v>
      </c>
      <c r="B352" s="6" t="s">
        <v>1033</v>
      </c>
      <c r="C352" s="6"/>
      <c r="D352" s="8"/>
      <c r="E352" s="8"/>
      <c r="F352" s="43"/>
      <c r="G352" s="43"/>
      <c r="H352" s="36"/>
      <c r="I352" s="6" t="s">
        <v>1095</v>
      </c>
      <c r="J352" s="6" t="s">
        <v>1198</v>
      </c>
      <c r="K352" s="6">
        <v>84</v>
      </c>
      <c r="L352" s="6" t="s">
        <v>1447</v>
      </c>
      <c r="M352" s="50">
        <v>0.68504744340094048</v>
      </c>
      <c r="N352" s="50">
        <v>-0.1177280550774527</v>
      </c>
      <c r="O352" s="50">
        <v>0.2861786712961506</v>
      </c>
      <c r="P352" s="50">
        <v>0.95700793904120396</v>
      </c>
    </row>
    <row r="353" spans="1:16" ht="18" customHeight="1" x14ac:dyDescent="0.15">
      <c r="A353" s="5" t="s">
        <v>1023</v>
      </c>
      <c r="B353" s="6" t="s">
        <v>1033</v>
      </c>
      <c r="C353" s="6"/>
      <c r="D353" s="8"/>
      <c r="E353" s="8"/>
      <c r="F353" s="43"/>
      <c r="G353" s="43"/>
      <c r="H353" s="36"/>
      <c r="I353" s="6" t="s">
        <v>1095</v>
      </c>
      <c r="J353" s="6" t="s">
        <v>1200</v>
      </c>
      <c r="K353" s="6">
        <v>84</v>
      </c>
      <c r="L353" s="6" t="s">
        <v>1448</v>
      </c>
      <c r="M353" s="50">
        <v>4.1301877990401741E-2</v>
      </c>
      <c r="N353" s="50">
        <v>0.17610610509263949</v>
      </c>
      <c r="O353" s="50">
        <v>0.10906601412679751</v>
      </c>
      <c r="P353" s="50">
        <v>0.95466802076570478</v>
      </c>
    </row>
    <row r="354" spans="1:16" ht="18" customHeight="1" x14ac:dyDescent="0.15">
      <c r="A354" s="5" t="s">
        <v>1023</v>
      </c>
      <c r="B354" s="6" t="s">
        <v>1033</v>
      </c>
      <c r="C354" s="6"/>
      <c r="D354" s="8"/>
      <c r="E354" s="8"/>
      <c r="F354" s="43"/>
      <c r="G354" s="43"/>
      <c r="H354" s="36"/>
      <c r="I354" s="6" t="s">
        <v>1095</v>
      </c>
      <c r="J354" s="6" t="s">
        <v>1202</v>
      </c>
      <c r="K354" s="6">
        <v>84</v>
      </c>
      <c r="L354" s="6" t="s">
        <v>1449</v>
      </c>
      <c r="M354" s="50">
        <v>0.63920653797237392</v>
      </c>
      <c r="N354" s="50">
        <v>-1.74141945935E-3</v>
      </c>
      <c r="O354" s="50">
        <v>0.98745678734876596</v>
      </c>
      <c r="P354" s="50">
        <v>0.95700793904120396</v>
      </c>
    </row>
    <row r="355" spans="1:16" ht="18" customHeight="1" x14ac:dyDescent="0.15">
      <c r="A355" s="5" t="s">
        <v>1023</v>
      </c>
      <c r="B355" s="6" t="s">
        <v>1033</v>
      </c>
      <c r="C355" s="6"/>
      <c r="D355" s="8"/>
      <c r="E355" s="8"/>
      <c r="F355" s="43"/>
      <c r="G355" s="43"/>
      <c r="H355" s="36"/>
      <c r="I355" s="6" t="s">
        <v>1095</v>
      </c>
      <c r="J355" s="6" t="s">
        <v>1204</v>
      </c>
      <c r="K355" s="6">
        <v>84</v>
      </c>
      <c r="L355" s="6" t="s">
        <v>1450</v>
      </c>
      <c r="M355" s="50">
        <v>0.35348921751573631</v>
      </c>
      <c r="N355" s="50">
        <v>0.14079173838209991</v>
      </c>
      <c r="O355" s="50">
        <v>0.2014553121662202</v>
      </c>
      <c r="P355" s="50">
        <v>0.95466802076570478</v>
      </c>
    </row>
    <row r="356" spans="1:16" ht="18" customHeight="1" x14ac:dyDescent="0.15">
      <c r="A356" s="5" t="s">
        <v>1023</v>
      </c>
      <c r="B356" s="6" t="s">
        <v>1033</v>
      </c>
      <c r="C356" s="6"/>
      <c r="D356" s="8"/>
      <c r="E356" s="8"/>
      <c r="F356" s="43"/>
      <c r="G356" s="43"/>
      <c r="H356" s="36"/>
      <c r="I356" s="6" t="s">
        <v>1095</v>
      </c>
      <c r="J356" s="6" t="s">
        <v>1206</v>
      </c>
      <c r="K356" s="6">
        <v>84</v>
      </c>
      <c r="L356" s="6" t="s">
        <v>1451</v>
      </c>
      <c r="M356" s="50">
        <v>0.42997886747651759</v>
      </c>
      <c r="N356" s="50">
        <v>-1.447808038878202E-2</v>
      </c>
      <c r="O356" s="50">
        <v>0.8960028538536482</v>
      </c>
      <c r="P356" s="50">
        <v>0.95466802076570478</v>
      </c>
    </row>
    <row r="357" spans="1:16" ht="18" customHeight="1" x14ac:dyDescent="0.15">
      <c r="A357" s="5" t="s">
        <v>1023</v>
      </c>
      <c r="B357" s="6" t="s">
        <v>1033</v>
      </c>
      <c r="C357" s="6"/>
      <c r="D357" s="8"/>
      <c r="E357" s="8"/>
      <c r="F357" s="43"/>
      <c r="G357" s="43"/>
      <c r="H357" s="36"/>
      <c r="I357" s="6" t="s">
        <v>1095</v>
      </c>
      <c r="J357" s="6" t="s">
        <v>1208</v>
      </c>
      <c r="K357" s="6">
        <v>84</v>
      </c>
      <c r="L357" s="6" t="s">
        <v>1452</v>
      </c>
      <c r="M357" s="50">
        <v>0.33503972411575872</v>
      </c>
      <c r="N357" s="50">
        <v>-1.4194593500050621E-2</v>
      </c>
      <c r="O357" s="50">
        <v>0.89802813358593292</v>
      </c>
      <c r="P357" s="50">
        <v>0.95466802076570478</v>
      </c>
    </row>
    <row r="358" spans="1:16" ht="18" customHeight="1" x14ac:dyDescent="0.15">
      <c r="A358" s="5" t="s">
        <v>1023</v>
      </c>
      <c r="B358" s="6" t="s">
        <v>1033</v>
      </c>
      <c r="C358" s="6"/>
      <c r="D358" s="8"/>
      <c r="E358" s="8"/>
      <c r="F358" s="43"/>
      <c r="G358" s="43"/>
      <c r="H358" s="36"/>
      <c r="I358" s="6" t="s">
        <v>1095</v>
      </c>
      <c r="J358" s="6" t="s">
        <v>1210</v>
      </c>
      <c r="K358" s="6">
        <v>84</v>
      </c>
      <c r="L358" s="6" t="s">
        <v>1453</v>
      </c>
      <c r="M358" s="50">
        <v>0.57169186238564051</v>
      </c>
      <c r="N358" s="50">
        <v>2.1140022273969831E-2</v>
      </c>
      <c r="O358" s="50">
        <v>0.84862770702649315</v>
      </c>
      <c r="P358" s="50">
        <v>0.95466802076570478</v>
      </c>
    </row>
    <row r="359" spans="1:16" ht="18" customHeight="1" x14ac:dyDescent="0.15">
      <c r="A359" s="5" t="s">
        <v>1023</v>
      </c>
      <c r="B359" s="6" t="s">
        <v>1033</v>
      </c>
      <c r="C359" s="6"/>
      <c r="D359" s="8"/>
      <c r="E359" s="8"/>
      <c r="F359" s="43"/>
      <c r="G359" s="43"/>
      <c r="H359" s="36"/>
      <c r="I359" s="6" t="s">
        <v>1095</v>
      </c>
      <c r="J359" s="6" t="s">
        <v>1212</v>
      </c>
      <c r="K359" s="6">
        <v>84</v>
      </c>
      <c r="L359" s="6" t="s">
        <v>1454</v>
      </c>
      <c r="M359" s="50">
        <v>0.20281054121344241</v>
      </c>
      <c r="N359" s="50">
        <v>0.1354662346866457</v>
      </c>
      <c r="O359" s="50">
        <v>0.21920765375366319</v>
      </c>
      <c r="P359" s="50">
        <v>0.95466802076570478</v>
      </c>
    </row>
    <row r="360" spans="1:16" ht="18" customHeight="1" x14ac:dyDescent="0.15">
      <c r="A360" s="5" t="s">
        <v>1023</v>
      </c>
      <c r="B360" s="6" t="s">
        <v>1033</v>
      </c>
      <c r="C360" s="6"/>
      <c r="D360" s="8"/>
      <c r="E360" s="8"/>
      <c r="F360" s="43"/>
      <c r="G360" s="43"/>
      <c r="H360" s="36"/>
      <c r="I360" s="6" t="s">
        <v>1095</v>
      </c>
      <c r="J360" s="6" t="s">
        <v>1214</v>
      </c>
      <c r="K360" s="6">
        <v>84</v>
      </c>
      <c r="L360" s="6" t="s">
        <v>1455</v>
      </c>
      <c r="M360" s="50">
        <v>0.2328082474880076</v>
      </c>
      <c r="N360" s="50">
        <v>0.18021666497924471</v>
      </c>
      <c r="O360" s="50">
        <v>0.1009167881059496</v>
      </c>
      <c r="P360" s="50">
        <v>0.95466802076570478</v>
      </c>
    </row>
    <row r="361" spans="1:16" ht="18" customHeight="1" x14ac:dyDescent="0.15">
      <c r="A361" s="5" t="s">
        <v>1023</v>
      </c>
      <c r="B361" s="6" t="s">
        <v>1033</v>
      </c>
      <c r="C361" s="6"/>
      <c r="D361" s="8"/>
      <c r="E361" s="8"/>
      <c r="F361" s="43"/>
      <c r="G361" s="43"/>
      <c r="H361" s="36"/>
      <c r="I361" s="6" t="s">
        <v>1095</v>
      </c>
      <c r="J361" s="6" t="s">
        <v>1216</v>
      </c>
      <c r="K361" s="6">
        <v>84</v>
      </c>
      <c r="L361" s="6" t="s">
        <v>1456</v>
      </c>
      <c r="M361" s="50">
        <v>0.62677641683279961</v>
      </c>
      <c r="N361" s="50">
        <v>7.9275083527386866E-2</v>
      </c>
      <c r="O361" s="50">
        <v>0.47349096184749517</v>
      </c>
      <c r="P361" s="50">
        <v>0.95466802076570478</v>
      </c>
    </row>
    <row r="362" spans="1:16" ht="18" customHeight="1" x14ac:dyDescent="0.15">
      <c r="A362" s="5" t="s">
        <v>1023</v>
      </c>
      <c r="B362" s="6" t="s">
        <v>1033</v>
      </c>
      <c r="C362" s="6"/>
      <c r="D362" s="8"/>
      <c r="E362" s="8"/>
      <c r="F362" s="43"/>
      <c r="G362" s="43"/>
      <c r="H362" s="36"/>
      <c r="I362" s="6" t="s">
        <v>1095</v>
      </c>
      <c r="J362" s="6" t="s">
        <v>1218</v>
      </c>
      <c r="K362" s="6">
        <v>84</v>
      </c>
      <c r="L362" s="6" t="s">
        <v>1457</v>
      </c>
      <c r="M362" s="50">
        <v>0.89861029894370292</v>
      </c>
      <c r="N362" s="50">
        <v>-0.14579325706186089</v>
      </c>
      <c r="O362" s="50">
        <v>0.18574281274860049</v>
      </c>
      <c r="P362" s="50">
        <v>0.97609564650031078</v>
      </c>
    </row>
    <row r="363" spans="1:16" ht="18" customHeight="1" x14ac:dyDescent="0.15">
      <c r="A363" s="5" t="s">
        <v>1023</v>
      </c>
      <c r="B363" s="6" t="s">
        <v>1033</v>
      </c>
      <c r="C363" s="6"/>
      <c r="D363" s="8"/>
      <c r="E363" s="8"/>
      <c r="F363" s="43"/>
      <c r="G363" s="43"/>
      <c r="H363" s="36"/>
      <c r="I363" s="6" t="s">
        <v>1095</v>
      </c>
      <c r="J363" s="6" t="s">
        <v>1220</v>
      </c>
      <c r="K363" s="6">
        <v>84</v>
      </c>
      <c r="L363" s="6" t="s">
        <v>1458</v>
      </c>
      <c r="M363" s="50">
        <v>0.99655144019668662</v>
      </c>
      <c r="N363" s="50">
        <v>-2.0066821909486679E-2</v>
      </c>
      <c r="O363" s="50">
        <v>0.85622792848797102</v>
      </c>
      <c r="P363" s="50">
        <v>0.99766671874927559</v>
      </c>
    </row>
    <row r="364" spans="1:16" ht="18" customHeight="1" x14ac:dyDescent="0.15">
      <c r="A364" s="5" t="s">
        <v>1023</v>
      </c>
      <c r="B364" s="6" t="s">
        <v>1033</v>
      </c>
      <c r="C364" s="6"/>
      <c r="D364" s="8"/>
      <c r="E364" s="8"/>
      <c r="F364" s="43"/>
      <c r="G364" s="43"/>
      <c r="H364" s="36"/>
      <c r="I364" s="6" t="s">
        <v>1095</v>
      </c>
      <c r="J364" s="6" t="s">
        <v>1222</v>
      </c>
      <c r="K364" s="6">
        <v>84</v>
      </c>
      <c r="L364" s="6" t="s">
        <v>1459</v>
      </c>
      <c r="M364" s="50">
        <v>0.18091079331232071</v>
      </c>
      <c r="N364" s="50">
        <v>-9.9868381087374697E-2</v>
      </c>
      <c r="O364" s="50">
        <v>0.36607156984966022</v>
      </c>
      <c r="P364" s="50">
        <v>0.95466802076570478</v>
      </c>
    </row>
    <row r="365" spans="1:16" ht="18" customHeight="1" x14ac:dyDescent="0.15">
      <c r="A365" s="5" t="s">
        <v>1023</v>
      </c>
      <c r="B365" s="6" t="s">
        <v>1033</v>
      </c>
      <c r="C365" s="6"/>
      <c r="D365" s="8"/>
      <c r="E365" s="8"/>
      <c r="F365" s="43"/>
      <c r="G365" s="43"/>
      <c r="H365" s="36"/>
      <c r="I365" s="6" t="s">
        <v>1095</v>
      </c>
      <c r="J365" s="6" t="s">
        <v>1224</v>
      </c>
      <c r="K365" s="6">
        <v>84</v>
      </c>
      <c r="L365" s="6" t="s">
        <v>1460</v>
      </c>
      <c r="M365" s="50">
        <v>0.75122022605427641</v>
      </c>
      <c r="N365" s="50">
        <v>-4.7646046370355369E-2</v>
      </c>
      <c r="O365" s="50">
        <v>0.66691589569207699</v>
      </c>
      <c r="P365" s="50">
        <v>0.95700793904120396</v>
      </c>
    </row>
    <row r="366" spans="1:16" ht="18" customHeight="1" x14ac:dyDescent="0.15">
      <c r="A366" s="5" t="s">
        <v>1023</v>
      </c>
      <c r="B366" s="6" t="s">
        <v>1033</v>
      </c>
      <c r="C366" s="6"/>
      <c r="D366" s="8"/>
      <c r="E366" s="8"/>
      <c r="F366" s="43"/>
      <c r="G366" s="43"/>
      <c r="H366" s="36"/>
      <c r="I366" s="6" t="s">
        <v>1095</v>
      </c>
      <c r="J366" s="6" t="s">
        <v>1226</v>
      </c>
      <c r="K366" s="6">
        <v>84</v>
      </c>
      <c r="L366" s="6" t="s">
        <v>1461</v>
      </c>
      <c r="M366" s="50">
        <v>0.76676432891169399</v>
      </c>
      <c r="N366" s="50">
        <v>4.3049508960210599E-2</v>
      </c>
      <c r="O366" s="50">
        <v>0.69740660701044943</v>
      </c>
      <c r="P366" s="50">
        <v>0.95700793904120396</v>
      </c>
    </row>
    <row r="367" spans="1:16" ht="18" customHeight="1" x14ac:dyDescent="0.15">
      <c r="A367" s="5" t="s">
        <v>1023</v>
      </c>
      <c r="B367" s="6" t="s">
        <v>1033</v>
      </c>
      <c r="C367" s="6"/>
      <c r="D367" s="8"/>
      <c r="E367" s="8"/>
      <c r="F367" s="43"/>
      <c r="G367" s="43"/>
      <c r="H367" s="36"/>
      <c r="I367" s="6" t="s">
        <v>1095</v>
      </c>
      <c r="J367" s="6" t="s">
        <v>1228</v>
      </c>
      <c r="K367" s="6">
        <v>84</v>
      </c>
      <c r="L367" s="6" t="s">
        <v>1462</v>
      </c>
      <c r="M367" s="50">
        <v>0.3645232992339299</v>
      </c>
      <c r="N367" s="50">
        <v>-6.4392021868988503E-3</v>
      </c>
      <c r="O367" s="50">
        <v>0.95364303800835037</v>
      </c>
      <c r="P367" s="50">
        <v>0.95466802076570478</v>
      </c>
    </row>
    <row r="368" spans="1:16" ht="18" customHeight="1" x14ac:dyDescent="0.15">
      <c r="A368" s="5" t="s">
        <v>1023</v>
      </c>
      <c r="B368" s="6" t="s">
        <v>1033</v>
      </c>
      <c r="C368" s="6"/>
      <c r="D368" s="8"/>
      <c r="E368" s="8"/>
      <c r="F368" s="43"/>
      <c r="G368" s="43"/>
      <c r="H368" s="36"/>
      <c r="I368" s="6" t="s">
        <v>1095</v>
      </c>
      <c r="J368" s="6" t="s">
        <v>1230</v>
      </c>
      <c r="K368" s="6">
        <v>84</v>
      </c>
      <c r="L368" s="6" t="s">
        <v>1463</v>
      </c>
      <c r="M368" s="50">
        <v>0.61362057049782348</v>
      </c>
      <c r="N368" s="50">
        <v>3.9667915358914653E-2</v>
      </c>
      <c r="O368" s="50">
        <v>0.72015178704326988</v>
      </c>
      <c r="P368" s="50">
        <v>0.95466802076570478</v>
      </c>
    </row>
    <row r="369" spans="1:16" ht="18" customHeight="1" x14ac:dyDescent="0.15">
      <c r="A369" s="5" t="s">
        <v>1023</v>
      </c>
      <c r="B369" s="6" t="s">
        <v>1033</v>
      </c>
      <c r="C369" s="6"/>
      <c r="D369" s="8"/>
      <c r="E369" s="8"/>
      <c r="F369" s="43"/>
      <c r="G369" s="43"/>
      <c r="H369" s="36"/>
      <c r="I369" s="6" t="s">
        <v>1095</v>
      </c>
      <c r="J369" s="6" t="s">
        <v>1232</v>
      </c>
      <c r="K369" s="6">
        <v>84</v>
      </c>
      <c r="L369" s="6" t="s">
        <v>1464</v>
      </c>
      <c r="M369" s="50">
        <v>0.4299055711690396</v>
      </c>
      <c r="N369" s="50">
        <v>0.1098309203199352</v>
      </c>
      <c r="O369" s="50">
        <v>0.31995676396755701</v>
      </c>
      <c r="P369" s="50">
        <v>0.95466802076570478</v>
      </c>
    </row>
    <row r="370" spans="1:16" ht="18" customHeight="1" x14ac:dyDescent="0.15">
      <c r="A370" s="5" t="s">
        <v>1023</v>
      </c>
      <c r="B370" s="6" t="s">
        <v>1033</v>
      </c>
      <c r="C370" s="6"/>
      <c r="D370" s="8"/>
      <c r="E370" s="8"/>
      <c r="F370" s="43"/>
      <c r="G370" s="43"/>
      <c r="H370" s="36"/>
      <c r="I370" s="6" t="s">
        <v>1095</v>
      </c>
      <c r="J370" s="6" t="s">
        <v>1234</v>
      </c>
      <c r="K370" s="6">
        <v>84</v>
      </c>
      <c r="L370" s="6" t="s">
        <v>1465</v>
      </c>
      <c r="M370" s="50">
        <v>0.29874282995199453</v>
      </c>
      <c r="N370" s="50">
        <v>-0.13255036954540861</v>
      </c>
      <c r="O370" s="50">
        <v>0.2293817123031634</v>
      </c>
      <c r="P370" s="50">
        <v>0.95466802076570478</v>
      </c>
    </row>
    <row r="371" spans="1:16" ht="18" customHeight="1" x14ac:dyDescent="0.15">
      <c r="A371" s="5" t="s">
        <v>1023</v>
      </c>
      <c r="B371" s="6" t="s">
        <v>1033</v>
      </c>
      <c r="C371" s="6"/>
      <c r="D371" s="8"/>
      <c r="E371" s="8"/>
      <c r="F371" s="43"/>
      <c r="G371" s="43"/>
      <c r="H371" s="36"/>
      <c r="I371" s="6" t="s">
        <v>1095</v>
      </c>
      <c r="J371" s="6" t="s">
        <v>1236</v>
      </c>
      <c r="K371" s="6">
        <v>84</v>
      </c>
      <c r="L371" s="6" t="s">
        <v>1466</v>
      </c>
      <c r="M371" s="50">
        <v>0.4953477067391483</v>
      </c>
      <c r="N371" s="50">
        <v>-7.0648982484560099E-2</v>
      </c>
      <c r="O371" s="50">
        <v>0.52307983752785914</v>
      </c>
      <c r="P371" s="50">
        <v>0.95466802076570478</v>
      </c>
    </row>
    <row r="372" spans="1:16" ht="18" customHeight="1" x14ac:dyDescent="0.15">
      <c r="A372" s="5" t="s">
        <v>1023</v>
      </c>
      <c r="B372" s="6" t="s">
        <v>1033</v>
      </c>
      <c r="C372" s="6"/>
      <c r="D372" s="8"/>
      <c r="E372" s="8"/>
      <c r="F372" s="43"/>
      <c r="G372" s="43"/>
      <c r="H372" s="36"/>
      <c r="I372" s="6" t="s">
        <v>1095</v>
      </c>
      <c r="J372" s="6" t="s">
        <v>1238</v>
      </c>
      <c r="K372" s="6">
        <v>84</v>
      </c>
      <c r="L372" s="6" t="s">
        <v>1467</v>
      </c>
      <c r="M372" s="50">
        <v>0.62610661863591777</v>
      </c>
      <c r="N372" s="50">
        <v>1.4235091627012249E-2</v>
      </c>
      <c r="O372" s="50">
        <v>0.89773876767958416</v>
      </c>
      <c r="P372" s="50">
        <v>0.95466802076570478</v>
      </c>
    </row>
    <row r="373" spans="1:16" ht="18" customHeight="1" x14ac:dyDescent="0.15">
      <c r="A373" s="5" t="s">
        <v>1023</v>
      </c>
      <c r="B373" s="6" t="s">
        <v>1033</v>
      </c>
      <c r="C373" s="6"/>
      <c r="D373" s="8"/>
      <c r="E373" s="8"/>
      <c r="F373" s="43"/>
      <c r="G373" s="43"/>
      <c r="H373" s="36"/>
      <c r="I373" s="6" t="s">
        <v>1095</v>
      </c>
      <c r="J373" s="6" t="s">
        <v>1240</v>
      </c>
      <c r="K373" s="6">
        <v>84</v>
      </c>
      <c r="L373" s="6" t="s">
        <v>1468</v>
      </c>
      <c r="M373" s="50">
        <v>0.97384865139715016</v>
      </c>
      <c r="N373" s="50">
        <v>-3.1122810570011129E-2</v>
      </c>
      <c r="O373" s="50">
        <v>0.77868027564496434</v>
      </c>
      <c r="P373" s="50">
        <v>0.983685506461768</v>
      </c>
    </row>
    <row r="374" spans="1:16" ht="18" customHeight="1" x14ac:dyDescent="0.15">
      <c r="A374" s="5" t="s">
        <v>1023</v>
      </c>
      <c r="B374" s="6" t="s">
        <v>1033</v>
      </c>
      <c r="C374" s="6"/>
      <c r="D374" s="8"/>
      <c r="E374" s="8"/>
      <c r="F374" s="43"/>
      <c r="G374" s="43"/>
      <c r="H374" s="36"/>
      <c r="I374" s="6" t="s">
        <v>1095</v>
      </c>
      <c r="J374" s="6" t="s">
        <v>1242</v>
      </c>
      <c r="K374" s="6">
        <v>84</v>
      </c>
      <c r="L374" s="6" t="s">
        <v>1469</v>
      </c>
      <c r="M374" s="50">
        <v>0.17646584061757811</v>
      </c>
      <c r="N374" s="50">
        <v>-0.1069960514326212</v>
      </c>
      <c r="O374" s="50">
        <v>0.33268202667597641</v>
      </c>
      <c r="P374" s="50">
        <v>0.95466802076570478</v>
      </c>
    </row>
    <row r="375" spans="1:16" ht="18" customHeight="1" x14ac:dyDescent="0.15">
      <c r="A375" s="5" t="s">
        <v>1023</v>
      </c>
      <c r="B375" s="6" t="s">
        <v>1033</v>
      </c>
      <c r="C375" s="6"/>
      <c r="D375" s="8"/>
      <c r="E375" s="8"/>
      <c r="F375" s="43"/>
      <c r="G375" s="43"/>
      <c r="H375" s="36"/>
      <c r="I375" s="6" t="s">
        <v>1095</v>
      </c>
      <c r="J375" s="6" t="s">
        <v>1244</v>
      </c>
      <c r="K375" s="6">
        <v>84</v>
      </c>
      <c r="L375" s="6" t="s">
        <v>1470</v>
      </c>
      <c r="M375" s="50">
        <v>0.75238850773527788</v>
      </c>
      <c r="N375" s="50">
        <v>2.4724106510073909E-2</v>
      </c>
      <c r="O375" s="50">
        <v>0.82334954743361233</v>
      </c>
      <c r="P375" s="50">
        <v>0.95700793904120396</v>
      </c>
    </row>
    <row r="376" spans="1:16" ht="18" customHeight="1" x14ac:dyDescent="0.15">
      <c r="A376" s="5" t="s">
        <v>1023</v>
      </c>
      <c r="B376" s="6" t="s">
        <v>1033</v>
      </c>
      <c r="C376" s="6"/>
      <c r="D376" s="8"/>
      <c r="E376" s="8"/>
      <c r="F376" s="43"/>
      <c r="G376" s="43"/>
      <c r="H376" s="36"/>
      <c r="I376" s="6" t="s">
        <v>1095</v>
      </c>
      <c r="J376" s="6" t="s">
        <v>1246</v>
      </c>
      <c r="K376" s="6">
        <v>84</v>
      </c>
      <c r="L376" s="6" t="s">
        <v>1471</v>
      </c>
      <c r="M376" s="50">
        <v>0.83974861715877114</v>
      </c>
      <c r="N376" s="50">
        <v>-0.11900374607674399</v>
      </c>
      <c r="O376" s="50">
        <v>0.28095277792081252</v>
      </c>
      <c r="P376" s="50">
        <v>0.95700793904120396</v>
      </c>
    </row>
    <row r="377" spans="1:16" ht="18" customHeight="1" x14ac:dyDescent="0.15">
      <c r="A377" s="5" t="s">
        <v>1023</v>
      </c>
      <c r="B377" s="6" t="s">
        <v>1033</v>
      </c>
      <c r="C377" s="6"/>
      <c r="D377" s="8"/>
      <c r="E377" s="8"/>
      <c r="F377" s="43"/>
      <c r="G377" s="43"/>
      <c r="H377" s="36"/>
      <c r="I377" s="6" t="s">
        <v>1095</v>
      </c>
      <c r="J377" s="6" t="s">
        <v>1248</v>
      </c>
      <c r="K377" s="6">
        <v>84</v>
      </c>
      <c r="L377" s="6" t="s">
        <v>1472</v>
      </c>
      <c r="M377" s="50">
        <v>0.29201959153127072</v>
      </c>
      <c r="N377" s="50">
        <v>0.15632277007188419</v>
      </c>
      <c r="O377" s="50">
        <v>0.15560754290969231</v>
      </c>
      <c r="P377" s="50">
        <v>0.95466802076570478</v>
      </c>
    </row>
    <row r="378" spans="1:16" ht="18" customHeight="1" x14ac:dyDescent="0.15">
      <c r="A378" s="5" t="s">
        <v>1023</v>
      </c>
      <c r="B378" s="6" t="s">
        <v>1033</v>
      </c>
      <c r="C378" s="6"/>
      <c r="D378" s="8"/>
      <c r="E378" s="8"/>
      <c r="F378" s="43"/>
      <c r="G378" s="43"/>
      <c r="H378" s="36"/>
      <c r="I378" s="6" t="s">
        <v>1095</v>
      </c>
      <c r="J378" s="6" t="s">
        <v>1250</v>
      </c>
      <c r="K378" s="6">
        <v>84</v>
      </c>
      <c r="L378" s="6" t="s">
        <v>1473</v>
      </c>
      <c r="M378" s="50">
        <v>0.33586851272892609</v>
      </c>
      <c r="N378" s="50">
        <v>9.4482130201478207E-2</v>
      </c>
      <c r="O378" s="50">
        <v>0.39261621844330619</v>
      </c>
      <c r="P378" s="50">
        <v>0.95466802076570478</v>
      </c>
    </row>
    <row r="379" spans="1:16" ht="18" customHeight="1" x14ac:dyDescent="0.15">
      <c r="A379" s="5" t="s">
        <v>1023</v>
      </c>
      <c r="B379" s="6" t="s">
        <v>1033</v>
      </c>
      <c r="C379" s="6"/>
      <c r="D379" s="8"/>
      <c r="E379" s="8"/>
      <c r="F379" s="43"/>
      <c r="G379" s="43"/>
      <c r="H379" s="36"/>
      <c r="I379" s="6" t="s">
        <v>1095</v>
      </c>
      <c r="J379" s="6" t="s">
        <v>1252</v>
      </c>
      <c r="K379" s="6">
        <v>84</v>
      </c>
      <c r="L379" s="6" t="s">
        <v>1474</v>
      </c>
      <c r="M379" s="50">
        <v>0.35323934404716623</v>
      </c>
      <c r="N379" s="50">
        <v>-0.1076642705274881</v>
      </c>
      <c r="O379" s="50">
        <v>0.32965398815189401</v>
      </c>
      <c r="P379" s="50">
        <v>0.95466802076570478</v>
      </c>
    </row>
    <row r="380" spans="1:16" ht="18" customHeight="1" x14ac:dyDescent="0.15">
      <c r="A380" s="5" t="s">
        <v>1023</v>
      </c>
      <c r="B380" s="6" t="s">
        <v>1033</v>
      </c>
      <c r="C380" s="6"/>
      <c r="D380" s="8"/>
      <c r="E380" s="8"/>
      <c r="F380" s="43"/>
      <c r="G380" s="43"/>
      <c r="H380" s="36"/>
      <c r="I380" s="6" t="s">
        <v>1095</v>
      </c>
      <c r="J380" s="6" t="s">
        <v>1254</v>
      </c>
      <c r="K380" s="6">
        <v>84</v>
      </c>
      <c r="L380" s="6" t="s">
        <v>1475</v>
      </c>
      <c r="M380" s="50">
        <v>0.92786740536500845</v>
      </c>
      <c r="N380" s="50">
        <v>6.1354662346866399E-3</v>
      </c>
      <c r="O380" s="50">
        <v>0.95582743862174402</v>
      </c>
      <c r="P380" s="50">
        <v>0.97609564650031078</v>
      </c>
    </row>
    <row r="381" spans="1:16" ht="18" customHeight="1" x14ac:dyDescent="0.15">
      <c r="A381" s="5" t="s">
        <v>1023</v>
      </c>
      <c r="B381" s="6" t="s">
        <v>1033</v>
      </c>
      <c r="C381" s="6"/>
      <c r="D381" s="8"/>
      <c r="E381" s="8"/>
      <c r="F381" s="43"/>
      <c r="G381" s="43"/>
      <c r="H381" s="36"/>
      <c r="I381" s="6" t="s">
        <v>1095</v>
      </c>
      <c r="J381" s="6" t="s">
        <v>1256</v>
      </c>
      <c r="K381" s="6">
        <v>84</v>
      </c>
      <c r="L381" s="6" t="s">
        <v>1476</v>
      </c>
      <c r="M381" s="50">
        <v>0.77799797983930974</v>
      </c>
      <c r="N381" s="50">
        <v>1.212918902500759E-2</v>
      </c>
      <c r="O381" s="50">
        <v>0.91280261700644905</v>
      </c>
      <c r="P381" s="50">
        <v>0.95700793904120396</v>
      </c>
    </row>
    <row r="382" spans="1:16" ht="18" customHeight="1" x14ac:dyDescent="0.15">
      <c r="A382" s="5" t="s">
        <v>1023</v>
      </c>
      <c r="B382" s="6" t="s">
        <v>1033</v>
      </c>
      <c r="C382" s="6"/>
      <c r="D382" s="8"/>
      <c r="E382" s="8"/>
      <c r="F382" s="43"/>
      <c r="G382" s="43"/>
      <c r="H382" s="36"/>
      <c r="I382" s="6" t="s">
        <v>1095</v>
      </c>
      <c r="J382" s="6" t="s">
        <v>1258</v>
      </c>
      <c r="K382" s="6">
        <v>84</v>
      </c>
      <c r="L382" s="6" t="s">
        <v>1477</v>
      </c>
      <c r="M382" s="50">
        <v>0.66187695781117095</v>
      </c>
      <c r="N382" s="50">
        <v>-6.0747190442442041E-2</v>
      </c>
      <c r="O382" s="50">
        <v>0.58305885944651981</v>
      </c>
      <c r="P382" s="50">
        <v>0.95700793904120396</v>
      </c>
    </row>
    <row r="383" spans="1:16" ht="18" customHeight="1" x14ac:dyDescent="0.15">
      <c r="A383" s="5" t="s">
        <v>1023</v>
      </c>
      <c r="B383" s="6" t="s">
        <v>1033</v>
      </c>
      <c r="C383" s="6"/>
      <c r="D383" s="8"/>
      <c r="E383" s="8"/>
      <c r="F383" s="43"/>
      <c r="G383" s="43"/>
      <c r="H383" s="36"/>
      <c r="I383" s="6" t="s">
        <v>1095</v>
      </c>
      <c r="J383" s="6" t="s">
        <v>1260</v>
      </c>
      <c r="K383" s="6">
        <v>84</v>
      </c>
      <c r="L383" s="6" t="s">
        <v>1478</v>
      </c>
      <c r="M383" s="50">
        <v>0.71296757270333366</v>
      </c>
      <c r="N383" s="50">
        <v>-8.6908980459653756E-2</v>
      </c>
      <c r="O383" s="50">
        <v>0.43181605231036002</v>
      </c>
      <c r="P383" s="50">
        <v>0.95700793904120396</v>
      </c>
    </row>
    <row r="384" spans="1:16" ht="18" customHeight="1" x14ac:dyDescent="0.15">
      <c r="A384" s="5" t="s">
        <v>1023</v>
      </c>
      <c r="B384" s="6" t="s">
        <v>1033</v>
      </c>
      <c r="C384" s="6"/>
      <c r="D384" s="8"/>
      <c r="E384" s="8"/>
      <c r="F384" s="43"/>
      <c r="G384" s="43"/>
      <c r="H384" s="36"/>
      <c r="I384" s="6" t="s">
        <v>1095</v>
      </c>
      <c r="J384" s="6" t="s">
        <v>1262</v>
      </c>
      <c r="K384" s="6">
        <v>84</v>
      </c>
      <c r="L384" s="6" t="s">
        <v>1479</v>
      </c>
      <c r="M384" s="50">
        <v>0.36515058910419901</v>
      </c>
      <c r="N384" s="50">
        <v>7.4233066720664181E-2</v>
      </c>
      <c r="O384" s="50">
        <v>0.50216337671143918</v>
      </c>
      <c r="P384" s="50">
        <v>0.95466802076570478</v>
      </c>
    </row>
    <row r="385" spans="1:16" ht="18" customHeight="1" x14ac:dyDescent="0.15">
      <c r="A385" s="5" t="s">
        <v>1023</v>
      </c>
      <c r="B385" s="6" t="s">
        <v>1033</v>
      </c>
      <c r="C385" s="6"/>
      <c r="D385" s="8"/>
      <c r="E385" s="8"/>
      <c r="F385" s="43"/>
      <c r="G385" s="43"/>
      <c r="H385" s="36"/>
      <c r="I385" s="6" t="s">
        <v>1095</v>
      </c>
      <c r="J385" s="6" t="s">
        <v>1264</v>
      </c>
      <c r="K385" s="6">
        <v>84</v>
      </c>
      <c r="L385" s="6" t="s">
        <v>1480</v>
      </c>
      <c r="M385" s="50">
        <v>0.83684040371289548</v>
      </c>
      <c r="N385" s="50">
        <v>-6.0909182950288548E-2</v>
      </c>
      <c r="O385" s="50">
        <v>0.5820528040948123</v>
      </c>
      <c r="P385" s="50">
        <v>0.95700793904120396</v>
      </c>
    </row>
    <row r="386" spans="1:16" ht="18" customHeight="1" x14ac:dyDescent="0.15">
      <c r="A386" s="5" t="s">
        <v>1023</v>
      </c>
      <c r="B386" s="6" t="s">
        <v>1033</v>
      </c>
      <c r="C386" s="6"/>
      <c r="D386" s="8"/>
      <c r="E386" s="8"/>
      <c r="F386" s="43"/>
      <c r="G386" s="43"/>
      <c r="H386" s="36"/>
      <c r="I386" s="6" t="s">
        <v>1095</v>
      </c>
      <c r="J386" s="6" t="s">
        <v>1266</v>
      </c>
      <c r="K386" s="6">
        <v>84</v>
      </c>
      <c r="L386" s="6" t="s">
        <v>1481</v>
      </c>
      <c r="M386" s="50">
        <v>0.32272804874860411</v>
      </c>
      <c r="N386" s="50">
        <v>0.10802875367014279</v>
      </c>
      <c r="O386" s="50">
        <v>0.32800974031137858</v>
      </c>
      <c r="P386" s="50">
        <v>0.95466802076570478</v>
      </c>
    </row>
    <row r="387" spans="1:16" ht="18" customHeight="1" x14ac:dyDescent="0.15">
      <c r="A387" s="5" t="s">
        <v>1023</v>
      </c>
      <c r="B387" s="6" t="s">
        <v>1033</v>
      </c>
      <c r="C387" s="6"/>
      <c r="D387" s="8"/>
      <c r="E387" s="8"/>
      <c r="F387" s="43"/>
      <c r="G387" s="43"/>
      <c r="H387" s="36"/>
      <c r="I387" s="6" t="s">
        <v>1095</v>
      </c>
      <c r="J387" s="6" t="s">
        <v>1268</v>
      </c>
      <c r="K387" s="6">
        <v>84</v>
      </c>
      <c r="L387" s="6" t="s">
        <v>1482</v>
      </c>
      <c r="M387" s="50">
        <v>0.27992865443223508</v>
      </c>
      <c r="N387" s="50">
        <v>-0.152212210185279</v>
      </c>
      <c r="O387" s="50">
        <v>0.16690618060717041</v>
      </c>
      <c r="P387" s="50">
        <v>0.95466802076570478</v>
      </c>
    </row>
    <row r="388" spans="1:16" ht="18" customHeight="1" x14ac:dyDescent="0.15">
      <c r="A388" s="5" t="s">
        <v>1023</v>
      </c>
      <c r="B388" s="6" t="s">
        <v>1033</v>
      </c>
      <c r="C388" s="6"/>
      <c r="D388" s="8"/>
      <c r="E388" s="8"/>
      <c r="F388" s="43"/>
      <c r="G388" s="43"/>
      <c r="H388" s="36"/>
      <c r="I388" s="6" t="s">
        <v>1095</v>
      </c>
      <c r="J388" s="6" t="s">
        <v>1270</v>
      </c>
      <c r="K388" s="6">
        <v>84</v>
      </c>
      <c r="L388" s="6" t="s">
        <v>1483</v>
      </c>
      <c r="M388" s="50">
        <v>0.60547089024723899</v>
      </c>
      <c r="N388" s="50">
        <v>-6.7024400121494382E-2</v>
      </c>
      <c r="O388" s="50">
        <v>0.54467006725933298</v>
      </c>
      <c r="P388" s="50">
        <v>0.95466802076570478</v>
      </c>
    </row>
    <row r="389" spans="1:16" ht="18" customHeight="1" x14ac:dyDescent="0.15">
      <c r="A389" s="5" t="s">
        <v>1023</v>
      </c>
      <c r="B389" s="6" t="s">
        <v>1033</v>
      </c>
      <c r="C389" s="6"/>
      <c r="D389" s="8"/>
      <c r="E389" s="8"/>
      <c r="F389" s="43"/>
      <c r="G389" s="43"/>
      <c r="H389" s="36"/>
      <c r="I389" s="6" t="s">
        <v>1095</v>
      </c>
      <c r="J389" s="6" t="s">
        <v>1272</v>
      </c>
      <c r="K389" s="6">
        <v>84</v>
      </c>
      <c r="L389" s="6" t="s">
        <v>1484</v>
      </c>
      <c r="M389" s="50">
        <v>0.20046395649567469</v>
      </c>
      <c r="N389" s="50">
        <v>-0.19212311430596329</v>
      </c>
      <c r="O389" s="50">
        <v>7.9979828654493296E-2</v>
      </c>
      <c r="P389" s="50">
        <v>0.95466802076570478</v>
      </c>
    </row>
    <row r="390" spans="1:16" ht="18" customHeight="1" x14ac:dyDescent="0.15">
      <c r="A390" s="5" t="s">
        <v>1023</v>
      </c>
      <c r="B390" s="6" t="s">
        <v>1033</v>
      </c>
      <c r="C390" s="6"/>
      <c r="D390" s="8"/>
      <c r="E390" s="8"/>
      <c r="F390" s="43"/>
      <c r="G390" s="43"/>
      <c r="H390" s="36"/>
      <c r="I390" s="6" t="s">
        <v>1095</v>
      </c>
      <c r="J390" s="6" t="s">
        <v>1274</v>
      </c>
      <c r="K390" s="6">
        <v>84</v>
      </c>
      <c r="L390" s="6" t="s">
        <v>1485</v>
      </c>
      <c r="M390" s="50">
        <v>0.86081104684793797</v>
      </c>
      <c r="N390" s="50">
        <v>1.2108939961526779E-2</v>
      </c>
      <c r="O390" s="50">
        <v>0.91294761977111361</v>
      </c>
      <c r="P390" s="50">
        <v>0.95811258889703843</v>
      </c>
    </row>
    <row r="391" spans="1:16" ht="18" customHeight="1" x14ac:dyDescent="0.15">
      <c r="A391" s="5" t="s">
        <v>1023</v>
      </c>
      <c r="B391" s="6" t="s">
        <v>1033</v>
      </c>
      <c r="C391" s="6"/>
      <c r="D391" s="8"/>
      <c r="E391" s="8"/>
      <c r="F391" s="43"/>
      <c r="G391" s="43"/>
      <c r="H391" s="36"/>
      <c r="I391" s="6" t="s">
        <v>1095</v>
      </c>
      <c r="J391" s="6" t="s">
        <v>1276</v>
      </c>
      <c r="K391" s="6">
        <v>84</v>
      </c>
      <c r="L391" s="6" t="s">
        <v>1486</v>
      </c>
      <c r="M391" s="50">
        <v>0.56765511955623582</v>
      </c>
      <c r="N391" s="50">
        <v>-0.13010023286423</v>
      </c>
      <c r="O391" s="50">
        <v>0.23818213261615839</v>
      </c>
      <c r="P391" s="50">
        <v>0.95466802076570478</v>
      </c>
    </row>
    <row r="392" spans="1:16" ht="18" customHeight="1" x14ac:dyDescent="0.15">
      <c r="A392" s="5" t="s">
        <v>1023</v>
      </c>
      <c r="B392" s="6" t="s">
        <v>1033</v>
      </c>
      <c r="C392" s="6"/>
      <c r="D392" s="8"/>
      <c r="E392" s="8"/>
      <c r="F392" s="43"/>
      <c r="G392" s="43"/>
      <c r="H392" s="36"/>
      <c r="I392" s="6" t="s">
        <v>1095</v>
      </c>
      <c r="J392" s="6" t="s">
        <v>1278</v>
      </c>
      <c r="K392" s="6">
        <v>84</v>
      </c>
      <c r="L392" s="6" t="s">
        <v>1487</v>
      </c>
      <c r="M392" s="50">
        <v>0.93394818031223603</v>
      </c>
      <c r="N392" s="50">
        <v>-0.14135871215956261</v>
      </c>
      <c r="O392" s="50">
        <v>0.19962779091324781</v>
      </c>
      <c r="P392" s="50">
        <v>0.97609564650031078</v>
      </c>
    </row>
    <row r="393" spans="1:16" ht="18" customHeight="1" x14ac:dyDescent="0.15">
      <c r="A393" s="5" t="s">
        <v>1023</v>
      </c>
      <c r="B393" s="6" t="s">
        <v>1033</v>
      </c>
      <c r="C393" s="6"/>
      <c r="D393" s="8"/>
      <c r="E393" s="8"/>
      <c r="F393" s="43"/>
      <c r="G393" s="43"/>
      <c r="H393" s="36"/>
      <c r="I393" s="6" t="s">
        <v>1095</v>
      </c>
      <c r="J393" s="6" t="s">
        <v>1280</v>
      </c>
      <c r="K393" s="6">
        <v>84</v>
      </c>
      <c r="L393" s="6" t="s">
        <v>1488</v>
      </c>
      <c r="M393" s="50">
        <v>0.8406782654462317</v>
      </c>
      <c r="N393" s="50">
        <v>7.5346765212108938E-2</v>
      </c>
      <c r="O393" s="50">
        <v>0.49575353659973742</v>
      </c>
      <c r="P393" s="50">
        <v>0.95700793904120396</v>
      </c>
    </row>
    <row r="394" spans="1:16" ht="18" customHeight="1" x14ac:dyDescent="0.15">
      <c r="A394" s="5" t="s">
        <v>1023</v>
      </c>
      <c r="B394" s="6" t="s">
        <v>1033</v>
      </c>
      <c r="C394" s="6"/>
      <c r="D394" s="8"/>
      <c r="E394" s="8"/>
      <c r="F394" s="43"/>
      <c r="G394" s="43"/>
      <c r="H394" s="36"/>
      <c r="I394" s="6" t="s">
        <v>1095</v>
      </c>
      <c r="J394" s="6" t="s">
        <v>1282</v>
      </c>
      <c r="K394" s="6">
        <v>84</v>
      </c>
      <c r="L394" s="6" t="s">
        <v>1489</v>
      </c>
      <c r="M394" s="50">
        <v>0.92888015249842804</v>
      </c>
      <c r="N394" s="50">
        <v>-1.7009213323883701E-3</v>
      </c>
      <c r="O394" s="50">
        <v>0.98774846719638243</v>
      </c>
      <c r="P394" s="50">
        <v>0.97609564650031078</v>
      </c>
    </row>
    <row r="395" spans="1:16" ht="18" customHeight="1" x14ac:dyDescent="0.15">
      <c r="A395" s="5" t="s">
        <v>1023</v>
      </c>
      <c r="B395" s="6" t="s">
        <v>1033</v>
      </c>
      <c r="C395" s="6"/>
      <c r="D395" s="8"/>
      <c r="E395" s="8"/>
      <c r="F395" s="43"/>
      <c r="G395" s="43"/>
      <c r="H395" s="36"/>
      <c r="I395" s="6" t="s">
        <v>1095</v>
      </c>
      <c r="J395" s="6" t="s">
        <v>1284</v>
      </c>
      <c r="K395" s="6">
        <v>84</v>
      </c>
      <c r="L395" s="6" t="s">
        <v>1490</v>
      </c>
      <c r="M395" s="50">
        <v>0.7263394967344815</v>
      </c>
      <c r="N395" s="50">
        <v>4.1713070770476798E-3</v>
      </c>
      <c r="O395" s="50">
        <v>0.96996038461356637</v>
      </c>
      <c r="P395" s="50">
        <v>0.95700793904120396</v>
      </c>
    </row>
    <row r="396" spans="1:16" ht="18" customHeight="1" x14ac:dyDescent="0.15">
      <c r="A396" s="5" t="s">
        <v>1023</v>
      </c>
      <c r="B396" s="6" t="s">
        <v>1033</v>
      </c>
      <c r="C396" s="6"/>
      <c r="D396" s="8"/>
      <c r="E396" s="8"/>
      <c r="F396" s="43"/>
      <c r="G396" s="43"/>
      <c r="H396" s="36"/>
      <c r="I396" s="6" t="s">
        <v>1095</v>
      </c>
      <c r="J396" s="6" t="s">
        <v>1286</v>
      </c>
      <c r="K396" s="6">
        <v>84</v>
      </c>
      <c r="L396" s="6" t="s">
        <v>1491</v>
      </c>
      <c r="M396" s="50">
        <v>0.94536985436273802</v>
      </c>
      <c r="N396" s="50">
        <v>1.6219499848132021E-2</v>
      </c>
      <c r="O396" s="50">
        <v>0.88357692062060011</v>
      </c>
      <c r="P396" s="50">
        <v>0.97609564650031078</v>
      </c>
    </row>
    <row r="397" spans="1:16" ht="18" customHeight="1" x14ac:dyDescent="0.15">
      <c r="A397" s="5" t="s">
        <v>1023</v>
      </c>
      <c r="B397" s="6" t="s">
        <v>1033</v>
      </c>
      <c r="C397" s="6"/>
      <c r="D397" s="8"/>
      <c r="E397" s="8"/>
      <c r="F397" s="43"/>
      <c r="G397" s="43"/>
      <c r="H397" s="36"/>
      <c r="I397" s="6" t="s">
        <v>1095</v>
      </c>
      <c r="J397" s="6" t="s">
        <v>1288</v>
      </c>
      <c r="K397" s="6">
        <v>84</v>
      </c>
      <c r="L397" s="6" t="s">
        <v>1492</v>
      </c>
      <c r="M397" s="50">
        <v>0.3095263519610208</v>
      </c>
      <c r="N397" s="50">
        <v>-0.13467652121089399</v>
      </c>
      <c r="O397" s="50">
        <v>0.22193117379826119</v>
      </c>
      <c r="P397" s="50">
        <v>0.95466802076570478</v>
      </c>
    </row>
    <row r="398" spans="1:16" ht="18" customHeight="1" x14ac:dyDescent="0.15">
      <c r="A398" s="5" t="s">
        <v>1023</v>
      </c>
      <c r="B398" s="6" t="s">
        <v>1033</v>
      </c>
      <c r="C398" s="6"/>
      <c r="D398" s="8"/>
      <c r="E398" s="8"/>
      <c r="F398" s="43"/>
      <c r="G398" s="43"/>
      <c r="H398" s="36"/>
      <c r="I398" s="6" t="s">
        <v>1095</v>
      </c>
      <c r="J398" s="6" t="s">
        <v>1290</v>
      </c>
      <c r="K398" s="6">
        <v>84</v>
      </c>
      <c r="L398" s="6" t="s">
        <v>1493</v>
      </c>
      <c r="M398" s="50">
        <v>0.97002154384255557</v>
      </c>
      <c r="N398" s="50">
        <v>3.7987243090007089E-2</v>
      </c>
      <c r="O398" s="50">
        <v>0.7315488579254148</v>
      </c>
      <c r="P398" s="50">
        <v>0.98265614600822682</v>
      </c>
    </row>
    <row r="399" spans="1:16" ht="18" customHeight="1" x14ac:dyDescent="0.15">
      <c r="A399" s="5" t="s">
        <v>1023</v>
      </c>
      <c r="B399" s="6" t="s">
        <v>1033</v>
      </c>
      <c r="C399" s="6"/>
      <c r="D399" s="8"/>
      <c r="E399" s="8"/>
      <c r="F399" s="43"/>
      <c r="G399" s="43"/>
      <c r="H399" s="36"/>
      <c r="I399" s="6" t="s">
        <v>1095</v>
      </c>
      <c r="J399" s="6" t="s">
        <v>1292</v>
      </c>
      <c r="K399" s="6">
        <v>84</v>
      </c>
      <c r="L399" s="6" t="s">
        <v>1494</v>
      </c>
      <c r="M399" s="50">
        <v>2.34764993912536E-2</v>
      </c>
      <c r="N399" s="50">
        <v>0.25420674293813911</v>
      </c>
      <c r="O399" s="50">
        <v>1.962690608495548E-2</v>
      </c>
      <c r="P399" s="50">
        <v>0.95466802076570478</v>
      </c>
    </row>
    <row r="400" spans="1:16" ht="18" customHeight="1" x14ac:dyDescent="0.15">
      <c r="A400" s="5" t="s">
        <v>1023</v>
      </c>
      <c r="B400" s="6" t="s">
        <v>1033</v>
      </c>
      <c r="C400" s="6"/>
      <c r="D400" s="8"/>
      <c r="E400" s="8"/>
      <c r="F400" s="43"/>
      <c r="G400" s="43"/>
      <c r="H400" s="36"/>
      <c r="I400" s="6" t="s">
        <v>1095</v>
      </c>
      <c r="J400" s="6" t="s">
        <v>1294</v>
      </c>
      <c r="K400" s="6">
        <v>84</v>
      </c>
      <c r="L400" s="6" t="s">
        <v>1495</v>
      </c>
      <c r="M400" s="50">
        <v>0.38740951503079152</v>
      </c>
      <c r="N400" s="50">
        <v>-0.12797408119874459</v>
      </c>
      <c r="O400" s="50">
        <v>0.24600622241630871</v>
      </c>
      <c r="P400" s="50">
        <v>0.95466802076570478</v>
      </c>
    </row>
    <row r="401" spans="1:16" ht="18" customHeight="1" x14ac:dyDescent="0.15">
      <c r="A401" s="5" t="s">
        <v>1023</v>
      </c>
      <c r="B401" s="6" t="s">
        <v>1036</v>
      </c>
      <c r="C401" s="6"/>
      <c r="D401" s="8"/>
      <c r="E401" s="8"/>
      <c r="F401" s="43"/>
      <c r="G401" s="43"/>
      <c r="H401" s="36"/>
      <c r="I401" s="6" t="s">
        <v>1095</v>
      </c>
      <c r="J401" s="6" t="s">
        <v>1096</v>
      </c>
      <c r="K401" s="6">
        <v>80</v>
      </c>
      <c r="L401" s="6" t="s">
        <v>1496</v>
      </c>
      <c r="M401" s="50">
        <v>0.69587959025886514</v>
      </c>
      <c r="N401" s="50">
        <v>0.193694327238631</v>
      </c>
      <c r="O401" s="50">
        <v>8.5154191055809444E-2</v>
      </c>
      <c r="P401" s="50">
        <v>0.95700793904120396</v>
      </c>
    </row>
    <row r="402" spans="1:16" ht="18" customHeight="1" x14ac:dyDescent="0.15">
      <c r="A402" s="5" t="s">
        <v>1023</v>
      </c>
      <c r="B402" s="6" t="s">
        <v>1036</v>
      </c>
      <c r="C402" s="6"/>
      <c r="D402" s="8"/>
      <c r="E402" s="8"/>
      <c r="F402" s="43"/>
      <c r="G402" s="43"/>
      <c r="H402" s="36"/>
      <c r="I402" s="6" t="s">
        <v>1095</v>
      </c>
      <c r="J402" s="6" t="s">
        <v>1098</v>
      </c>
      <c r="K402" s="6">
        <v>80</v>
      </c>
      <c r="L402" s="6" t="s">
        <v>1497</v>
      </c>
      <c r="M402" s="50">
        <v>0.96493793188422583</v>
      </c>
      <c r="N402" s="50">
        <v>9.1068917018284096E-2</v>
      </c>
      <c r="O402" s="50">
        <v>0.42174541936870252</v>
      </c>
      <c r="P402" s="50">
        <v>0.98212512151066245</v>
      </c>
    </row>
    <row r="403" spans="1:16" ht="18" customHeight="1" x14ac:dyDescent="0.15">
      <c r="A403" s="5" t="s">
        <v>1023</v>
      </c>
      <c r="B403" s="6" t="s">
        <v>1036</v>
      </c>
      <c r="C403" s="6"/>
      <c r="D403" s="8"/>
      <c r="E403" s="8"/>
      <c r="F403" s="43"/>
      <c r="G403" s="43"/>
      <c r="H403" s="36"/>
      <c r="I403" s="6" t="s">
        <v>1095</v>
      </c>
      <c r="J403" s="6" t="s">
        <v>1100</v>
      </c>
      <c r="K403" s="6">
        <v>80</v>
      </c>
      <c r="L403" s="6" t="s">
        <v>1498</v>
      </c>
      <c r="M403" s="50">
        <v>0.93108291468124338</v>
      </c>
      <c r="N403" s="50">
        <v>8.4997655883731843E-2</v>
      </c>
      <c r="O403" s="50">
        <v>0.45347447946392527</v>
      </c>
      <c r="P403" s="50">
        <v>0.97609564650031078</v>
      </c>
    </row>
    <row r="404" spans="1:16" ht="18" customHeight="1" x14ac:dyDescent="0.15">
      <c r="A404" s="5" t="s">
        <v>1023</v>
      </c>
      <c r="B404" s="6" t="s">
        <v>1036</v>
      </c>
      <c r="C404" s="6"/>
      <c r="D404" s="8"/>
      <c r="E404" s="8"/>
      <c r="F404" s="43"/>
      <c r="G404" s="43"/>
      <c r="H404" s="36"/>
      <c r="I404" s="6" t="s">
        <v>1095</v>
      </c>
      <c r="J404" s="6" t="s">
        <v>1102</v>
      </c>
      <c r="K404" s="6">
        <v>80</v>
      </c>
      <c r="L404" s="6" t="s">
        <v>1499</v>
      </c>
      <c r="M404" s="50">
        <v>3.459922623158862E-2</v>
      </c>
      <c r="N404" s="50">
        <v>-7.4917955930614177E-2</v>
      </c>
      <c r="O404" s="50">
        <v>0.50895258427187495</v>
      </c>
      <c r="P404" s="50">
        <v>0.95466802076570478</v>
      </c>
    </row>
    <row r="405" spans="1:16" ht="18" customHeight="1" x14ac:dyDescent="0.15">
      <c r="A405" s="5" t="s">
        <v>1023</v>
      </c>
      <c r="B405" s="6" t="s">
        <v>1036</v>
      </c>
      <c r="C405" s="6"/>
      <c r="D405" s="8"/>
      <c r="E405" s="8"/>
      <c r="F405" s="43"/>
      <c r="G405" s="43"/>
      <c r="H405" s="36"/>
      <c r="I405" s="6" t="s">
        <v>1095</v>
      </c>
      <c r="J405" s="6" t="s">
        <v>1104</v>
      </c>
      <c r="K405" s="6">
        <v>80</v>
      </c>
      <c r="L405" s="6" t="s">
        <v>1500</v>
      </c>
      <c r="M405" s="50">
        <v>0.76685375598063554</v>
      </c>
      <c r="N405" s="50">
        <v>5.7876230661040792E-2</v>
      </c>
      <c r="O405" s="50">
        <v>0.61009258107292885</v>
      </c>
      <c r="P405" s="50">
        <v>0.95700793904120396</v>
      </c>
    </row>
    <row r="406" spans="1:16" ht="18" customHeight="1" x14ac:dyDescent="0.15">
      <c r="A406" s="5" t="s">
        <v>1023</v>
      </c>
      <c r="B406" s="6" t="s">
        <v>1036</v>
      </c>
      <c r="C406" s="6"/>
      <c r="D406" s="8"/>
      <c r="E406" s="8"/>
      <c r="F406" s="43"/>
      <c r="G406" s="43"/>
      <c r="H406" s="36"/>
      <c r="I406" s="6" t="s">
        <v>1095</v>
      </c>
      <c r="J406" s="6" t="s">
        <v>1106</v>
      </c>
      <c r="K406" s="6">
        <v>80</v>
      </c>
      <c r="L406" s="6" t="s">
        <v>1501</v>
      </c>
      <c r="M406" s="50">
        <v>0.51038341078855509</v>
      </c>
      <c r="N406" s="50">
        <v>5.4781997187060477E-2</v>
      </c>
      <c r="O406" s="50">
        <v>0.62935412300099569</v>
      </c>
      <c r="P406" s="50">
        <v>0.95466802076570478</v>
      </c>
    </row>
    <row r="407" spans="1:16" ht="18" customHeight="1" x14ac:dyDescent="0.15">
      <c r="A407" s="5" t="s">
        <v>1023</v>
      </c>
      <c r="B407" s="6" t="s">
        <v>1036</v>
      </c>
      <c r="C407" s="6"/>
      <c r="D407" s="8"/>
      <c r="E407" s="8"/>
      <c r="F407" s="43"/>
      <c r="G407" s="43"/>
      <c r="H407" s="36"/>
      <c r="I407" s="6" t="s">
        <v>1095</v>
      </c>
      <c r="J407" s="6" t="s">
        <v>1108</v>
      </c>
      <c r="K407" s="6">
        <v>80</v>
      </c>
      <c r="L407" s="6" t="s">
        <v>1502</v>
      </c>
      <c r="M407" s="50">
        <v>0.53991302237536809</v>
      </c>
      <c r="N407" s="50">
        <v>7.1261134552273786E-2</v>
      </c>
      <c r="O407" s="50">
        <v>0.52990771253356839</v>
      </c>
      <c r="P407" s="50">
        <v>0.95466802076570478</v>
      </c>
    </row>
    <row r="408" spans="1:16" ht="18" customHeight="1" x14ac:dyDescent="0.15">
      <c r="A408" s="5" t="s">
        <v>1023</v>
      </c>
      <c r="B408" s="6" t="s">
        <v>1036</v>
      </c>
      <c r="C408" s="6"/>
      <c r="D408" s="8"/>
      <c r="E408" s="8"/>
      <c r="F408" s="43"/>
      <c r="G408" s="43"/>
      <c r="H408" s="36"/>
      <c r="I408" s="6" t="s">
        <v>1095</v>
      </c>
      <c r="J408" s="6" t="s">
        <v>1110</v>
      </c>
      <c r="K408" s="6">
        <v>80</v>
      </c>
      <c r="L408" s="6" t="s">
        <v>1503</v>
      </c>
      <c r="M408" s="50">
        <v>0.47345815394014079</v>
      </c>
      <c r="N408" s="50">
        <v>3.8935771214252228E-2</v>
      </c>
      <c r="O408" s="50">
        <v>0.73167277440674872</v>
      </c>
      <c r="P408" s="50">
        <v>0.95466802076570478</v>
      </c>
    </row>
    <row r="409" spans="1:16" ht="18" customHeight="1" x14ac:dyDescent="0.15">
      <c r="A409" s="5" t="s">
        <v>1023</v>
      </c>
      <c r="B409" s="6" t="s">
        <v>1036</v>
      </c>
      <c r="C409" s="6"/>
      <c r="D409" s="8"/>
      <c r="E409" s="8"/>
      <c r="F409" s="43"/>
      <c r="G409" s="43"/>
      <c r="H409" s="36"/>
      <c r="I409" s="6" t="s">
        <v>1095</v>
      </c>
      <c r="J409" s="6" t="s">
        <v>1112</v>
      </c>
      <c r="K409" s="6">
        <v>80</v>
      </c>
      <c r="L409" s="6" t="s">
        <v>1504</v>
      </c>
      <c r="M409" s="50">
        <v>0.17678747108786899</v>
      </c>
      <c r="N409" s="50">
        <v>-6.4017815283638077E-2</v>
      </c>
      <c r="O409" s="50">
        <v>0.57264512843286819</v>
      </c>
      <c r="P409" s="50">
        <v>0.95466802076570478</v>
      </c>
    </row>
    <row r="410" spans="1:16" ht="18" customHeight="1" x14ac:dyDescent="0.15">
      <c r="A410" s="5" t="s">
        <v>1023</v>
      </c>
      <c r="B410" s="6" t="s">
        <v>1036</v>
      </c>
      <c r="C410" s="6"/>
      <c r="D410" s="8"/>
      <c r="E410" s="8"/>
      <c r="F410" s="43"/>
      <c r="G410" s="43"/>
      <c r="H410" s="36"/>
      <c r="I410" s="6" t="s">
        <v>1095</v>
      </c>
      <c r="J410" s="6" t="s">
        <v>1114</v>
      </c>
      <c r="K410" s="6">
        <v>80</v>
      </c>
      <c r="L410" s="6" t="s">
        <v>1505</v>
      </c>
      <c r="M410" s="50">
        <v>0.76043273610944428</v>
      </c>
      <c r="N410" s="50">
        <v>2.3277074542897319E-2</v>
      </c>
      <c r="O410" s="50">
        <v>0.83761312604918781</v>
      </c>
      <c r="P410" s="50">
        <v>0.95700793904120396</v>
      </c>
    </row>
    <row r="411" spans="1:16" ht="18" customHeight="1" x14ac:dyDescent="0.15">
      <c r="A411" s="5" t="s">
        <v>1023</v>
      </c>
      <c r="B411" s="6" t="s">
        <v>1036</v>
      </c>
      <c r="C411" s="6"/>
      <c r="D411" s="8"/>
      <c r="E411" s="8"/>
      <c r="F411" s="43"/>
      <c r="G411" s="43"/>
      <c r="H411" s="36"/>
      <c r="I411" s="6" t="s">
        <v>1095</v>
      </c>
      <c r="J411" s="6" t="s">
        <v>1116</v>
      </c>
      <c r="K411" s="6">
        <v>80</v>
      </c>
      <c r="L411" s="6" t="s">
        <v>1506</v>
      </c>
      <c r="M411" s="50">
        <v>0.45126936578116789</v>
      </c>
      <c r="N411" s="50">
        <v>-3.8865447726207217E-2</v>
      </c>
      <c r="O411" s="50">
        <v>0.73213911512693353</v>
      </c>
      <c r="P411" s="50">
        <v>0.95466802076570478</v>
      </c>
    </row>
    <row r="412" spans="1:16" ht="18" customHeight="1" x14ac:dyDescent="0.15">
      <c r="A412" s="5" t="s">
        <v>1023</v>
      </c>
      <c r="B412" s="6" t="s">
        <v>1036</v>
      </c>
      <c r="C412" s="6"/>
      <c r="D412" s="8"/>
      <c r="E412" s="8"/>
      <c r="F412" s="43"/>
      <c r="G412" s="43"/>
      <c r="H412" s="36"/>
      <c r="I412" s="6" t="s">
        <v>1095</v>
      </c>
      <c r="J412" s="6" t="s">
        <v>1118</v>
      </c>
      <c r="K412" s="6">
        <v>80</v>
      </c>
      <c r="L412" s="6" t="s">
        <v>1507</v>
      </c>
      <c r="M412" s="50">
        <v>0.3630101119220347</v>
      </c>
      <c r="N412" s="50">
        <v>-0.110126582278481</v>
      </c>
      <c r="O412" s="50">
        <v>0.33082100020000188</v>
      </c>
      <c r="P412" s="50">
        <v>0.95466802076570478</v>
      </c>
    </row>
    <row r="413" spans="1:16" ht="18" customHeight="1" x14ac:dyDescent="0.15">
      <c r="A413" s="5" t="s">
        <v>1023</v>
      </c>
      <c r="B413" s="6" t="s">
        <v>1036</v>
      </c>
      <c r="C413" s="6"/>
      <c r="D413" s="8"/>
      <c r="E413" s="8"/>
      <c r="F413" s="43"/>
      <c r="G413" s="43"/>
      <c r="H413" s="36"/>
      <c r="I413" s="6" t="s">
        <v>1095</v>
      </c>
      <c r="J413" s="6" t="s">
        <v>1120</v>
      </c>
      <c r="K413" s="6">
        <v>80</v>
      </c>
      <c r="L413" s="6" t="s">
        <v>1508</v>
      </c>
      <c r="M413" s="50">
        <v>0.79891217468645581</v>
      </c>
      <c r="N413" s="50">
        <v>2.4285044538209091E-2</v>
      </c>
      <c r="O413" s="50">
        <v>0.83068356281880407</v>
      </c>
      <c r="P413" s="50">
        <v>0.95700793904120396</v>
      </c>
    </row>
    <row r="414" spans="1:16" ht="18" customHeight="1" x14ac:dyDescent="0.15">
      <c r="A414" s="5" t="s">
        <v>1023</v>
      </c>
      <c r="B414" s="6" t="s">
        <v>1036</v>
      </c>
      <c r="C414" s="6"/>
      <c r="D414" s="8"/>
      <c r="E414" s="8"/>
      <c r="F414" s="43"/>
      <c r="G414" s="43"/>
      <c r="H414" s="36"/>
      <c r="I414" s="6" t="s">
        <v>1095</v>
      </c>
      <c r="J414" s="6" t="s">
        <v>1122</v>
      </c>
      <c r="K414" s="6">
        <v>80</v>
      </c>
      <c r="L414" s="6" t="s">
        <v>1509</v>
      </c>
      <c r="M414" s="50">
        <v>0.59817624533192126</v>
      </c>
      <c r="N414" s="50">
        <v>9.6671354899203005E-2</v>
      </c>
      <c r="O414" s="50">
        <v>0.39363330247083739</v>
      </c>
      <c r="P414" s="50">
        <v>0.95466802076570478</v>
      </c>
    </row>
    <row r="415" spans="1:16" ht="18" customHeight="1" x14ac:dyDescent="0.15">
      <c r="A415" s="5" t="s">
        <v>1023</v>
      </c>
      <c r="B415" s="6" t="s">
        <v>1036</v>
      </c>
      <c r="C415" s="6"/>
      <c r="D415" s="8"/>
      <c r="E415" s="8"/>
      <c r="F415" s="43"/>
      <c r="G415" s="43"/>
      <c r="H415" s="36"/>
      <c r="I415" s="6" t="s">
        <v>1095</v>
      </c>
      <c r="J415" s="6" t="s">
        <v>1124</v>
      </c>
      <c r="K415" s="6">
        <v>80</v>
      </c>
      <c r="L415" s="6" t="s">
        <v>1510</v>
      </c>
      <c r="M415" s="50">
        <v>0.70900788613777832</v>
      </c>
      <c r="N415" s="50">
        <v>-1.643225503984997E-2</v>
      </c>
      <c r="O415" s="50">
        <v>0.88497053031253603</v>
      </c>
      <c r="P415" s="50">
        <v>0.95700793904120396</v>
      </c>
    </row>
    <row r="416" spans="1:16" ht="18" customHeight="1" x14ac:dyDescent="0.15">
      <c r="A416" s="5" t="s">
        <v>1023</v>
      </c>
      <c r="B416" s="6" t="s">
        <v>1036</v>
      </c>
      <c r="C416" s="6"/>
      <c r="D416" s="8"/>
      <c r="E416" s="8"/>
      <c r="F416" s="43"/>
      <c r="G416" s="43"/>
      <c r="H416" s="36"/>
      <c r="I416" s="6" t="s">
        <v>1095</v>
      </c>
      <c r="J416" s="6" t="s">
        <v>1126</v>
      </c>
      <c r="K416" s="6">
        <v>80</v>
      </c>
      <c r="L416" s="6" t="s">
        <v>1511</v>
      </c>
      <c r="M416" s="50">
        <v>0.94820501486509445</v>
      </c>
      <c r="N416" s="50">
        <v>-6.697140178152837E-2</v>
      </c>
      <c r="O416" s="50">
        <v>0.55502563190807497</v>
      </c>
      <c r="P416" s="50">
        <v>0.97609564650031078</v>
      </c>
    </row>
    <row r="417" spans="1:16" ht="18" customHeight="1" x14ac:dyDescent="0.15">
      <c r="A417" s="5" t="s">
        <v>1023</v>
      </c>
      <c r="B417" s="6" t="s">
        <v>1036</v>
      </c>
      <c r="C417" s="6"/>
      <c r="D417" s="8"/>
      <c r="E417" s="8"/>
      <c r="F417" s="43"/>
      <c r="G417" s="43"/>
      <c r="H417" s="36"/>
      <c r="I417" s="6" t="s">
        <v>1095</v>
      </c>
      <c r="J417" s="6" t="s">
        <v>1128</v>
      </c>
      <c r="K417" s="6">
        <v>80</v>
      </c>
      <c r="L417" s="6" t="s">
        <v>1512</v>
      </c>
      <c r="M417" s="50">
        <v>1.579837551345388E-2</v>
      </c>
      <c r="N417" s="50">
        <v>0.1051570557899672</v>
      </c>
      <c r="O417" s="50">
        <v>0.35323766134487522</v>
      </c>
      <c r="P417" s="50">
        <v>0.95466802076570478</v>
      </c>
    </row>
    <row r="418" spans="1:16" ht="18" customHeight="1" x14ac:dyDescent="0.15">
      <c r="A418" s="5" t="s">
        <v>1023</v>
      </c>
      <c r="B418" s="6" t="s">
        <v>1036</v>
      </c>
      <c r="C418" s="6"/>
      <c r="D418" s="8"/>
      <c r="E418" s="8"/>
      <c r="F418" s="43"/>
      <c r="G418" s="43"/>
      <c r="H418" s="36"/>
      <c r="I418" s="6" t="s">
        <v>1095</v>
      </c>
      <c r="J418" s="6" t="s">
        <v>1130</v>
      </c>
      <c r="K418" s="6">
        <v>80</v>
      </c>
      <c r="L418" s="6" t="s">
        <v>1513</v>
      </c>
      <c r="M418" s="50">
        <v>0.61358107521790861</v>
      </c>
      <c r="N418" s="50">
        <v>5.9235818096577589E-2</v>
      </c>
      <c r="O418" s="50">
        <v>0.60171116949597336</v>
      </c>
      <c r="P418" s="50">
        <v>0.95466802076570478</v>
      </c>
    </row>
    <row r="419" spans="1:16" ht="18" customHeight="1" x14ac:dyDescent="0.15">
      <c r="A419" s="5" t="s">
        <v>1023</v>
      </c>
      <c r="B419" s="6" t="s">
        <v>1036</v>
      </c>
      <c r="C419" s="6"/>
      <c r="D419" s="8"/>
      <c r="E419" s="8"/>
      <c r="F419" s="43"/>
      <c r="G419" s="43"/>
      <c r="H419" s="36"/>
      <c r="I419" s="6" t="s">
        <v>1095</v>
      </c>
      <c r="J419" s="6" t="s">
        <v>1132</v>
      </c>
      <c r="K419" s="6">
        <v>80</v>
      </c>
      <c r="L419" s="6" t="s">
        <v>1514</v>
      </c>
      <c r="M419" s="50">
        <v>7.8038792993742861E-2</v>
      </c>
      <c r="N419" s="50">
        <v>-0.18159868729488979</v>
      </c>
      <c r="O419" s="50">
        <v>0.1069314928674097</v>
      </c>
      <c r="P419" s="50">
        <v>0.95466802076570478</v>
      </c>
    </row>
    <row r="420" spans="1:16" ht="18" customHeight="1" x14ac:dyDescent="0.15">
      <c r="A420" s="5" t="s">
        <v>1023</v>
      </c>
      <c r="B420" s="6" t="s">
        <v>1036</v>
      </c>
      <c r="C420" s="6"/>
      <c r="D420" s="8"/>
      <c r="E420" s="8"/>
      <c r="F420" s="43"/>
      <c r="G420" s="43"/>
      <c r="H420" s="36"/>
      <c r="I420" s="6" t="s">
        <v>1095</v>
      </c>
      <c r="J420" s="6" t="s">
        <v>1134</v>
      </c>
      <c r="K420" s="6">
        <v>80</v>
      </c>
      <c r="L420" s="6" t="s">
        <v>1515</v>
      </c>
      <c r="M420" s="50">
        <v>0.28469829274370811</v>
      </c>
      <c r="N420" s="50">
        <v>5.4149085794655417E-2</v>
      </c>
      <c r="O420" s="50">
        <v>0.63332520193644293</v>
      </c>
      <c r="P420" s="50">
        <v>0.95466802076570478</v>
      </c>
    </row>
    <row r="421" spans="1:16" ht="18" customHeight="1" x14ac:dyDescent="0.15">
      <c r="A421" s="5" t="s">
        <v>1023</v>
      </c>
      <c r="B421" s="6" t="s">
        <v>1036</v>
      </c>
      <c r="C421" s="6"/>
      <c r="D421" s="8"/>
      <c r="E421" s="8"/>
      <c r="F421" s="43"/>
      <c r="G421" s="43"/>
      <c r="H421" s="36"/>
      <c r="I421" s="6" t="s">
        <v>1095</v>
      </c>
      <c r="J421" s="6" t="s">
        <v>1136</v>
      </c>
      <c r="K421" s="6">
        <v>80</v>
      </c>
      <c r="L421" s="6" t="s">
        <v>1516</v>
      </c>
      <c r="M421" s="50">
        <v>7.1900633926525445E-2</v>
      </c>
      <c r="N421" s="50">
        <v>-8.7998124706985481E-2</v>
      </c>
      <c r="O421" s="50">
        <v>0.43763139155941971</v>
      </c>
      <c r="P421" s="50">
        <v>0.95466802076570478</v>
      </c>
    </row>
    <row r="422" spans="1:16" ht="18" customHeight="1" x14ac:dyDescent="0.15">
      <c r="A422" s="5" t="s">
        <v>1023</v>
      </c>
      <c r="B422" s="6" t="s">
        <v>1036</v>
      </c>
      <c r="C422" s="6"/>
      <c r="D422" s="8"/>
      <c r="E422" s="8"/>
      <c r="F422" s="43"/>
      <c r="G422" s="43"/>
      <c r="H422" s="36"/>
      <c r="I422" s="6" t="s">
        <v>1095</v>
      </c>
      <c r="J422" s="6" t="s">
        <v>1138</v>
      </c>
      <c r="K422" s="6">
        <v>80</v>
      </c>
      <c r="L422" s="6" t="s">
        <v>1517</v>
      </c>
      <c r="M422" s="50">
        <v>0.70147146633868451</v>
      </c>
      <c r="N422" s="50">
        <v>-0.1020628223159869</v>
      </c>
      <c r="O422" s="50">
        <v>0.36765967957976348</v>
      </c>
      <c r="P422" s="50">
        <v>0.95700793904120396</v>
      </c>
    </row>
    <row r="423" spans="1:16" ht="18" customHeight="1" x14ac:dyDescent="0.15">
      <c r="A423" s="5" t="s">
        <v>1023</v>
      </c>
      <c r="B423" s="6" t="s">
        <v>1036</v>
      </c>
      <c r="C423" s="6"/>
      <c r="D423" s="8"/>
      <c r="E423" s="8"/>
      <c r="F423" s="43"/>
      <c r="G423" s="43"/>
      <c r="H423" s="36"/>
      <c r="I423" s="6" t="s">
        <v>1095</v>
      </c>
      <c r="J423" s="6" t="s">
        <v>1140</v>
      </c>
      <c r="K423" s="6">
        <v>80</v>
      </c>
      <c r="L423" s="6" t="s">
        <v>1518</v>
      </c>
      <c r="M423" s="50">
        <v>9.614013366731966E-2</v>
      </c>
      <c r="N423" s="50">
        <v>-8.466947960618848E-2</v>
      </c>
      <c r="O423" s="50">
        <v>0.4552263581792193</v>
      </c>
      <c r="P423" s="50">
        <v>0.95466802076570478</v>
      </c>
    </row>
    <row r="424" spans="1:16" ht="18" customHeight="1" x14ac:dyDescent="0.15">
      <c r="A424" s="5" t="s">
        <v>1023</v>
      </c>
      <c r="B424" s="6" t="s">
        <v>1036</v>
      </c>
      <c r="C424" s="6"/>
      <c r="D424" s="8"/>
      <c r="E424" s="8"/>
      <c r="F424" s="43"/>
      <c r="G424" s="43"/>
      <c r="H424" s="36"/>
      <c r="I424" s="6" t="s">
        <v>1095</v>
      </c>
      <c r="J424" s="6" t="s">
        <v>1142</v>
      </c>
      <c r="K424" s="6">
        <v>80</v>
      </c>
      <c r="L424" s="6" t="s">
        <v>1519</v>
      </c>
      <c r="M424" s="50">
        <v>0.22927340252130449</v>
      </c>
      <c r="N424" s="50">
        <v>-0.20220346929207689</v>
      </c>
      <c r="O424" s="50">
        <v>7.2061682756078979E-2</v>
      </c>
      <c r="P424" s="50">
        <v>0.95466802076570478</v>
      </c>
    </row>
    <row r="425" spans="1:16" ht="18" customHeight="1" x14ac:dyDescent="0.15">
      <c r="A425" s="5" t="s">
        <v>1023</v>
      </c>
      <c r="B425" s="6" t="s">
        <v>1036</v>
      </c>
      <c r="C425" s="6"/>
      <c r="D425" s="8"/>
      <c r="E425" s="8"/>
      <c r="F425" s="43"/>
      <c r="G425" s="43"/>
      <c r="H425" s="36"/>
      <c r="I425" s="6" t="s">
        <v>1095</v>
      </c>
      <c r="J425" s="6" t="s">
        <v>1144</v>
      </c>
      <c r="K425" s="6">
        <v>80</v>
      </c>
      <c r="L425" s="6" t="s">
        <v>1520</v>
      </c>
      <c r="M425" s="50">
        <v>0.8923609484955578</v>
      </c>
      <c r="N425" s="50">
        <v>-7.43084857008907E-3</v>
      </c>
      <c r="O425" s="50">
        <v>0.94784089058427357</v>
      </c>
      <c r="P425" s="50">
        <v>0.97609564650031078</v>
      </c>
    </row>
    <row r="426" spans="1:16" ht="18" customHeight="1" x14ac:dyDescent="0.15">
      <c r="A426" s="5" t="s">
        <v>1023</v>
      </c>
      <c r="B426" s="6" t="s">
        <v>1036</v>
      </c>
      <c r="C426" s="6"/>
      <c r="D426" s="8"/>
      <c r="E426" s="8"/>
      <c r="F426" s="43"/>
      <c r="G426" s="43"/>
      <c r="H426" s="36"/>
      <c r="I426" s="6" t="s">
        <v>1095</v>
      </c>
      <c r="J426" s="6" t="s">
        <v>1146</v>
      </c>
      <c r="K426" s="6">
        <v>80</v>
      </c>
      <c r="L426" s="6" t="s">
        <v>1521</v>
      </c>
      <c r="M426" s="50">
        <v>0.32935669783960131</v>
      </c>
      <c r="N426" s="50">
        <v>-0.16254102203469301</v>
      </c>
      <c r="O426" s="50">
        <v>0.1497177611011824</v>
      </c>
      <c r="P426" s="50">
        <v>0.95466802076570478</v>
      </c>
    </row>
    <row r="427" spans="1:16" ht="18" customHeight="1" x14ac:dyDescent="0.15">
      <c r="A427" s="5" t="s">
        <v>1023</v>
      </c>
      <c r="B427" s="6" t="s">
        <v>1036</v>
      </c>
      <c r="C427" s="6"/>
      <c r="D427" s="8"/>
      <c r="E427" s="8"/>
      <c r="F427" s="43"/>
      <c r="G427" s="43"/>
      <c r="H427" s="36"/>
      <c r="I427" s="6" t="s">
        <v>1095</v>
      </c>
      <c r="J427" s="6" t="s">
        <v>1148</v>
      </c>
      <c r="K427" s="6">
        <v>80</v>
      </c>
      <c r="L427" s="6" t="s">
        <v>1522</v>
      </c>
      <c r="M427" s="50">
        <v>0.84293705539700936</v>
      </c>
      <c r="N427" s="50">
        <v>1.4369432723863099E-2</v>
      </c>
      <c r="O427" s="50">
        <v>0.89932994414799072</v>
      </c>
      <c r="P427" s="50">
        <v>0.95700793904120396</v>
      </c>
    </row>
    <row r="428" spans="1:16" ht="18" customHeight="1" x14ac:dyDescent="0.15">
      <c r="A428" s="5" t="s">
        <v>1023</v>
      </c>
      <c r="B428" s="6" t="s">
        <v>1036</v>
      </c>
      <c r="C428" s="6"/>
      <c r="D428" s="8"/>
      <c r="E428" s="8"/>
      <c r="F428" s="43"/>
      <c r="G428" s="43"/>
      <c r="H428" s="36"/>
      <c r="I428" s="6" t="s">
        <v>1095</v>
      </c>
      <c r="J428" s="6" t="s">
        <v>1150</v>
      </c>
      <c r="K428" s="6">
        <v>80</v>
      </c>
      <c r="L428" s="6" t="s">
        <v>1523</v>
      </c>
      <c r="M428" s="50">
        <v>0.82047545108930797</v>
      </c>
      <c r="N428" s="50">
        <v>-8.2278481012658198E-3</v>
      </c>
      <c r="O428" s="50">
        <v>0.94225566173408359</v>
      </c>
      <c r="P428" s="50">
        <v>0.95700793904120396</v>
      </c>
    </row>
    <row r="429" spans="1:16" ht="18" customHeight="1" x14ac:dyDescent="0.15">
      <c r="A429" s="5" t="s">
        <v>1023</v>
      </c>
      <c r="B429" s="6" t="s">
        <v>1036</v>
      </c>
      <c r="C429" s="6"/>
      <c r="D429" s="8"/>
      <c r="E429" s="8"/>
      <c r="F429" s="43"/>
      <c r="G429" s="43"/>
      <c r="H429" s="36"/>
      <c r="I429" s="6" t="s">
        <v>1095</v>
      </c>
      <c r="J429" s="6" t="s">
        <v>1152</v>
      </c>
      <c r="K429" s="6">
        <v>80</v>
      </c>
      <c r="L429" s="6" t="s">
        <v>1524</v>
      </c>
      <c r="M429" s="50">
        <v>0.26449158451024402</v>
      </c>
      <c r="N429" s="50">
        <v>-1.8729488982653541E-2</v>
      </c>
      <c r="O429" s="50">
        <v>0.86902305820574344</v>
      </c>
      <c r="P429" s="50">
        <v>0.95466802076570478</v>
      </c>
    </row>
    <row r="430" spans="1:16" ht="18" customHeight="1" x14ac:dyDescent="0.15">
      <c r="A430" s="5" t="s">
        <v>1023</v>
      </c>
      <c r="B430" s="6" t="s">
        <v>1036</v>
      </c>
      <c r="C430" s="6"/>
      <c r="D430" s="8"/>
      <c r="E430" s="8"/>
      <c r="F430" s="43"/>
      <c r="G430" s="43"/>
      <c r="H430" s="36"/>
      <c r="I430" s="6" t="s">
        <v>1095</v>
      </c>
      <c r="J430" s="6" t="s">
        <v>1154</v>
      </c>
      <c r="K430" s="6">
        <v>80</v>
      </c>
      <c r="L430" s="6" t="s">
        <v>1525</v>
      </c>
      <c r="M430" s="50">
        <v>0.87744611528515326</v>
      </c>
      <c r="N430" s="50">
        <v>1.9104547585560239E-2</v>
      </c>
      <c r="O430" s="50">
        <v>0.8664241700376929</v>
      </c>
      <c r="P430" s="50">
        <v>0.96955371854713057</v>
      </c>
    </row>
    <row r="431" spans="1:16" ht="18" customHeight="1" x14ac:dyDescent="0.15">
      <c r="A431" s="5" t="s">
        <v>1023</v>
      </c>
      <c r="B431" s="6" t="s">
        <v>1036</v>
      </c>
      <c r="C431" s="6"/>
      <c r="D431" s="8"/>
      <c r="E431" s="8"/>
      <c r="F431" s="43"/>
      <c r="G431" s="43"/>
      <c r="H431" s="36"/>
      <c r="I431" s="6" t="s">
        <v>1095</v>
      </c>
      <c r="J431" s="6" t="s">
        <v>1156</v>
      </c>
      <c r="K431" s="6">
        <v>80</v>
      </c>
      <c r="L431" s="6" t="s">
        <v>1526</v>
      </c>
      <c r="M431" s="50">
        <v>0.9443807403372676</v>
      </c>
      <c r="N431" s="50">
        <v>-6.3173933427097984E-2</v>
      </c>
      <c r="O431" s="50">
        <v>0.57772666398886563</v>
      </c>
      <c r="P431" s="50">
        <v>0.97609564650031078</v>
      </c>
    </row>
    <row r="432" spans="1:16" ht="18" customHeight="1" x14ac:dyDescent="0.15">
      <c r="A432" s="5" t="s">
        <v>1023</v>
      </c>
      <c r="B432" s="6" t="s">
        <v>1036</v>
      </c>
      <c r="C432" s="6"/>
      <c r="D432" s="8"/>
      <c r="E432" s="8"/>
      <c r="F432" s="43"/>
      <c r="G432" s="43"/>
      <c r="H432" s="36"/>
      <c r="I432" s="6" t="s">
        <v>1095</v>
      </c>
      <c r="J432" s="6" t="s">
        <v>1158</v>
      </c>
      <c r="K432" s="6">
        <v>80</v>
      </c>
      <c r="L432" s="6" t="s">
        <v>1527</v>
      </c>
      <c r="M432" s="50">
        <v>0.83378533765181062</v>
      </c>
      <c r="N432" s="50">
        <v>4.7069854664791383E-2</v>
      </c>
      <c r="O432" s="50">
        <v>0.67842778395989034</v>
      </c>
      <c r="P432" s="50">
        <v>0.95700793904120396</v>
      </c>
    </row>
    <row r="433" spans="1:16" ht="18" customHeight="1" x14ac:dyDescent="0.15">
      <c r="A433" s="5" t="s">
        <v>1023</v>
      </c>
      <c r="B433" s="6" t="s">
        <v>1036</v>
      </c>
      <c r="C433" s="6"/>
      <c r="D433" s="8"/>
      <c r="E433" s="8"/>
      <c r="F433" s="43"/>
      <c r="G433" s="43"/>
      <c r="H433" s="36"/>
      <c r="I433" s="6" t="s">
        <v>1095</v>
      </c>
      <c r="J433" s="6" t="s">
        <v>1160</v>
      </c>
      <c r="K433" s="6">
        <v>80</v>
      </c>
      <c r="L433" s="6" t="s">
        <v>1528</v>
      </c>
      <c r="M433" s="50">
        <v>6.6872932950790276E-2</v>
      </c>
      <c r="N433" s="50">
        <v>-0.15239099859353031</v>
      </c>
      <c r="O433" s="50">
        <v>0.17718570708791581</v>
      </c>
      <c r="P433" s="50">
        <v>0.95466802076570478</v>
      </c>
    </row>
    <row r="434" spans="1:16" ht="18" customHeight="1" x14ac:dyDescent="0.15">
      <c r="A434" s="5" t="s">
        <v>1023</v>
      </c>
      <c r="B434" s="6" t="s">
        <v>1036</v>
      </c>
      <c r="C434" s="6"/>
      <c r="D434" s="8"/>
      <c r="E434" s="8"/>
      <c r="F434" s="43"/>
      <c r="G434" s="43"/>
      <c r="H434" s="36"/>
      <c r="I434" s="6" t="s">
        <v>1095</v>
      </c>
      <c r="J434" s="6" t="s">
        <v>1162</v>
      </c>
      <c r="K434" s="6">
        <v>80</v>
      </c>
      <c r="L434" s="6" t="s">
        <v>1529</v>
      </c>
      <c r="M434" s="50">
        <v>0.33352253721206992</v>
      </c>
      <c r="N434" s="50">
        <v>4.704641350210971E-2</v>
      </c>
      <c r="O434" s="50">
        <v>0.67857913599626407</v>
      </c>
      <c r="P434" s="50">
        <v>0.95466802076570478</v>
      </c>
    </row>
    <row r="435" spans="1:16" ht="18" customHeight="1" x14ac:dyDescent="0.15">
      <c r="A435" s="5" t="s">
        <v>1023</v>
      </c>
      <c r="B435" s="6" t="s">
        <v>1036</v>
      </c>
      <c r="C435" s="6"/>
      <c r="D435" s="8"/>
      <c r="E435" s="8"/>
      <c r="F435" s="43"/>
      <c r="G435" s="43"/>
      <c r="H435" s="36"/>
      <c r="I435" s="6" t="s">
        <v>1095</v>
      </c>
      <c r="J435" s="6" t="s">
        <v>1164</v>
      </c>
      <c r="K435" s="6">
        <v>80</v>
      </c>
      <c r="L435" s="6" t="s">
        <v>1530</v>
      </c>
      <c r="M435" s="50">
        <v>2.9804493779179979E-2</v>
      </c>
      <c r="N435" s="50">
        <v>0.19449132676980779</v>
      </c>
      <c r="O435" s="50">
        <v>8.3853022894415874E-2</v>
      </c>
      <c r="P435" s="50">
        <v>0.95466802076570478</v>
      </c>
    </row>
    <row r="436" spans="1:16" ht="18" customHeight="1" x14ac:dyDescent="0.15">
      <c r="A436" s="5" t="s">
        <v>1023</v>
      </c>
      <c r="B436" s="6" t="s">
        <v>1036</v>
      </c>
      <c r="C436" s="6"/>
      <c r="D436" s="8"/>
      <c r="E436" s="8"/>
      <c r="F436" s="43"/>
      <c r="G436" s="43"/>
      <c r="H436" s="36"/>
      <c r="I436" s="6" t="s">
        <v>1095</v>
      </c>
      <c r="J436" s="6" t="s">
        <v>1166</v>
      </c>
      <c r="K436" s="6">
        <v>80</v>
      </c>
      <c r="L436" s="6" t="s">
        <v>1531</v>
      </c>
      <c r="M436" s="50">
        <v>0.74069146302887978</v>
      </c>
      <c r="N436" s="50">
        <v>-9.0717299578058994E-3</v>
      </c>
      <c r="O436" s="50">
        <v>0.93634492915114675</v>
      </c>
      <c r="P436" s="50">
        <v>0.95700793904120396</v>
      </c>
    </row>
    <row r="437" spans="1:16" ht="18" customHeight="1" x14ac:dyDescent="0.15">
      <c r="A437" s="5" t="s">
        <v>1023</v>
      </c>
      <c r="B437" s="6" t="s">
        <v>1036</v>
      </c>
      <c r="C437" s="6"/>
      <c r="D437" s="8"/>
      <c r="E437" s="8"/>
      <c r="F437" s="43"/>
      <c r="G437" s="43"/>
      <c r="H437" s="36"/>
      <c r="I437" s="6" t="s">
        <v>1095</v>
      </c>
      <c r="J437" s="6" t="s">
        <v>1168</v>
      </c>
      <c r="K437" s="6">
        <v>80</v>
      </c>
      <c r="L437" s="6" t="s">
        <v>1532</v>
      </c>
      <c r="M437" s="50">
        <v>0.40563184816519537</v>
      </c>
      <c r="N437" s="50">
        <v>2.4871073605250819E-2</v>
      </c>
      <c r="O437" s="50">
        <v>0.82666063850707638</v>
      </c>
      <c r="P437" s="50">
        <v>0.95466802076570478</v>
      </c>
    </row>
    <row r="438" spans="1:16" ht="18" customHeight="1" x14ac:dyDescent="0.15">
      <c r="A438" s="5" t="s">
        <v>1023</v>
      </c>
      <c r="B438" s="6" t="s">
        <v>1036</v>
      </c>
      <c r="C438" s="6"/>
      <c r="D438" s="8"/>
      <c r="E438" s="8"/>
      <c r="F438" s="43"/>
      <c r="G438" s="43"/>
      <c r="H438" s="36"/>
      <c r="I438" s="6" t="s">
        <v>1095</v>
      </c>
      <c r="J438" s="6" t="s">
        <v>1170</v>
      </c>
      <c r="K438" s="6">
        <v>80</v>
      </c>
      <c r="L438" s="6" t="s">
        <v>1533</v>
      </c>
      <c r="M438" s="50">
        <v>0.2303545150793562</v>
      </c>
      <c r="N438" s="50">
        <v>0.11992498827941871</v>
      </c>
      <c r="O438" s="50">
        <v>0.2893313428750367</v>
      </c>
      <c r="P438" s="50">
        <v>0.95466802076570478</v>
      </c>
    </row>
    <row r="439" spans="1:16" ht="18" customHeight="1" x14ac:dyDescent="0.15">
      <c r="A439" s="5" t="s">
        <v>1023</v>
      </c>
      <c r="B439" s="6" t="s">
        <v>1036</v>
      </c>
      <c r="C439" s="6"/>
      <c r="D439" s="8"/>
      <c r="E439" s="8"/>
      <c r="F439" s="43"/>
      <c r="G439" s="43"/>
      <c r="H439" s="36"/>
      <c r="I439" s="6" t="s">
        <v>1095</v>
      </c>
      <c r="J439" s="6" t="s">
        <v>1172</v>
      </c>
      <c r="K439" s="6">
        <v>80</v>
      </c>
      <c r="L439" s="6" t="s">
        <v>1534</v>
      </c>
      <c r="M439" s="50">
        <v>0.83677741923506965</v>
      </c>
      <c r="N439" s="50">
        <v>7.2151898734177211E-2</v>
      </c>
      <c r="O439" s="50">
        <v>0.52476393613408345</v>
      </c>
      <c r="P439" s="50">
        <v>0.95700793904120396</v>
      </c>
    </row>
    <row r="440" spans="1:16" ht="18" customHeight="1" x14ac:dyDescent="0.15">
      <c r="A440" s="5" t="s">
        <v>1023</v>
      </c>
      <c r="B440" s="6" t="s">
        <v>1036</v>
      </c>
      <c r="C440" s="6"/>
      <c r="D440" s="8"/>
      <c r="E440" s="8"/>
      <c r="F440" s="43"/>
      <c r="G440" s="43"/>
      <c r="H440" s="36"/>
      <c r="I440" s="6" t="s">
        <v>1095</v>
      </c>
      <c r="J440" s="6" t="s">
        <v>1174</v>
      </c>
      <c r="K440" s="6">
        <v>80</v>
      </c>
      <c r="L440" s="6" t="s">
        <v>1535</v>
      </c>
      <c r="M440" s="50">
        <v>0.66664852234093697</v>
      </c>
      <c r="N440" s="50">
        <v>5.8087201125175812E-2</v>
      </c>
      <c r="O440" s="50">
        <v>0.60878868842206468</v>
      </c>
      <c r="P440" s="50">
        <v>0.95700793904120396</v>
      </c>
    </row>
    <row r="441" spans="1:16" ht="18" customHeight="1" x14ac:dyDescent="0.15">
      <c r="A441" s="5" t="s">
        <v>1023</v>
      </c>
      <c r="B441" s="6" t="s">
        <v>1036</v>
      </c>
      <c r="C441" s="6"/>
      <c r="D441" s="8"/>
      <c r="E441" s="8"/>
      <c r="F441" s="43"/>
      <c r="G441" s="43"/>
      <c r="H441" s="36"/>
      <c r="I441" s="6" t="s">
        <v>1095</v>
      </c>
      <c r="J441" s="6" t="s">
        <v>1176</v>
      </c>
      <c r="K441" s="6">
        <v>80</v>
      </c>
      <c r="L441" s="6" t="s">
        <v>1536</v>
      </c>
      <c r="M441" s="50">
        <v>0.47801154178550059</v>
      </c>
      <c r="N441" s="50">
        <v>1.6408813877168E-4</v>
      </c>
      <c r="O441" s="50">
        <v>0.99884741630315521</v>
      </c>
      <c r="P441" s="50">
        <v>0.95466802076570478</v>
      </c>
    </row>
    <row r="442" spans="1:16" ht="18" customHeight="1" x14ac:dyDescent="0.15">
      <c r="A442" s="5" t="s">
        <v>1023</v>
      </c>
      <c r="B442" s="6" t="s">
        <v>1036</v>
      </c>
      <c r="C442" s="6"/>
      <c r="D442" s="8"/>
      <c r="E442" s="8"/>
      <c r="F442" s="43"/>
      <c r="G442" s="43"/>
      <c r="H442" s="36"/>
      <c r="I442" s="6" t="s">
        <v>1095</v>
      </c>
      <c r="J442" s="6" t="s">
        <v>1178</v>
      </c>
      <c r="K442" s="6">
        <v>80</v>
      </c>
      <c r="L442" s="6" t="s">
        <v>1537</v>
      </c>
      <c r="M442" s="50">
        <v>0.58842458344074888</v>
      </c>
      <c r="N442" s="50">
        <v>-0.1366619784341303</v>
      </c>
      <c r="O442" s="50">
        <v>0.22674551344443061</v>
      </c>
      <c r="P442" s="50">
        <v>0.95466802076570478</v>
      </c>
    </row>
    <row r="443" spans="1:16" ht="18" customHeight="1" x14ac:dyDescent="0.15">
      <c r="A443" s="5" t="s">
        <v>1023</v>
      </c>
      <c r="B443" s="6" t="s">
        <v>1036</v>
      </c>
      <c r="C443" s="6"/>
      <c r="D443" s="8"/>
      <c r="E443" s="8"/>
      <c r="F443" s="43"/>
      <c r="G443" s="43"/>
      <c r="H443" s="36"/>
      <c r="I443" s="6" t="s">
        <v>1095</v>
      </c>
      <c r="J443" s="6" t="s">
        <v>1180</v>
      </c>
      <c r="K443" s="6">
        <v>80</v>
      </c>
      <c r="L443" s="6" t="s">
        <v>1538</v>
      </c>
      <c r="M443" s="50">
        <v>0.4987764424619861</v>
      </c>
      <c r="N443" s="50">
        <v>4.1233005157055788E-2</v>
      </c>
      <c r="O443" s="50">
        <v>0.71649331550265927</v>
      </c>
      <c r="P443" s="50">
        <v>0.95466802076570478</v>
      </c>
    </row>
    <row r="444" spans="1:16" ht="18" customHeight="1" x14ac:dyDescent="0.15">
      <c r="A444" s="5" t="s">
        <v>1023</v>
      </c>
      <c r="B444" s="6" t="s">
        <v>1036</v>
      </c>
      <c r="C444" s="6"/>
      <c r="D444" s="8"/>
      <c r="E444" s="8"/>
      <c r="F444" s="43"/>
      <c r="G444" s="43"/>
      <c r="H444" s="36"/>
      <c r="I444" s="6" t="s">
        <v>1095</v>
      </c>
      <c r="J444" s="6" t="s">
        <v>1182</v>
      </c>
      <c r="K444" s="6">
        <v>80</v>
      </c>
      <c r="L444" s="6" t="s">
        <v>1539</v>
      </c>
      <c r="M444" s="50">
        <v>0.6286848472985459</v>
      </c>
      <c r="N444" s="50">
        <v>-7.5363338021565876E-2</v>
      </c>
      <c r="O444" s="50">
        <v>0.50642977140252887</v>
      </c>
      <c r="P444" s="50">
        <v>0.95466802076570478</v>
      </c>
    </row>
    <row r="445" spans="1:16" ht="18" customHeight="1" x14ac:dyDescent="0.15">
      <c r="A445" s="5" t="s">
        <v>1023</v>
      </c>
      <c r="B445" s="6" t="s">
        <v>1036</v>
      </c>
      <c r="C445" s="6"/>
      <c r="D445" s="8"/>
      <c r="E445" s="8"/>
      <c r="F445" s="43"/>
      <c r="G445" s="43"/>
      <c r="H445" s="36"/>
      <c r="I445" s="6" t="s">
        <v>1095</v>
      </c>
      <c r="J445" s="6" t="s">
        <v>1184</v>
      </c>
      <c r="K445" s="6">
        <v>80</v>
      </c>
      <c r="L445" s="6" t="s">
        <v>1540</v>
      </c>
      <c r="M445" s="50">
        <v>0.64157931686159586</v>
      </c>
      <c r="N445" s="50">
        <v>0.12510548523206749</v>
      </c>
      <c r="O445" s="50">
        <v>0.26884892938109989</v>
      </c>
      <c r="P445" s="50">
        <v>0.95700793904120396</v>
      </c>
    </row>
    <row r="446" spans="1:16" ht="18" customHeight="1" x14ac:dyDescent="0.15">
      <c r="A446" s="5" t="s">
        <v>1023</v>
      </c>
      <c r="B446" s="6" t="s">
        <v>1036</v>
      </c>
      <c r="C446" s="6"/>
      <c r="D446" s="8"/>
      <c r="E446" s="8"/>
      <c r="F446" s="43"/>
      <c r="G446" s="43"/>
      <c r="H446" s="36"/>
      <c r="I446" s="6" t="s">
        <v>1095</v>
      </c>
      <c r="J446" s="6" t="s">
        <v>1186</v>
      </c>
      <c r="K446" s="6">
        <v>80</v>
      </c>
      <c r="L446" s="6" t="s">
        <v>1541</v>
      </c>
      <c r="M446" s="50">
        <v>0.1164962649936771</v>
      </c>
      <c r="N446" s="50">
        <v>-0.1645100796999531</v>
      </c>
      <c r="O446" s="50">
        <v>0.14477981332637371</v>
      </c>
      <c r="P446" s="50">
        <v>0.95466802076570478</v>
      </c>
    </row>
    <row r="447" spans="1:16" ht="18" customHeight="1" x14ac:dyDescent="0.15">
      <c r="A447" s="5" t="s">
        <v>1023</v>
      </c>
      <c r="B447" s="6" t="s">
        <v>1036</v>
      </c>
      <c r="C447" s="6"/>
      <c r="D447" s="8"/>
      <c r="E447" s="8"/>
      <c r="F447" s="43"/>
      <c r="G447" s="43"/>
      <c r="H447" s="36"/>
      <c r="I447" s="6" t="s">
        <v>1095</v>
      </c>
      <c r="J447" s="6" t="s">
        <v>1188</v>
      </c>
      <c r="K447" s="6">
        <v>80</v>
      </c>
      <c r="L447" s="6" t="s">
        <v>1542</v>
      </c>
      <c r="M447" s="50">
        <v>8.1974982914981301E-2</v>
      </c>
      <c r="N447" s="50">
        <v>-0.1018049695264885</v>
      </c>
      <c r="O447" s="50">
        <v>0.36887752858171252</v>
      </c>
      <c r="P447" s="50">
        <v>0.95466802076570478</v>
      </c>
    </row>
    <row r="448" spans="1:16" ht="18" customHeight="1" x14ac:dyDescent="0.15">
      <c r="A448" s="5" t="s">
        <v>1023</v>
      </c>
      <c r="B448" s="6" t="s">
        <v>1036</v>
      </c>
      <c r="C448" s="6"/>
      <c r="D448" s="8"/>
      <c r="E448" s="8"/>
      <c r="F448" s="43"/>
      <c r="G448" s="43"/>
      <c r="H448" s="36"/>
      <c r="I448" s="6" t="s">
        <v>1095</v>
      </c>
      <c r="J448" s="6" t="s">
        <v>1190</v>
      </c>
      <c r="K448" s="6">
        <v>80</v>
      </c>
      <c r="L448" s="6" t="s">
        <v>1543</v>
      </c>
      <c r="M448" s="50">
        <v>0.52284831303697554</v>
      </c>
      <c r="N448" s="50">
        <v>6.7627754336615109E-2</v>
      </c>
      <c r="O448" s="50">
        <v>0.55114577567147816</v>
      </c>
      <c r="P448" s="50">
        <v>0.95466802076570478</v>
      </c>
    </row>
    <row r="449" spans="1:16" ht="18" customHeight="1" x14ac:dyDescent="0.15">
      <c r="A449" s="5" t="s">
        <v>1023</v>
      </c>
      <c r="B449" s="6" t="s">
        <v>1036</v>
      </c>
      <c r="C449" s="6"/>
      <c r="D449" s="8"/>
      <c r="E449" s="8"/>
      <c r="F449" s="43"/>
      <c r="G449" s="43"/>
      <c r="H449" s="36"/>
      <c r="I449" s="6" t="s">
        <v>1095</v>
      </c>
      <c r="J449" s="6" t="s">
        <v>1192</v>
      </c>
      <c r="K449" s="6">
        <v>80</v>
      </c>
      <c r="L449" s="6" t="s">
        <v>1544</v>
      </c>
      <c r="M449" s="50">
        <v>0.41542505653323142</v>
      </c>
      <c r="N449" s="50">
        <v>1.1861228316924519E-2</v>
      </c>
      <c r="O449" s="50">
        <v>0.91683287695864024</v>
      </c>
      <c r="P449" s="50">
        <v>0.95466802076570478</v>
      </c>
    </row>
    <row r="450" spans="1:16" ht="18" customHeight="1" x14ac:dyDescent="0.15">
      <c r="A450" s="5" t="s">
        <v>1023</v>
      </c>
      <c r="B450" s="6" t="s">
        <v>1036</v>
      </c>
      <c r="C450" s="6"/>
      <c r="D450" s="8"/>
      <c r="E450" s="8"/>
      <c r="F450" s="43"/>
      <c r="G450" s="43"/>
      <c r="H450" s="36"/>
      <c r="I450" s="6" t="s">
        <v>1095</v>
      </c>
      <c r="J450" s="6" t="s">
        <v>1194</v>
      </c>
      <c r="K450" s="6">
        <v>80</v>
      </c>
      <c r="L450" s="6" t="s">
        <v>1545</v>
      </c>
      <c r="M450" s="50">
        <v>0.71976183629412505</v>
      </c>
      <c r="N450" s="50">
        <v>5.7641819034224107E-2</v>
      </c>
      <c r="O450" s="50">
        <v>0.6115427750821163</v>
      </c>
      <c r="P450" s="50">
        <v>0.95700793904120396</v>
      </c>
    </row>
    <row r="451" spans="1:16" ht="18" customHeight="1" x14ac:dyDescent="0.15">
      <c r="A451" s="5" t="s">
        <v>1023</v>
      </c>
      <c r="B451" s="6" t="s">
        <v>1036</v>
      </c>
      <c r="C451" s="6"/>
      <c r="D451" s="8"/>
      <c r="E451" s="8"/>
      <c r="F451" s="43"/>
      <c r="G451" s="43"/>
      <c r="H451" s="36"/>
      <c r="I451" s="6" t="s">
        <v>1095</v>
      </c>
      <c r="J451" s="6" t="s">
        <v>1196</v>
      </c>
      <c r="K451" s="6">
        <v>80</v>
      </c>
      <c r="L451" s="6" t="s">
        <v>1546</v>
      </c>
      <c r="M451" s="50">
        <v>0.39013181896190741</v>
      </c>
      <c r="N451" s="50">
        <v>9.1936240037505862E-2</v>
      </c>
      <c r="O451" s="50">
        <v>0.41731935644388429</v>
      </c>
      <c r="P451" s="50">
        <v>0.95466802076570478</v>
      </c>
    </row>
    <row r="452" spans="1:16" ht="18" customHeight="1" x14ac:dyDescent="0.15">
      <c r="A452" s="5" t="s">
        <v>1023</v>
      </c>
      <c r="B452" s="6" t="s">
        <v>1036</v>
      </c>
      <c r="C452" s="6"/>
      <c r="D452" s="8"/>
      <c r="E452" s="8"/>
      <c r="F452" s="43"/>
      <c r="G452" s="43"/>
      <c r="H452" s="36"/>
      <c r="I452" s="6" t="s">
        <v>1095</v>
      </c>
      <c r="J452" s="6" t="s">
        <v>1198</v>
      </c>
      <c r="K452" s="6">
        <v>80</v>
      </c>
      <c r="L452" s="6" t="s">
        <v>1547</v>
      </c>
      <c r="M452" s="50">
        <v>0.48952103414214049</v>
      </c>
      <c r="N452" s="50">
        <v>3.5607126113455227E-2</v>
      </c>
      <c r="O452" s="50">
        <v>0.75385002540613255</v>
      </c>
      <c r="P452" s="50">
        <v>0.95466802076570478</v>
      </c>
    </row>
    <row r="453" spans="1:16" ht="18" customHeight="1" x14ac:dyDescent="0.15">
      <c r="A453" s="5" t="s">
        <v>1023</v>
      </c>
      <c r="B453" s="6" t="s">
        <v>1036</v>
      </c>
      <c r="C453" s="6"/>
      <c r="D453" s="8"/>
      <c r="E453" s="8"/>
      <c r="F453" s="43"/>
      <c r="G453" s="43"/>
      <c r="H453" s="36"/>
      <c r="I453" s="6" t="s">
        <v>1095</v>
      </c>
      <c r="J453" s="6" t="s">
        <v>1200</v>
      </c>
      <c r="K453" s="6">
        <v>80</v>
      </c>
      <c r="L453" s="6" t="s">
        <v>1548</v>
      </c>
      <c r="M453" s="50">
        <v>0.26690013549300612</v>
      </c>
      <c r="N453" s="50">
        <v>-9.0014064697609003E-3</v>
      </c>
      <c r="O453" s="50">
        <v>0.93683736326325562</v>
      </c>
      <c r="P453" s="50">
        <v>0.95466802076570478</v>
      </c>
    </row>
    <row r="454" spans="1:16" ht="18" customHeight="1" x14ac:dyDescent="0.15">
      <c r="A454" s="5" t="s">
        <v>1023</v>
      </c>
      <c r="B454" s="6" t="s">
        <v>1036</v>
      </c>
      <c r="C454" s="6"/>
      <c r="D454" s="8"/>
      <c r="E454" s="8"/>
      <c r="F454" s="43"/>
      <c r="G454" s="43"/>
      <c r="H454" s="36"/>
      <c r="I454" s="6" t="s">
        <v>1095</v>
      </c>
      <c r="J454" s="6" t="s">
        <v>1202</v>
      </c>
      <c r="K454" s="6">
        <v>80</v>
      </c>
      <c r="L454" s="6" t="s">
        <v>1549</v>
      </c>
      <c r="M454" s="50">
        <v>3.3180850891260699E-3</v>
      </c>
      <c r="N454" s="50">
        <v>-0.16629160806376</v>
      </c>
      <c r="O454" s="50">
        <v>0.14041850022748961</v>
      </c>
      <c r="P454" s="50">
        <v>0.95466802076570478</v>
      </c>
    </row>
    <row r="455" spans="1:16" ht="18" customHeight="1" x14ac:dyDescent="0.15">
      <c r="A455" s="5" t="s">
        <v>1023</v>
      </c>
      <c r="B455" s="6" t="s">
        <v>1036</v>
      </c>
      <c r="C455" s="6"/>
      <c r="D455" s="8"/>
      <c r="E455" s="8"/>
      <c r="F455" s="43"/>
      <c r="G455" s="43"/>
      <c r="H455" s="36"/>
      <c r="I455" s="6" t="s">
        <v>1095</v>
      </c>
      <c r="J455" s="6" t="s">
        <v>1204</v>
      </c>
      <c r="K455" s="6">
        <v>80</v>
      </c>
      <c r="L455" s="6" t="s">
        <v>1550</v>
      </c>
      <c r="M455" s="50">
        <v>0.85817830490952385</v>
      </c>
      <c r="N455" s="50">
        <v>-1.0243788091889359E-2</v>
      </c>
      <c r="O455" s="50">
        <v>0.92814135050670155</v>
      </c>
      <c r="P455" s="50">
        <v>0.95811258889703843</v>
      </c>
    </row>
    <row r="456" spans="1:16" ht="18" customHeight="1" x14ac:dyDescent="0.15">
      <c r="A456" s="5" t="s">
        <v>1023</v>
      </c>
      <c r="B456" s="6" t="s">
        <v>1036</v>
      </c>
      <c r="C456" s="6"/>
      <c r="D456" s="8"/>
      <c r="E456" s="8"/>
      <c r="F456" s="43"/>
      <c r="G456" s="43"/>
      <c r="H456" s="36"/>
      <c r="I456" s="6" t="s">
        <v>1095</v>
      </c>
      <c r="J456" s="6" t="s">
        <v>1206</v>
      </c>
      <c r="K456" s="6">
        <v>80</v>
      </c>
      <c r="L456" s="6" t="s">
        <v>1551</v>
      </c>
      <c r="M456" s="50">
        <v>0.52328497441551547</v>
      </c>
      <c r="N456" s="50">
        <v>-0.1375996249413971</v>
      </c>
      <c r="O456" s="50">
        <v>0.223544113734959</v>
      </c>
      <c r="P456" s="50">
        <v>0.95466802076570478</v>
      </c>
    </row>
    <row r="457" spans="1:16" ht="18" customHeight="1" x14ac:dyDescent="0.15">
      <c r="A457" s="5" t="s">
        <v>1023</v>
      </c>
      <c r="B457" s="6" t="s">
        <v>1036</v>
      </c>
      <c r="C457" s="6"/>
      <c r="D457" s="8"/>
      <c r="E457" s="8"/>
      <c r="F457" s="43"/>
      <c r="G457" s="43"/>
      <c r="H457" s="36"/>
      <c r="I457" s="6" t="s">
        <v>1095</v>
      </c>
      <c r="J457" s="6" t="s">
        <v>1208</v>
      </c>
      <c r="K457" s="6">
        <v>80</v>
      </c>
      <c r="L457" s="6" t="s">
        <v>1552</v>
      </c>
      <c r="M457" s="50">
        <v>0.86469661147957722</v>
      </c>
      <c r="N457" s="50">
        <v>-2.294889826535396E-2</v>
      </c>
      <c r="O457" s="50">
        <v>0.83987195812618276</v>
      </c>
      <c r="P457" s="50">
        <v>0.95811258889703843</v>
      </c>
    </row>
    <row r="458" spans="1:16" ht="18" customHeight="1" x14ac:dyDescent="0.15">
      <c r="A458" s="5" t="s">
        <v>1023</v>
      </c>
      <c r="B458" s="6" t="s">
        <v>1036</v>
      </c>
      <c r="C458" s="6"/>
      <c r="D458" s="8"/>
      <c r="E458" s="8"/>
      <c r="F458" s="43"/>
      <c r="G458" s="43"/>
      <c r="H458" s="36"/>
      <c r="I458" s="6" t="s">
        <v>1095</v>
      </c>
      <c r="J458" s="6" t="s">
        <v>1210</v>
      </c>
      <c r="K458" s="6">
        <v>80</v>
      </c>
      <c r="L458" s="6" t="s">
        <v>1553</v>
      </c>
      <c r="M458" s="50">
        <v>0.29782447764873138</v>
      </c>
      <c r="N458" s="50">
        <v>0.1240740740740741</v>
      </c>
      <c r="O458" s="50">
        <v>0.27284695721208352</v>
      </c>
      <c r="P458" s="50">
        <v>0.95466802076570478</v>
      </c>
    </row>
    <row r="459" spans="1:16" ht="18" customHeight="1" x14ac:dyDescent="0.15">
      <c r="A459" s="5" t="s">
        <v>1023</v>
      </c>
      <c r="B459" s="6" t="s">
        <v>1036</v>
      </c>
      <c r="C459" s="6"/>
      <c r="D459" s="8"/>
      <c r="E459" s="8"/>
      <c r="F459" s="43"/>
      <c r="G459" s="43"/>
      <c r="H459" s="36"/>
      <c r="I459" s="6" t="s">
        <v>1095</v>
      </c>
      <c r="J459" s="6" t="s">
        <v>1212</v>
      </c>
      <c r="K459" s="6">
        <v>80</v>
      </c>
      <c r="L459" s="6" t="s">
        <v>1554</v>
      </c>
      <c r="M459" s="50">
        <v>0.2236644371893442</v>
      </c>
      <c r="N459" s="50">
        <v>-8.1200187529301457E-2</v>
      </c>
      <c r="O459" s="50">
        <v>0.47397302107841582</v>
      </c>
      <c r="P459" s="50">
        <v>0.95466802076570478</v>
      </c>
    </row>
    <row r="460" spans="1:16" ht="18" customHeight="1" x14ac:dyDescent="0.15">
      <c r="A460" s="5" t="s">
        <v>1023</v>
      </c>
      <c r="B460" s="6" t="s">
        <v>1036</v>
      </c>
      <c r="C460" s="6"/>
      <c r="D460" s="8"/>
      <c r="E460" s="8"/>
      <c r="F460" s="43"/>
      <c r="G460" s="43"/>
      <c r="H460" s="36"/>
      <c r="I460" s="6" t="s">
        <v>1095</v>
      </c>
      <c r="J460" s="6" t="s">
        <v>1214</v>
      </c>
      <c r="K460" s="6">
        <v>80</v>
      </c>
      <c r="L460" s="6" t="s">
        <v>1555</v>
      </c>
      <c r="M460" s="50">
        <v>5.2389523468507809E-2</v>
      </c>
      <c r="N460" s="50">
        <v>-0.1141115799343648</v>
      </c>
      <c r="O460" s="50">
        <v>0.31351284459786</v>
      </c>
      <c r="P460" s="50">
        <v>0.95466802076570478</v>
      </c>
    </row>
    <row r="461" spans="1:16" ht="18" customHeight="1" x14ac:dyDescent="0.15">
      <c r="A461" s="5" t="s">
        <v>1023</v>
      </c>
      <c r="B461" s="6" t="s">
        <v>1036</v>
      </c>
      <c r="C461" s="6"/>
      <c r="D461" s="8"/>
      <c r="E461" s="8"/>
      <c r="F461" s="43"/>
      <c r="G461" s="43"/>
      <c r="H461" s="36"/>
      <c r="I461" s="6" t="s">
        <v>1095</v>
      </c>
      <c r="J461" s="6" t="s">
        <v>1216</v>
      </c>
      <c r="K461" s="6">
        <v>80</v>
      </c>
      <c r="L461" s="6" t="s">
        <v>1556</v>
      </c>
      <c r="M461" s="50">
        <v>0.69810600552658852</v>
      </c>
      <c r="N461" s="50">
        <v>-1.706516643225504E-2</v>
      </c>
      <c r="O461" s="50">
        <v>0.88057199896084914</v>
      </c>
      <c r="P461" s="50">
        <v>0.95700793904120396</v>
      </c>
    </row>
    <row r="462" spans="1:16" ht="18" customHeight="1" x14ac:dyDescent="0.15">
      <c r="A462" s="5" t="s">
        <v>1023</v>
      </c>
      <c r="B462" s="6" t="s">
        <v>1036</v>
      </c>
      <c r="C462" s="6"/>
      <c r="D462" s="8"/>
      <c r="E462" s="8"/>
      <c r="F462" s="43"/>
      <c r="G462" s="43"/>
      <c r="H462" s="36"/>
      <c r="I462" s="6" t="s">
        <v>1095</v>
      </c>
      <c r="J462" s="6" t="s">
        <v>1218</v>
      </c>
      <c r="K462" s="6">
        <v>80</v>
      </c>
      <c r="L462" s="6" t="s">
        <v>1557</v>
      </c>
      <c r="M462" s="50">
        <v>0.220744929497455</v>
      </c>
      <c r="N462" s="50">
        <v>-0.19592123769338959</v>
      </c>
      <c r="O462" s="50">
        <v>8.1558179967177513E-2</v>
      </c>
      <c r="P462" s="50">
        <v>0.95466802076570478</v>
      </c>
    </row>
    <row r="463" spans="1:16" ht="18" customHeight="1" x14ac:dyDescent="0.15">
      <c r="A463" s="5" t="s">
        <v>1023</v>
      </c>
      <c r="B463" s="6" t="s">
        <v>1036</v>
      </c>
      <c r="C463" s="6"/>
      <c r="D463" s="8"/>
      <c r="E463" s="8"/>
      <c r="F463" s="43"/>
      <c r="G463" s="43"/>
      <c r="H463" s="36"/>
      <c r="I463" s="6" t="s">
        <v>1095</v>
      </c>
      <c r="J463" s="6" t="s">
        <v>1220</v>
      </c>
      <c r="K463" s="6">
        <v>80</v>
      </c>
      <c r="L463" s="6" t="s">
        <v>1558</v>
      </c>
      <c r="M463" s="50">
        <v>0.50397429930117021</v>
      </c>
      <c r="N463" s="50">
        <v>0.2109704641350211</v>
      </c>
      <c r="O463" s="50">
        <v>6.0315347668769628E-2</v>
      </c>
      <c r="P463" s="50">
        <v>0.95466802076570478</v>
      </c>
    </row>
    <row r="464" spans="1:16" ht="18" customHeight="1" x14ac:dyDescent="0.15">
      <c r="A464" s="5" t="s">
        <v>1023</v>
      </c>
      <c r="B464" s="6" t="s">
        <v>1036</v>
      </c>
      <c r="C464" s="6"/>
      <c r="D464" s="8"/>
      <c r="E464" s="8"/>
      <c r="F464" s="43"/>
      <c r="G464" s="43"/>
      <c r="H464" s="36"/>
      <c r="I464" s="6" t="s">
        <v>1095</v>
      </c>
      <c r="J464" s="6" t="s">
        <v>1222</v>
      </c>
      <c r="K464" s="6">
        <v>80</v>
      </c>
      <c r="L464" s="6" t="s">
        <v>1559</v>
      </c>
      <c r="M464" s="50">
        <v>0.57325335270182387</v>
      </c>
      <c r="N464" s="50">
        <v>-4.0529770276605717E-2</v>
      </c>
      <c r="O464" s="50">
        <v>0.72112875142980271</v>
      </c>
      <c r="P464" s="50">
        <v>0.95466802076570478</v>
      </c>
    </row>
    <row r="465" spans="1:16" ht="18" customHeight="1" x14ac:dyDescent="0.15">
      <c r="A465" s="5" t="s">
        <v>1023</v>
      </c>
      <c r="B465" s="6" t="s">
        <v>1036</v>
      </c>
      <c r="C465" s="6"/>
      <c r="D465" s="8"/>
      <c r="E465" s="8"/>
      <c r="F465" s="43"/>
      <c r="G465" s="43"/>
      <c r="H465" s="36"/>
      <c r="I465" s="6" t="s">
        <v>1095</v>
      </c>
      <c r="J465" s="6" t="s">
        <v>1224</v>
      </c>
      <c r="K465" s="6">
        <v>80</v>
      </c>
      <c r="L465" s="6" t="s">
        <v>1560</v>
      </c>
      <c r="M465" s="50">
        <v>0.68889796119146718</v>
      </c>
      <c r="N465" s="50">
        <v>-3.2114392873886502E-3</v>
      </c>
      <c r="O465" s="50">
        <v>0.97744522931648481</v>
      </c>
      <c r="P465" s="50">
        <v>0.95700793904120396</v>
      </c>
    </row>
    <row r="466" spans="1:16" ht="18" customHeight="1" x14ac:dyDescent="0.15">
      <c r="A466" s="5" t="s">
        <v>1023</v>
      </c>
      <c r="B466" s="6" t="s">
        <v>1036</v>
      </c>
      <c r="C466" s="6"/>
      <c r="D466" s="8"/>
      <c r="E466" s="8"/>
      <c r="F466" s="43"/>
      <c r="G466" s="43"/>
      <c r="H466" s="36"/>
      <c r="I466" s="6" t="s">
        <v>1095</v>
      </c>
      <c r="J466" s="6" t="s">
        <v>1226</v>
      </c>
      <c r="K466" s="6">
        <v>80</v>
      </c>
      <c r="L466" s="6" t="s">
        <v>1561</v>
      </c>
      <c r="M466" s="50">
        <v>0.58011885786195438</v>
      </c>
      <c r="N466" s="50">
        <v>0.14390529770276611</v>
      </c>
      <c r="O466" s="50">
        <v>0.2028368110469288</v>
      </c>
      <c r="P466" s="50">
        <v>0.95466802076570478</v>
      </c>
    </row>
    <row r="467" spans="1:16" ht="18" customHeight="1" x14ac:dyDescent="0.15">
      <c r="A467" s="5" t="s">
        <v>1023</v>
      </c>
      <c r="B467" s="6" t="s">
        <v>1036</v>
      </c>
      <c r="C467" s="6"/>
      <c r="D467" s="8"/>
      <c r="E467" s="8"/>
      <c r="F467" s="43"/>
      <c r="G467" s="43"/>
      <c r="H467" s="36"/>
      <c r="I467" s="6" t="s">
        <v>1095</v>
      </c>
      <c r="J467" s="6" t="s">
        <v>1228</v>
      </c>
      <c r="K467" s="6">
        <v>80</v>
      </c>
      <c r="L467" s="6" t="s">
        <v>1562</v>
      </c>
      <c r="M467" s="50">
        <v>0.63257608282269329</v>
      </c>
      <c r="N467" s="50">
        <v>9.4233473980309401E-3</v>
      </c>
      <c r="O467" s="50">
        <v>0.93388312042232624</v>
      </c>
      <c r="P467" s="50">
        <v>0.95466802076570478</v>
      </c>
    </row>
    <row r="468" spans="1:16" ht="18" customHeight="1" x14ac:dyDescent="0.15">
      <c r="A468" s="5" t="s">
        <v>1023</v>
      </c>
      <c r="B468" s="6" t="s">
        <v>1036</v>
      </c>
      <c r="C468" s="6"/>
      <c r="D468" s="8"/>
      <c r="E468" s="8"/>
      <c r="F468" s="43"/>
      <c r="G468" s="43"/>
      <c r="H468" s="36"/>
      <c r="I468" s="6" t="s">
        <v>1095</v>
      </c>
      <c r="J468" s="6" t="s">
        <v>1230</v>
      </c>
      <c r="K468" s="6">
        <v>80</v>
      </c>
      <c r="L468" s="6" t="s">
        <v>1563</v>
      </c>
      <c r="M468" s="50">
        <v>0.57132292487399905</v>
      </c>
      <c r="N468" s="50">
        <v>-3.0543834974214722E-2</v>
      </c>
      <c r="O468" s="50">
        <v>0.78796395363998883</v>
      </c>
      <c r="P468" s="50">
        <v>0.95466802076570478</v>
      </c>
    </row>
    <row r="469" spans="1:16" ht="18" customHeight="1" x14ac:dyDescent="0.15">
      <c r="A469" s="5" t="s">
        <v>1023</v>
      </c>
      <c r="B469" s="6" t="s">
        <v>1036</v>
      </c>
      <c r="C469" s="6"/>
      <c r="D469" s="8"/>
      <c r="E469" s="8"/>
      <c r="F469" s="43"/>
      <c r="G469" s="43"/>
      <c r="H469" s="36"/>
      <c r="I469" s="6" t="s">
        <v>1095</v>
      </c>
      <c r="J469" s="6" t="s">
        <v>1232</v>
      </c>
      <c r="K469" s="6">
        <v>80</v>
      </c>
      <c r="L469" s="6" t="s">
        <v>1564</v>
      </c>
      <c r="M469" s="50">
        <v>3.9326572509284848E-2</v>
      </c>
      <c r="N469" s="50">
        <v>5.2789498359118607E-2</v>
      </c>
      <c r="O469" s="50">
        <v>0.64189066691900798</v>
      </c>
      <c r="P469" s="50">
        <v>0.95466802076570478</v>
      </c>
    </row>
    <row r="470" spans="1:16" ht="18" customHeight="1" x14ac:dyDescent="0.15">
      <c r="A470" s="5" t="s">
        <v>1023</v>
      </c>
      <c r="B470" s="6" t="s">
        <v>1036</v>
      </c>
      <c r="C470" s="6"/>
      <c r="D470" s="8"/>
      <c r="E470" s="8"/>
      <c r="F470" s="43"/>
      <c r="G470" s="43"/>
      <c r="H470" s="36"/>
      <c r="I470" s="6" t="s">
        <v>1095</v>
      </c>
      <c r="J470" s="6" t="s">
        <v>1234</v>
      </c>
      <c r="K470" s="6">
        <v>80</v>
      </c>
      <c r="L470" s="6" t="s">
        <v>1565</v>
      </c>
      <c r="M470" s="50">
        <v>0.68787621244438779</v>
      </c>
      <c r="N470" s="50">
        <v>0.22233942803563059</v>
      </c>
      <c r="O470" s="50">
        <v>4.7450953230634939E-2</v>
      </c>
      <c r="P470" s="50">
        <v>0.95700793904120396</v>
      </c>
    </row>
    <row r="471" spans="1:16" ht="18" customHeight="1" x14ac:dyDescent="0.15">
      <c r="A471" s="5" t="s">
        <v>1023</v>
      </c>
      <c r="B471" s="6" t="s">
        <v>1036</v>
      </c>
      <c r="C471" s="6"/>
      <c r="D471" s="8"/>
      <c r="E471" s="8"/>
      <c r="F471" s="43"/>
      <c r="G471" s="43"/>
      <c r="H471" s="36"/>
      <c r="I471" s="6" t="s">
        <v>1095</v>
      </c>
      <c r="J471" s="6" t="s">
        <v>1236</v>
      </c>
      <c r="K471" s="6">
        <v>80</v>
      </c>
      <c r="L471" s="6" t="s">
        <v>1566</v>
      </c>
      <c r="M471" s="50">
        <v>0.75795855482464147</v>
      </c>
      <c r="N471" s="50">
        <v>-5.5836849507735591E-2</v>
      </c>
      <c r="O471" s="50">
        <v>0.62275899716589311</v>
      </c>
      <c r="P471" s="50">
        <v>0.95700793904120396</v>
      </c>
    </row>
    <row r="472" spans="1:16" ht="18" customHeight="1" x14ac:dyDescent="0.15">
      <c r="A472" s="5" t="s">
        <v>1023</v>
      </c>
      <c r="B472" s="6" t="s">
        <v>1036</v>
      </c>
      <c r="C472" s="6"/>
      <c r="D472" s="8"/>
      <c r="E472" s="8"/>
      <c r="F472" s="43"/>
      <c r="G472" s="43"/>
      <c r="H472" s="36"/>
      <c r="I472" s="6" t="s">
        <v>1095</v>
      </c>
      <c r="J472" s="6" t="s">
        <v>1238</v>
      </c>
      <c r="K472" s="6">
        <v>80</v>
      </c>
      <c r="L472" s="6" t="s">
        <v>1567</v>
      </c>
      <c r="M472" s="50">
        <v>0.29007169389764248</v>
      </c>
      <c r="N472" s="50">
        <v>0.1365213314580403</v>
      </c>
      <c r="O472" s="50">
        <v>0.22722847507646021</v>
      </c>
      <c r="P472" s="50">
        <v>0.95466802076570478</v>
      </c>
    </row>
    <row r="473" spans="1:16" ht="18" customHeight="1" x14ac:dyDescent="0.15">
      <c r="A473" s="5" t="s">
        <v>1023</v>
      </c>
      <c r="B473" s="6" t="s">
        <v>1036</v>
      </c>
      <c r="C473" s="6"/>
      <c r="D473" s="8"/>
      <c r="E473" s="8"/>
      <c r="F473" s="43"/>
      <c r="G473" s="43"/>
      <c r="H473" s="36"/>
      <c r="I473" s="6" t="s">
        <v>1095</v>
      </c>
      <c r="J473" s="6" t="s">
        <v>1240</v>
      </c>
      <c r="K473" s="6">
        <v>80</v>
      </c>
      <c r="L473" s="6" t="s">
        <v>1568</v>
      </c>
      <c r="M473" s="50">
        <v>0.56376434809557696</v>
      </c>
      <c r="N473" s="50">
        <v>-5.7829348335677447E-2</v>
      </c>
      <c r="O473" s="50">
        <v>0.6103825000594173</v>
      </c>
      <c r="P473" s="50">
        <v>0.95466802076570478</v>
      </c>
    </row>
    <row r="474" spans="1:16" ht="18" customHeight="1" x14ac:dyDescent="0.15">
      <c r="A474" s="5" t="s">
        <v>1023</v>
      </c>
      <c r="B474" s="6" t="s">
        <v>1036</v>
      </c>
      <c r="C474" s="6"/>
      <c r="D474" s="8"/>
      <c r="E474" s="8"/>
      <c r="F474" s="43"/>
      <c r="G474" s="43"/>
      <c r="H474" s="36"/>
      <c r="I474" s="6" t="s">
        <v>1095</v>
      </c>
      <c r="J474" s="6" t="s">
        <v>1242</v>
      </c>
      <c r="K474" s="6">
        <v>80</v>
      </c>
      <c r="L474" s="6" t="s">
        <v>1569</v>
      </c>
      <c r="M474" s="50">
        <v>0.55537632516062807</v>
      </c>
      <c r="N474" s="50">
        <v>-9.9226441631504916E-2</v>
      </c>
      <c r="O474" s="50">
        <v>0.38119094382206059</v>
      </c>
      <c r="P474" s="50">
        <v>0.95466802076570478</v>
      </c>
    </row>
    <row r="475" spans="1:16" ht="18" customHeight="1" x14ac:dyDescent="0.15">
      <c r="A475" s="5" t="s">
        <v>1023</v>
      </c>
      <c r="B475" s="6" t="s">
        <v>1036</v>
      </c>
      <c r="C475" s="6"/>
      <c r="D475" s="8"/>
      <c r="E475" s="8"/>
      <c r="F475" s="43"/>
      <c r="G475" s="43"/>
      <c r="H475" s="36"/>
      <c r="I475" s="6" t="s">
        <v>1095</v>
      </c>
      <c r="J475" s="6" t="s">
        <v>1244</v>
      </c>
      <c r="K475" s="6">
        <v>80</v>
      </c>
      <c r="L475" s="6" t="s">
        <v>1570</v>
      </c>
      <c r="M475" s="50">
        <v>0.38188610958915042</v>
      </c>
      <c r="N475" s="50">
        <v>-4.7585560243787999E-3</v>
      </c>
      <c r="O475" s="50">
        <v>0.96658464599615324</v>
      </c>
      <c r="P475" s="50">
        <v>0.95466802076570478</v>
      </c>
    </row>
    <row r="476" spans="1:16" ht="18" customHeight="1" x14ac:dyDescent="0.15">
      <c r="A476" s="5" t="s">
        <v>1023</v>
      </c>
      <c r="B476" s="6" t="s">
        <v>1036</v>
      </c>
      <c r="C476" s="6"/>
      <c r="D476" s="8"/>
      <c r="E476" s="8"/>
      <c r="F476" s="43"/>
      <c r="G476" s="43"/>
      <c r="H476" s="36"/>
      <c r="I476" s="6" t="s">
        <v>1095</v>
      </c>
      <c r="J476" s="6" t="s">
        <v>1246</v>
      </c>
      <c r="K476" s="6">
        <v>80</v>
      </c>
      <c r="L476" s="6" t="s">
        <v>1571</v>
      </c>
      <c r="M476" s="50">
        <v>0.53647538010065121</v>
      </c>
      <c r="N476" s="50">
        <v>-0.16033755274261599</v>
      </c>
      <c r="O476" s="50">
        <v>0.1553917445805833</v>
      </c>
      <c r="P476" s="50">
        <v>0.95466802076570478</v>
      </c>
    </row>
    <row r="477" spans="1:16" ht="18" customHeight="1" x14ac:dyDescent="0.15">
      <c r="A477" s="5" t="s">
        <v>1023</v>
      </c>
      <c r="B477" s="6" t="s">
        <v>1036</v>
      </c>
      <c r="C477" s="6"/>
      <c r="D477" s="8"/>
      <c r="E477" s="8"/>
      <c r="F477" s="43"/>
      <c r="G477" s="43"/>
      <c r="H477" s="36"/>
      <c r="I477" s="6" t="s">
        <v>1095</v>
      </c>
      <c r="J477" s="6" t="s">
        <v>1248</v>
      </c>
      <c r="K477" s="6">
        <v>80</v>
      </c>
      <c r="L477" s="6" t="s">
        <v>1572</v>
      </c>
      <c r="M477" s="50">
        <v>0.31765696181152442</v>
      </c>
      <c r="N477" s="50">
        <v>-0.1112283169245194</v>
      </c>
      <c r="O477" s="50">
        <v>0.32597628617525348</v>
      </c>
      <c r="P477" s="50">
        <v>0.95466802076570478</v>
      </c>
    </row>
    <row r="478" spans="1:16" ht="18" customHeight="1" x14ac:dyDescent="0.15">
      <c r="A478" s="5" t="s">
        <v>1023</v>
      </c>
      <c r="B478" s="6" t="s">
        <v>1036</v>
      </c>
      <c r="C478" s="6"/>
      <c r="D478" s="8"/>
      <c r="E478" s="8"/>
      <c r="F478" s="43"/>
      <c r="G478" s="43"/>
      <c r="H478" s="36"/>
      <c r="I478" s="6" t="s">
        <v>1095</v>
      </c>
      <c r="J478" s="6" t="s">
        <v>1250</v>
      </c>
      <c r="K478" s="6">
        <v>80</v>
      </c>
      <c r="L478" s="6" t="s">
        <v>1573</v>
      </c>
      <c r="M478" s="50">
        <v>7.2241243085971421E-2</v>
      </c>
      <c r="N478" s="50">
        <v>-0.1095405532114393</v>
      </c>
      <c r="O478" s="50">
        <v>0.33341648913859312</v>
      </c>
      <c r="P478" s="50">
        <v>0.95466802076570478</v>
      </c>
    </row>
    <row r="479" spans="1:16" ht="18" customHeight="1" x14ac:dyDescent="0.15">
      <c r="A479" s="5" t="s">
        <v>1023</v>
      </c>
      <c r="B479" s="6" t="s">
        <v>1036</v>
      </c>
      <c r="C479" s="6"/>
      <c r="D479" s="8"/>
      <c r="E479" s="8"/>
      <c r="F479" s="43"/>
      <c r="G479" s="43"/>
      <c r="H479" s="36"/>
      <c r="I479" s="6" t="s">
        <v>1095</v>
      </c>
      <c r="J479" s="6" t="s">
        <v>1252</v>
      </c>
      <c r="K479" s="6">
        <v>80</v>
      </c>
      <c r="L479" s="6" t="s">
        <v>1574</v>
      </c>
      <c r="M479" s="50">
        <v>0.28944789572302992</v>
      </c>
      <c r="N479" s="50">
        <v>0.21647913736521329</v>
      </c>
      <c r="O479" s="50">
        <v>5.3766632245721299E-2</v>
      </c>
      <c r="P479" s="50">
        <v>0.95466802076570478</v>
      </c>
    </row>
    <row r="480" spans="1:16" ht="18" customHeight="1" x14ac:dyDescent="0.15">
      <c r="A480" s="5" t="s">
        <v>1023</v>
      </c>
      <c r="B480" s="6" t="s">
        <v>1036</v>
      </c>
      <c r="C480" s="6"/>
      <c r="D480" s="8"/>
      <c r="E480" s="8"/>
      <c r="F480" s="43"/>
      <c r="G480" s="43"/>
      <c r="H480" s="36"/>
      <c r="I480" s="6" t="s">
        <v>1095</v>
      </c>
      <c r="J480" s="6" t="s">
        <v>1254</v>
      </c>
      <c r="K480" s="6">
        <v>80</v>
      </c>
      <c r="L480" s="6" t="s">
        <v>1575</v>
      </c>
      <c r="M480" s="50">
        <v>0.15403117151957979</v>
      </c>
      <c r="N480" s="50">
        <v>0.103609939052977</v>
      </c>
      <c r="O480" s="50">
        <v>0.36040427079115428</v>
      </c>
      <c r="P480" s="50">
        <v>0.95466802076570478</v>
      </c>
    </row>
    <row r="481" spans="1:16" ht="18" customHeight="1" x14ac:dyDescent="0.15">
      <c r="A481" s="5" t="s">
        <v>1023</v>
      </c>
      <c r="B481" s="6" t="s">
        <v>1036</v>
      </c>
      <c r="C481" s="6"/>
      <c r="D481" s="8"/>
      <c r="E481" s="8"/>
      <c r="F481" s="43"/>
      <c r="G481" s="43"/>
      <c r="H481" s="36"/>
      <c r="I481" s="6" t="s">
        <v>1095</v>
      </c>
      <c r="J481" s="6" t="s">
        <v>1256</v>
      </c>
      <c r="K481" s="6">
        <v>80</v>
      </c>
      <c r="L481" s="6" t="s">
        <v>1576</v>
      </c>
      <c r="M481" s="50">
        <v>0.66005532998356309</v>
      </c>
      <c r="N481" s="50">
        <v>9.5218002812939517E-2</v>
      </c>
      <c r="O481" s="50">
        <v>0.40081692724066431</v>
      </c>
      <c r="P481" s="50">
        <v>0.95700793904120396</v>
      </c>
    </row>
    <row r="482" spans="1:16" ht="18" customHeight="1" x14ac:dyDescent="0.15">
      <c r="A482" s="5" t="s">
        <v>1023</v>
      </c>
      <c r="B482" s="6" t="s">
        <v>1036</v>
      </c>
      <c r="C482" s="6"/>
      <c r="D482" s="8"/>
      <c r="E482" s="8"/>
      <c r="F482" s="43"/>
      <c r="G482" s="43"/>
      <c r="H482" s="36"/>
      <c r="I482" s="6" t="s">
        <v>1095</v>
      </c>
      <c r="J482" s="6" t="s">
        <v>1258</v>
      </c>
      <c r="K482" s="6">
        <v>80</v>
      </c>
      <c r="L482" s="6" t="s">
        <v>1577</v>
      </c>
      <c r="M482" s="50">
        <v>0.205315406169541</v>
      </c>
      <c r="N482" s="50">
        <v>2.20346929207688E-3</v>
      </c>
      <c r="O482" s="50">
        <v>0.98452339404211375</v>
      </c>
      <c r="P482" s="50">
        <v>0.95466802076570478</v>
      </c>
    </row>
    <row r="483" spans="1:16" ht="18" customHeight="1" x14ac:dyDescent="0.15">
      <c r="A483" s="5" t="s">
        <v>1023</v>
      </c>
      <c r="B483" s="6" t="s">
        <v>1036</v>
      </c>
      <c r="C483" s="6"/>
      <c r="D483" s="8"/>
      <c r="E483" s="8"/>
      <c r="F483" s="43"/>
      <c r="G483" s="43"/>
      <c r="H483" s="36"/>
      <c r="I483" s="6" t="s">
        <v>1095</v>
      </c>
      <c r="J483" s="6" t="s">
        <v>1260</v>
      </c>
      <c r="K483" s="6">
        <v>80</v>
      </c>
      <c r="L483" s="6" t="s">
        <v>1578</v>
      </c>
      <c r="M483" s="50">
        <v>5.6998556281693979E-2</v>
      </c>
      <c r="N483" s="50">
        <v>0.1801922175339897</v>
      </c>
      <c r="O483" s="50">
        <v>0.10972185117809739</v>
      </c>
      <c r="P483" s="50">
        <v>0.95466802076570478</v>
      </c>
    </row>
    <row r="484" spans="1:16" ht="18" customHeight="1" x14ac:dyDescent="0.15">
      <c r="A484" s="5" t="s">
        <v>1023</v>
      </c>
      <c r="B484" s="6" t="s">
        <v>1036</v>
      </c>
      <c r="C484" s="6"/>
      <c r="D484" s="8"/>
      <c r="E484" s="8"/>
      <c r="F484" s="43"/>
      <c r="G484" s="43"/>
      <c r="H484" s="36"/>
      <c r="I484" s="6" t="s">
        <v>1095</v>
      </c>
      <c r="J484" s="6" t="s">
        <v>1262</v>
      </c>
      <c r="K484" s="6">
        <v>80</v>
      </c>
      <c r="L484" s="6" t="s">
        <v>1579</v>
      </c>
      <c r="M484" s="50">
        <v>0.35939040674596839</v>
      </c>
      <c r="N484" s="50">
        <v>-6.8963900609470233E-2</v>
      </c>
      <c r="O484" s="50">
        <v>0.54328814553759053</v>
      </c>
      <c r="P484" s="50">
        <v>0.95466802076570478</v>
      </c>
    </row>
    <row r="485" spans="1:16" ht="18" customHeight="1" x14ac:dyDescent="0.15">
      <c r="A485" s="5" t="s">
        <v>1023</v>
      </c>
      <c r="B485" s="6" t="s">
        <v>1036</v>
      </c>
      <c r="C485" s="6"/>
      <c r="D485" s="8"/>
      <c r="E485" s="8"/>
      <c r="F485" s="43"/>
      <c r="G485" s="43"/>
      <c r="H485" s="36"/>
      <c r="I485" s="6" t="s">
        <v>1095</v>
      </c>
      <c r="J485" s="6" t="s">
        <v>1264</v>
      </c>
      <c r="K485" s="6">
        <v>80</v>
      </c>
      <c r="L485" s="6" t="s">
        <v>1580</v>
      </c>
      <c r="M485" s="50">
        <v>0.58423827133416817</v>
      </c>
      <c r="N485" s="50">
        <v>8.7435536802625401E-3</v>
      </c>
      <c r="O485" s="50">
        <v>0.93864315631411277</v>
      </c>
      <c r="P485" s="50">
        <v>0.95466802076570478</v>
      </c>
    </row>
    <row r="486" spans="1:16" ht="18" customHeight="1" x14ac:dyDescent="0.15">
      <c r="A486" s="5" t="s">
        <v>1023</v>
      </c>
      <c r="B486" s="6" t="s">
        <v>1036</v>
      </c>
      <c r="C486" s="6"/>
      <c r="D486" s="8"/>
      <c r="E486" s="8"/>
      <c r="F486" s="43"/>
      <c r="G486" s="43"/>
      <c r="H486" s="36"/>
      <c r="I486" s="6" t="s">
        <v>1095</v>
      </c>
      <c r="J486" s="6" t="s">
        <v>1266</v>
      </c>
      <c r="K486" s="6">
        <v>80</v>
      </c>
      <c r="L486" s="6" t="s">
        <v>1581</v>
      </c>
      <c r="M486" s="50">
        <v>0.37990420663969249</v>
      </c>
      <c r="N486" s="50">
        <v>-5.8813877168307549E-2</v>
      </c>
      <c r="O486" s="50">
        <v>0.60430684566952741</v>
      </c>
      <c r="P486" s="50">
        <v>0.95466802076570478</v>
      </c>
    </row>
    <row r="487" spans="1:16" ht="18" customHeight="1" x14ac:dyDescent="0.15">
      <c r="A487" s="5" t="s">
        <v>1023</v>
      </c>
      <c r="B487" s="6" t="s">
        <v>1036</v>
      </c>
      <c r="C487" s="6"/>
      <c r="D487" s="8"/>
      <c r="E487" s="8"/>
      <c r="F487" s="43"/>
      <c r="G487" s="43"/>
      <c r="H487" s="36"/>
      <c r="I487" s="6" t="s">
        <v>1095</v>
      </c>
      <c r="J487" s="6" t="s">
        <v>1268</v>
      </c>
      <c r="K487" s="6">
        <v>80</v>
      </c>
      <c r="L487" s="6" t="s">
        <v>1582</v>
      </c>
      <c r="M487" s="50">
        <v>0.83891675432997648</v>
      </c>
      <c r="N487" s="50">
        <v>0.1117909048288795</v>
      </c>
      <c r="O487" s="50">
        <v>0.32351992545604358</v>
      </c>
      <c r="P487" s="50">
        <v>0.95700793904120396</v>
      </c>
    </row>
    <row r="488" spans="1:16" ht="18" customHeight="1" x14ac:dyDescent="0.15">
      <c r="A488" s="5" t="s">
        <v>1023</v>
      </c>
      <c r="B488" s="6" t="s">
        <v>1036</v>
      </c>
      <c r="C488" s="6"/>
      <c r="D488" s="8"/>
      <c r="E488" s="8"/>
      <c r="F488" s="43"/>
      <c r="G488" s="43"/>
      <c r="H488" s="36"/>
      <c r="I488" s="6" t="s">
        <v>1095</v>
      </c>
      <c r="J488" s="6" t="s">
        <v>1270</v>
      </c>
      <c r="K488" s="6">
        <v>80</v>
      </c>
      <c r="L488" s="6" t="s">
        <v>1583</v>
      </c>
      <c r="M488" s="50">
        <v>6.0465928752324039E-2</v>
      </c>
      <c r="N488" s="50">
        <v>7.1870604781997194E-2</v>
      </c>
      <c r="O488" s="50">
        <v>0.52638557378159812</v>
      </c>
      <c r="P488" s="50">
        <v>0.95466802076570478</v>
      </c>
    </row>
    <row r="489" spans="1:16" ht="18" customHeight="1" x14ac:dyDescent="0.15">
      <c r="A489" s="5" t="s">
        <v>1023</v>
      </c>
      <c r="B489" s="6" t="s">
        <v>1036</v>
      </c>
      <c r="C489" s="6"/>
      <c r="D489" s="8"/>
      <c r="E489" s="8"/>
      <c r="F489" s="43"/>
      <c r="G489" s="43"/>
      <c r="H489" s="36"/>
      <c r="I489" s="6" t="s">
        <v>1095</v>
      </c>
      <c r="J489" s="6" t="s">
        <v>1272</v>
      </c>
      <c r="K489" s="6">
        <v>80</v>
      </c>
      <c r="L489" s="6" t="s">
        <v>1584</v>
      </c>
      <c r="M489" s="50">
        <v>0.56724590343186931</v>
      </c>
      <c r="N489" s="50">
        <v>-4.5007032348804508E-2</v>
      </c>
      <c r="O489" s="50">
        <v>0.69179484846703299</v>
      </c>
      <c r="P489" s="50">
        <v>0.95466802076570478</v>
      </c>
    </row>
    <row r="490" spans="1:16" ht="18" customHeight="1" x14ac:dyDescent="0.15">
      <c r="A490" s="5" t="s">
        <v>1023</v>
      </c>
      <c r="B490" s="6" t="s">
        <v>1036</v>
      </c>
      <c r="C490" s="6"/>
      <c r="D490" s="8"/>
      <c r="E490" s="8"/>
      <c r="F490" s="43"/>
      <c r="G490" s="43"/>
      <c r="H490" s="36"/>
      <c r="I490" s="6" t="s">
        <v>1095</v>
      </c>
      <c r="J490" s="6" t="s">
        <v>1274</v>
      </c>
      <c r="K490" s="6">
        <v>80</v>
      </c>
      <c r="L490" s="6" t="s">
        <v>1585</v>
      </c>
      <c r="M490" s="50">
        <v>0.40785719041997909</v>
      </c>
      <c r="N490" s="50">
        <v>0.2220815752461322</v>
      </c>
      <c r="O490" s="50">
        <v>4.7715361363251038E-2</v>
      </c>
      <c r="P490" s="50">
        <v>0.95466802076570478</v>
      </c>
    </row>
    <row r="491" spans="1:16" ht="18" customHeight="1" x14ac:dyDescent="0.15">
      <c r="A491" s="5" t="s">
        <v>1023</v>
      </c>
      <c r="B491" s="6" t="s">
        <v>1036</v>
      </c>
      <c r="C491" s="6"/>
      <c r="D491" s="8"/>
      <c r="E491" s="8"/>
      <c r="F491" s="43"/>
      <c r="G491" s="43"/>
      <c r="H491" s="36"/>
      <c r="I491" s="6" t="s">
        <v>1095</v>
      </c>
      <c r="J491" s="6" t="s">
        <v>1276</v>
      </c>
      <c r="K491" s="6">
        <v>80</v>
      </c>
      <c r="L491" s="6" t="s">
        <v>1586</v>
      </c>
      <c r="M491" s="50">
        <v>0.3492783245460967</v>
      </c>
      <c r="N491" s="50">
        <v>-0.15255508673230189</v>
      </c>
      <c r="O491" s="50">
        <v>0.17671421336882839</v>
      </c>
      <c r="P491" s="50">
        <v>0.95466802076570478</v>
      </c>
    </row>
    <row r="492" spans="1:16" ht="18" customHeight="1" x14ac:dyDescent="0.15">
      <c r="A492" s="5" t="s">
        <v>1023</v>
      </c>
      <c r="B492" s="6" t="s">
        <v>1036</v>
      </c>
      <c r="C492" s="6"/>
      <c r="D492" s="8"/>
      <c r="E492" s="8"/>
      <c r="F492" s="43"/>
      <c r="G492" s="43"/>
      <c r="H492" s="36"/>
      <c r="I492" s="6" t="s">
        <v>1095</v>
      </c>
      <c r="J492" s="6" t="s">
        <v>1278</v>
      </c>
      <c r="K492" s="6">
        <v>80</v>
      </c>
      <c r="L492" s="6" t="s">
        <v>1587</v>
      </c>
      <c r="M492" s="50">
        <v>0.64638993267888223</v>
      </c>
      <c r="N492" s="50">
        <v>-6.0759493670886067E-2</v>
      </c>
      <c r="O492" s="50">
        <v>0.59237923750504573</v>
      </c>
      <c r="P492" s="50">
        <v>0.95700793904120396</v>
      </c>
    </row>
    <row r="493" spans="1:16" ht="18" customHeight="1" x14ac:dyDescent="0.15">
      <c r="A493" s="5" t="s">
        <v>1023</v>
      </c>
      <c r="B493" s="6" t="s">
        <v>1036</v>
      </c>
      <c r="C493" s="6"/>
      <c r="D493" s="8"/>
      <c r="E493" s="8"/>
      <c r="F493" s="43"/>
      <c r="G493" s="43"/>
      <c r="H493" s="36"/>
      <c r="I493" s="6" t="s">
        <v>1095</v>
      </c>
      <c r="J493" s="6" t="s">
        <v>1280</v>
      </c>
      <c r="K493" s="6">
        <v>80</v>
      </c>
      <c r="L493" s="6" t="s">
        <v>1588</v>
      </c>
      <c r="M493" s="50">
        <v>0.70972377237091777</v>
      </c>
      <c r="N493" s="50">
        <v>-9.5897796530707916E-2</v>
      </c>
      <c r="O493" s="50">
        <v>0.3974472806916462</v>
      </c>
      <c r="P493" s="50">
        <v>0.95700793904120396</v>
      </c>
    </row>
    <row r="494" spans="1:16" ht="18" customHeight="1" x14ac:dyDescent="0.15">
      <c r="A494" s="5" t="s">
        <v>1023</v>
      </c>
      <c r="B494" s="6" t="s">
        <v>1036</v>
      </c>
      <c r="C494" s="6"/>
      <c r="D494" s="8"/>
      <c r="E494" s="8"/>
      <c r="F494" s="43"/>
      <c r="G494" s="43"/>
      <c r="H494" s="36"/>
      <c r="I494" s="6" t="s">
        <v>1095</v>
      </c>
      <c r="J494" s="6" t="s">
        <v>1282</v>
      </c>
      <c r="K494" s="6">
        <v>80</v>
      </c>
      <c r="L494" s="6" t="s">
        <v>1589</v>
      </c>
      <c r="M494" s="50">
        <v>0.85925577874295211</v>
      </c>
      <c r="N494" s="50">
        <v>-2.8527894983591189E-2</v>
      </c>
      <c r="O494" s="50">
        <v>0.80166219051256682</v>
      </c>
      <c r="P494" s="50">
        <v>0.95811258889703843</v>
      </c>
    </row>
    <row r="495" spans="1:16" ht="18" customHeight="1" x14ac:dyDescent="0.15">
      <c r="A495" s="5" t="s">
        <v>1023</v>
      </c>
      <c r="B495" s="6" t="s">
        <v>1036</v>
      </c>
      <c r="C495" s="6"/>
      <c r="D495" s="8"/>
      <c r="E495" s="8"/>
      <c r="F495" s="43"/>
      <c r="G495" s="43"/>
      <c r="H495" s="36"/>
      <c r="I495" s="6" t="s">
        <v>1095</v>
      </c>
      <c r="J495" s="6" t="s">
        <v>1284</v>
      </c>
      <c r="K495" s="6">
        <v>80</v>
      </c>
      <c r="L495" s="6" t="s">
        <v>1590</v>
      </c>
      <c r="M495" s="50">
        <v>0.33729287189693591</v>
      </c>
      <c r="N495" s="50">
        <v>0.107149554617909</v>
      </c>
      <c r="O495" s="50">
        <v>0.3441391504677635</v>
      </c>
      <c r="P495" s="50">
        <v>0.95466802076570478</v>
      </c>
    </row>
    <row r="496" spans="1:16" ht="18" customHeight="1" x14ac:dyDescent="0.15">
      <c r="A496" s="5" t="s">
        <v>1023</v>
      </c>
      <c r="B496" s="6" t="s">
        <v>1036</v>
      </c>
      <c r="C496" s="6"/>
      <c r="D496" s="8"/>
      <c r="E496" s="8"/>
      <c r="F496" s="43"/>
      <c r="G496" s="43"/>
      <c r="H496" s="36"/>
      <c r="I496" s="6" t="s">
        <v>1095</v>
      </c>
      <c r="J496" s="6" t="s">
        <v>1286</v>
      </c>
      <c r="K496" s="6">
        <v>80</v>
      </c>
      <c r="L496" s="6" t="s">
        <v>1591</v>
      </c>
      <c r="M496" s="50">
        <v>0.35081040438119321</v>
      </c>
      <c r="N496" s="50">
        <v>-0.1418659165494609</v>
      </c>
      <c r="O496" s="50">
        <v>0.20937829007725131</v>
      </c>
      <c r="P496" s="50">
        <v>0.95466802076570478</v>
      </c>
    </row>
    <row r="497" spans="1:16" ht="18" customHeight="1" x14ac:dyDescent="0.15">
      <c r="A497" s="5" t="s">
        <v>1023</v>
      </c>
      <c r="B497" s="6" t="s">
        <v>1036</v>
      </c>
      <c r="C497" s="6"/>
      <c r="D497" s="8"/>
      <c r="E497" s="8"/>
      <c r="F497" s="43"/>
      <c r="G497" s="43"/>
      <c r="H497" s="36"/>
      <c r="I497" s="6" t="s">
        <v>1095</v>
      </c>
      <c r="J497" s="6" t="s">
        <v>1288</v>
      </c>
      <c r="K497" s="6">
        <v>80</v>
      </c>
      <c r="L497" s="6" t="s">
        <v>1592</v>
      </c>
      <c r="M497" s="50">
        <v>0.12712732398910109</v>
      </c>
      <c r="N497" s="50">
        <v>-2.9067041725269502E-3</v>
      </c>
      <c r="O497" s="50">
        <v>0.9795849809607412</v>
      </c>
      <c r="P497" s="50">
        <v>0.95466802076570478</v>
      </c>
    </row>
    <row r="498" spans="1:16" ht="18" customHeight="1" x14ac:dyDescent="0.15">
      <c r="A498" s="5" t="s">
        <v>1023</v>
      </c>
      <c r="B498" s="6" t="s">
        <v>1036</v>
      </c>
      <c r="C498" s="6"/>
      <c r="D498" s="8"/>
      <c r="E498" s="8"/>
      <c r="F498" s="43"/>
      <c r="G498" s="43"/>
      <c r="H498" s="36"/>
      <c r="I498" s="6" t="s">
        <v>1095</v>
      </c>
      <c r="J498" s="6" t="s">
        <v>1290</v>
      </c>
      <c r="K498" s="6">
        <v>80</v>
      </c>
      <c r="L498" s="6" t="s">
        <v>1593</v>
      </c>
      <c r="M498" s="50">
        <v>0.36647521579807812</v>
      </c>
      <c r="N498" s="50">
        <v>-1.63384903891233E-2</v>
      </c>
      <c r="O498" s="50">
        <v>0.88562246363697306</v>
      </c>
      <c r="P498" s="50">
        <v>0.95466802076570478</v>
      </c>
    </row>
    <row r="499" spans="1:16" ht="18" customHeight="1" x14ac:dyDescent="0.15">
      <c r="A499" s="5" t="s">
        <v>1023</v>
      </c>
      <c r="B499" s="6" t="s">
        <v>1036</v>
      </c>
      <c r="C499" s="6"/>
      <c r="D499" s="8"/>
      <c r="E499" s="8"/>
      <c r="F499" s="43"/>
      <c r="G499" s="43"/>
      <c r="H499" s="36"/>
      <c r="I499" s="6" t="s">
        <v>1095</v>
      </c>
      <c r="J499" s="6" t="s">
        <v>1292</v>
      </c>
      <c r="K499" s="6">
        <v>80</v>
      </c>
      <c r="L499" s="6" t="s">
        <v>1594</v>
      </c>
      <c r="M499" s="50">
        <v>0.83343357020936093</v>
      </c>
      <c r="N499" s="50">
        <v>6.1415846225972796E-3</v>
      </c>
      <c r="O499" s="50">
        <v>0.95688102643733441</v>
      </c>
      <c r="P499" s="50">
        <v>0.95700793904120396</v>
      </c>
    </row>
    <row r="500" spans="1:16" ht="18" customHeight="1" x14ac:dyDescent="0.15">
      <c r="A500" s="63" t="s">
        <v>1023</v>
      </c>
      <c r="B500" s="64" t="s">
        <v>1036</v>
      </c>
      <c r="C500" s="64"/>
      <c r="D500" s="65"/>
      <c r="E500" s="65"/>
      <c r="F500" s="66"/>
      <c r="G500" s="66"/>
      <c r="H500" s="67"/>
      <c r="I500" s="64" t="s">
        <v>1095</v>
      </c>
      <c r="J500" s="64" t="s">
        <v>1294</v>
      </c>
      <c r="K500" s="64">
        <v>80</v>
      </c>
      <c r="L500" s="64" t="s">
        <v>1595</v>
      </c>
      <c r="M500" s="68">
        <v>0.3627123376461901</v>
      </c>
      <c r="N500" s="68">
        <v>7.1425222691045481E-2</v>
      </c>
      <c r="O500" s="68">
        <v>0.52895829040527975</v>
      </c>
      <c r="P500" s="68">
        <v>0.95466802076570478</v>
      </c>
    </row>
    <row r="501" spans="1:16" ht="18" customHeight="1" x14ac:dyDescent="0.15"/>
    <row r="502" spans="1:16" ht="85.5" customHeight="1" x14ac:dyDescent="0.15">
      <c r="A502" s="75" t="s">
        <v>1596</v>
      </c>
      <c r="B502" s="74"/>
      <c r="C502" s="74"/>
      <c r="D502" s="74"/>
      <c r="E502" s="74"/>
      <c r="F502" s="74"/>
      <c r="G502" s="74"/>
      <c r="H502" s="74"/>
      <c r="I502" s="74"/>
    </row>
  </sheetData>
  <mergeCells count="2">
    <mergeCell ref="A1:P1"/>
    <mergeCell ref="A502:I502"/>
  </mergeCells>
  <phoneticPr fontId="5"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73"/>
  <sheetViews>
    <sheetView topLeftCell="A55" workbookViewId="0">
      <selection activeCell="C1" sqref="C1"/>
    </sheetView>
  </sheetViews>
  <sheetFormatPr defaultRowHeight="13.5" x14ac:dyDescent="0.15"/>
  <cols>
    <col min="1" max="1" width="20" customWidth="1"/>
    <col min="2" max="2" width="10" customWidth="1"/>
    <col min="3" max="3" width="19.5" customWidth="1"/>
    <col min="4" max="4" width="17" customWidth="1"/>
    <col min="5" max="6" width="10" customWidth="1"/>
    <col min="7" max="7" width="13.25" customWidth="1"/>
    <col min="8" max="8" width="11" customWidth="1"/>
    <col min="9" max="9" width="8" customWidth="1"/>
    <col min="10" max="10" width="12" customWidth="1"/>
  </cols>
  <sheetData>
    <row r="1" spans="1:10" ht="18" customHeight="1" x14ac:dyDescent="0.15">
      <c r="A1" s="32" t="s">
        <v>1597</v>
      </c>
    </row>
    <row r="2" spans="1:10" ht="18" customHeight="1" x14ac:dyDescent="0.15"/>
    <row r="3" spans="1:10" ht="18" customHeight="1" x14ac:dyDescent="0.15">
      <c r="A3" s="22" t="s">
        <v>997</v>
      </c>
      <c r="B3" s="20" t="s">
        <v>581</v>
      </c>
      <c r="C3" s="20" t="s">
        <v>580</v>
      </c>
      <c r="D3" s="20" t="s">
        <v>1598</v>
      </c>
      <c r="E3" s="20" t="s">
        <v>1599</v>
      </c>
      <c r="F3" s="20" t="s">
        <v>1600</v>
      </c>
      <c r="G3" s="20" t="s">
        <v>1601</v>
      </c>
      <c r="H3" s="20" t="s">
        <v>1602</v>
      </c>
      <c r="I3" s="20" t="s">
        <v>1603</v>
      </c>
      <c r="J3" s="20" t="s">
        <v>1604</v>
      </c>
    </row>
    <row r="4" spans="1:10" ht="18" customHeight="1" x14ac:dyDescent="0.15">
      <c r="A4" s="5" t="s">
        <v>1020</v>
      </c>
      <c r="B4" s="6" t="s">
        <v>572</v>
      </c>
      <c r="C4" s="6" t="s">
        <v>257</v>
      </c>
      <c r="D4" s="6" t="s">
        <v>1605</v>
      </c>
      <c r="E4" s="50">
        <v>0.71625090000000002</v>
      </c>
      <c r="F4" s="50">
        <v>0.41394839999999999</v>
      </c>
      <c r="G4" s="6">
        <v>5</v>
      </c>
      <c r="H4" s="6" t="s">
        <v>1606</v>
      </c>
      <c r="I4" s="6" t="s">
        <v>731</v>
      </c>
      <c r="J4" s="6" t="s">
        <v>730</v>
      </c>
    </row>
    <row r="5" spans="1:10" ht="18" customHeight="1" x14ac:dyDescent="0.15">
      <c r="A5" s="5" t="s">
        <v>1607</v>
      </c>
      <c r="B5" s="6" t="s">
        <v>572</v>
      </c>
      <c r="C5" s="6" t="s">
        <v>257</v>
      </c>
      <c r="D5" s="6" t="s">
        <v>1608</v>
      </c>
      <c r="E5" s="50">
        <v>0.73559249999999998</v>
      </c>
      <c r="F5" s="50">
        <v>0.2075901</v>
      </c>
      <c r="G5" s="6">
        <v>9</v>
      </c>
      <c r="H5" s="6" t="s">
        <v>1609</v>
      </c>
      <c r="I5" s="6" t="s">
        <v>731</v>
      </c>
      <c r="J5" s="6" t="s">
        <v>730</v>
      </c>
    </row>
    <row r="6" spans="1:10" ht="18" customHeight="1" x14ac:dyDescent="0.15">
      <c r="A6" s="5" t="s">
        <v>1610</v>
      </c>
      <c r="B6" s="6" t="s">
        <v>572</v>
      </c>
      <c r="C6" s="6" t="s">
        <v>257</v>
      </c>
      <c r="D6" s="6" t="s">
        <v>1611</v>
      </c>
      <c r="E6" s="50">
        <v>0.49620799999999998</v>
      </c>
      <c r="F6" s="50">
        <v>0.44776850000000001</v>
      </c>
      <c r="G6" s="6">
        <v>13</v>
      </c>
      <c r="H6" s="6" t="s">
        <v>1612</v>
      </c>
      <c r="I6" s="6" t="s">
        <v>731</v>
      </c>
      <c r="J6" s="6" t="s">
        <v>730</v>
      </c>
    </row>
    <row r="7" spans="1:10" ht="18" customHeight="1" x14ac:dyDescent="0.15">
      <c r="A7" s="5" t="s">
        <v>1613</v>
      </c>
      <c r="B7" s="6" t="s">
        <v>572</v>
      </c>
      <c r="C7" s="6" t="s">
        <v>257</v>
      </c>
      <c r="D7" s="6" t="s">
        <v>1614</v>
      </c>
      <c r="E7" s="50">
        <v>0.49600699999999998</v>
      </c>
      <c r="F7" s="50">
        <v>0.57672129999999999</v>
      </c>
      <c r="G7" s="6">
        <v>14</v>
      </c>
      <c r="H7" s="6" t="s">
        <v>1612</v>
      </c>
      <c r="I7" s="6" t="s">
        <v>731</v>
      </c>
      <c r="J7" s="6" t="s">
        <v>730</v>
      </c>
    </row>
    <row r="8" spans="1:10" ht="18" customHeight="1" x14ac:dyDescent="0.15">
      <c r="A8" s="5" t="s">
        <v>1615</v>
      </c>
      <c r="B8" s="6" t="s">
        <v>572</v>
      </c>
      <c r="C8" s="6" t="s">
        <v>257</v>
      </c>
      <c r="D8" s="6"/>
      <c r="E8" s="50"/>
      <c r="F8" s="50"/>
      <c r="G8" s="6"/>
      <c r="H8" s="6"/>
      <c r="I8" s="6" t="s">
        <v>1616</v>
      </c>
      <c r="J8" s="6" t="s">
        <v>730</v>
      </c>
    </row>
    <row r="9" spans="1:10" ht="18" customHeight="1" x14ac:dyDescent="0.15">
      <c r="A9" s="5" t="s">
        <v>1617</v>
      </c>
      <c r="B9" s="6" t="s">
        <v>572</v>
      </c>
      <c r="C9" s="6" t="s">
        <v>257</v>
      </c>
      <c r="D9" s="6"/>
      <c r="E9" s="50"/>
      <c r="F9" s="50"/>
      <c r="G9" s="6"/>
      <c r="H9" s="6"/>
      <c r="I9" s="6" t="s">
        <v>1616</v>
      </c>
      <c r="J9" s="6" t="s">
        <v>730</v>
      </c>
    </row>
    <row r="10" spans="1:10" ht="18" customHeight="1" x14ac:dyDescent="0.15">
      <c r="A10" s="5" t="s">
        <v>1618</v>
      </c>
      <c r="B10" s="6" t="s">
        <v>572</v>
      </c>
      <c r="C10" s="6" t="s">
        <v>257</v>
      </c>
      <c r="D10" s="6"/>
      <c r="E10" s="50"/>
      <c r="F10" s="50"/>
      <c r="G10" s="6"/>
      <c r="H10" s="6"/>
      <c r="I10" s="6" t="s">
        <v>1616</v>
      </c>
      <c r="J10" s="6" t="s">
        <v>730</v>
      </c>
    </row>
    <row r="11" spans="1:10" ht="18" customHeight="1" x14ac:dyDescent="0.15">
      <c r="A11" s="5" t="s">
        <v>1619</v>
      </c>
      <c r="B11" s="6" t="s">
        <v>572</v>
      </c>
      <c r="C11" s="6" t="s">
        <v>257</v>
      </c>
      <c r="D11" s="6" t="s">
        <v>1620</v>
      </c>
      <c r="E11" s="50">
        <v>0.73548150000000001</v>
      </c>
      <c r="F11" s="50">
        <v>0.2977766</v>
      </c>
      <c r="G11" s="6">
        <v>10</v>
      </c>
      <c r="H11" s="6" t="s">
        <v>1609</v>
      </c>
      <c r="I11" s="6" t="s">
        <v>731</v>
      </c>
      <c r="J11" s="6" t="s">
        <v>730</v>
      </c>
    </row>
    <row r="12" spans="1:10" ht="18" customHeight="1" x14ac:dyDescent="0.15">
      <c r="A12" s="5" t="s">
        <v>1621</v>
      </c>
      <c r="B12" s="6" t="s">
        <v>572</v>
      </c>
      <c r="C12" s="6" t="s">
        <v>257</v>
      </c>
      <c r="D12" s="6"/>
      <c r="E12" s="50"/>
      <c r="F12" s="50"/>
      <c r="G12" s="6"/>
      <c r="H12" s="6"/>
      <c r="I12" s="6" t="s">
        <v>1616</v>
      </c>
      <c r="J12" s="6" t="s">
        <v>730</v>
      </c>
    </row>
    <row r="13" spans="1:10" ht="18" customHeight="1" x14ac:dyDescent="0.15">
      <c r="A13" s="5" t="s">
        <v>1622</v>
      </c>
      <c r="B13" s="6" t="s">
        <v>572</v>
      </c>
      <c r="C13" s="6" t="s">
        <v>257</v>
      </c>
      <c r="D13" s="6"/>
      <c r="E13" s="50"/>
      <c r="F13" s="50"/>
      <c r="G13" s="6"/>
      <c r="H13" s="6"/>
      <c r="I13" s="6" t="s">
        <v>1616</v>
      </c>
      <c r="J13" s="6" t="s">
        <v>730</v>
      </c>
    </row>
    <row r="14" spans="1:10" ht="18" customHeight="1" x14ac:dyDescent="0.15">
      <c r="A14" s="5" t="s">
        <v>1623</v>
      </c>
      <c r="B14" s="6" t="s">
        <v>572</v>
      </c>
      <c r="C14" s="6" t="s">
        <v>257</v>
      </c>
      <c r="D14" s="6"/>
      <c r="E14" s="50"/>
      <c r="F14" s="50"/>
      <c r="G14" s="6"/>
      <c r="H14" s="6"/>
      <c r="I14" s="6" t="s">
        <v>1616</v>
      </c>
      <c r="J14" s="6" t="s">
        <v>730</v>
      </c>
    </row>
    <row r="15" spans="1:10" ht="18" customHeight="1" x14ac:dyDescent="0.15">
      <c r="A15" s="5" t="s">
        <v>1624</v>
      </c>
      <c r="B15" s="6" t="s">
        <v>572</v>
      </c>
      <c r="C15" s="6" t="s">
        <v>257</v>
      </c>
      <c r="D15" s="6"/>
      <c r="E15" s="50"/>
      <c r="F15" s="50"/>
      <c r="G15" s="6"/>
      <c r="H15" s="6"/>
      <c r="I15" s="6" t="s">
        <v>1616</v>
      </c>
      <c r="J15" s="6" t="s">
        <v>730</v>
      </c>
    </row>
    <row r="16" spans="1:10" ht="18" customHeight="1" x14ac:dyDescent="0.15">
      <c r="A16" s="5" t="s">
        <v>1019</v>
      </c>
      <c r="B16" s="6" t="s">
        <v>572</v>
      </c>
      <c r="C16" s="6" t="s">
        <v>257</v>
      </c>
      <c r="D16" s="6"/>
      <c r="E16" s="50"/>
      <c r="F16" s="50"/>
      <c r="G16" s="6"/>
      <c r="H16" s="6"/>
      <c r="I16" s="6" t="s">
        <v>1616</v>
      </c>
      <c r="J16" s="6" t="s">
        <v>730</v>
      </c>
    </row>
    <row r="17" spans="1:10" ht="18" customHeight="1" x14ac:dyDescent="0.15">
      <c r="A17" s="5" t="s">
        <v>1018</v>
      </c>
      <c r="B17" s="6" t="s">
        <v>572</v>
      </c>
      <c r="C17" s="6" t="s">
        <v>257</v>
      </c>
      <c r="D17" s="6"/>
      <c r="E17" s="50"/>
      <c r="F17" s="50"/>
      <c r="G17" s="6"/>
      <c r="H17" s="6"/>
      <c r="I17" s="6" t="s">
        <v>1616</v>
      </c>
      <c r="J17" s="6" t="s">
        <v>730</v>
      </c>
    </row>
    <row r="18" spans="1:10" ht="18" customHeight="1" x14ac:dyDescent="0.15">
      <c r="A18" s="5" t="s">
        <v>1625</v>
      </c>
      <c r="B18" s="6" t="s">
        <v>572</v>
      </c>
      <c r="C18" s="6" t="s">
        <v>257</v>
      </c>
      <c r="D18" s="6"/>
      <c r="E18" s="50"/>
      <c r="F18" s="50"/>
      <c r="G18" s="6"/>
      <c r="H18" s="6"/>
      <c r="I18" s="6" t="s">
        <v>1616</v>
      </c>
      <c r="J18" s="6" t="s">
        <v>730</v>
      </c>
    </row>
    <row r="19" spans="1:10" ht="18" customHeight="1" x14ac:dyDescent="0.15">
      <c r="A19" s="5" t="s">
        <v>1626</v>
      </c>
      <c r="B19" s="6" t="s">
        <v>572</v>
      </c>
      <c r="C19" s="6" t="s">
        <v>257</v>
      </c>
      <c r="D19" s="6"/>
      <c r="E19" s="50"/>
      <c r="F19" s="50"/>
      <c r="G19" s="6"/>
      <c r="H19" s="6"/>
      <c r="I19" s="6" t="s">
        <v>1616</v>
      </c>
      <c r="J19" s="6" t="s">
        <v>730</v>
      </c>
    </row>
    <row r="20" spans="1:10" ht="18" customHeight="1" x14ac:dyDescent="0.15">
      <c r="A20" s="5" t="s">
        <v>1627</v>
      </c>
      <c r="B20" s="6" t="s">
        <v>572</v>
      </c>
      <c r="C20" s="6" t="s">
        <v>257</v>
      </c>
      <c r="D20" s="6" t="s">
        <v>1628</v>
      </c>
      <c r="E20" s="50">
        <v>0.69598519999999997</v>
      </c>
      <c r="F20" s="50"/>
      <c r="G20" s="6"/>
      <c r="H20" s="6" t="s">
        <v>1629</v>
      </c>
      <c r="I20" s="6" t="s">
        <v>731</v>
      </c>
      <c r="J20" s="6" t="s">
        <v>730</v>
      </c>
    </row>
    <row r="21" spans="1:10" ht="18" customHeight="1" x14ac:dyDescent="0.15">
      <c r="A21" s="5" t="s">
        <v>1020</v>
      </c>
      <c r="B21" s="6" t="s">
        <v>572</v>
      </c>
      <c r="C21" s="6" t="s">
        <v>18</v>
      </c>
      <c r="D21" s="6" t="s">
        <v>1630</v>
      </c>
      <c r="E21" s="50">
        <v>0.4571443</v>
      </c>
      <c r="F21" s="50">
        <v>0.62029380000000001</v>
      </c>
      <c r="G21" s="6">
        <v>5</v>
      </c>
      <c r="H21" s="6" t="s">
        <v>1606</v>
      </c>
      <c r="I21" s="6" t="s">
        <v>731</v>
      </c>
      <c r="J21" s="6" t="s">
        <v>730</v>
      </c>
    </row>
    <row r="22" spans="1:10" ht="18" customHeight="1" x14ac:dyDescent="0.15">
      <c r="A22" s="5" t="s">
        <v>1607</v>
      </c>
      <c r="B22" s="6" t="s">
        <v>572</v>
      </c>
      <c r="C22" s="6" t="s">
        <v>18</v>
      </c>
      <c r="D22" s="6" t="s">
        <v>1631</v>
      </c>
      <c r="E22" s="50">
        <v>0.59699820000000003</v>
      </c>
      <c r="F22" s="50">
        <v>0.53627230000000004</v>
      </c>
      <c r="G22" s="6">
        <v>9</v>
      </c>
      <c r="H22" s="6" t="s">
        <v>1609</v>
      </c>
      <c r="I22" s="6" t="s">
        <v>731</v>
      </c>
      <c r="J22" s="6" t="s">
        <v>730</v>
      </c>
    </row>
    <row r="23" spans="1:10" ht="18" customHeight="1" x14ac:dyDescent="0.15">
      <c r="A23" s="5" t="s">
        <v>1610</v>
      </c>
      <c r="B23" s="6" t="s">
        <v>572</v>
      </c>
      <c r="C23" s="6" t="s">
        <v>18</v>
      </c>
      <c r="D23" s="6" t="s">
        <v>1632</v>
      </c>
      <c r="E23" s="50">
        <v>0.57966050000000002</v>
      </c>
      <c r="F23" s="50">
        <v>0.30696859999999998</v>
      </c>
      <c r="G23" s="6">
        <v>13</v>
      </c>
      <c r="H23" s="6" t="s">
        <v>1612</v>
      </c>
      <c r="I23" s="6" t="s">
        <v>731</v>
      </c>
      <c r="J23" s="6" t="s">
        <v>730</v>
      </c>
    </row>
    <row r="24" spans="1:10" ht="18" customHeight="1" x14ac:dyDescent="0.15">
      <c r="A24" s="5" t="s">
        <v>1613</v>
      </c>
      <c r="B24" s="6" t="s">
        <v>572</v>
      </c>
      <c r="C24" s="6" t="s">
        <v>18</v>
      </c>
      <c r="D24" s="6" t="s">
        <v>1633</v>
      </c>
      <c r="E24" s="50">
        <v>0.57954329999999998</v>
      </c>
      <c r="F24" s="50">
        <v>0.18748000000000001</v>
      </c>
      <c r="G24" s="6">
        <v>14</v>
      </c>
      <c r="H24" s="6" t="s">
        <v>1612</v>
      </c>
      <c r="I24" s="6" t="s">
        <v>731</v>
      </c>
      <c r="J24" s="6" t="s">
        <v>730</v>
      </c>
    </row>
    <row r="25" spans="1:10" ht="18" customHeight="1" x14ac:dyDescent="0.15">
      <c r="A25" s="5" t="s">
        <v>1615</v>
      </c>
      <c r="B25" s="6" t="s">
        <v>572</v>
      </c>
      <c r="C25" s="6" t="s">
        <v>18</v>
      </c>
      <c r="D25" s="6"/>
      <c r="E25" s="50"/>
      <c r="F25" s="50"/>
      <c r="G25" s="6"/>
      <c r="H25" s="6"/>
      <c r="I25" s="6" t="s">
        <v>1616</v>
      </c>
      <c r="J25" s="6" t="s">
        <v>730</v>
      </c>
    </row>
    <row r="26" spans="1:10" ht="18" customHeight="1" x14ac:dyDescent="0.15">
      <c r="A26" s="5" t="s">
        <v>1617</v>
      </c>
      <c r="B26" s="6" t="s">
        <v>572</v>
      </c>
      <c r="C26" s="6" t="s">
        <v>18</v>
      </c>
      <c r="D26" s="6"/>
      <c r="E26" s="50"/>
      <c r="F26" s="50"/>
      <c r="G26" s="6"/>
      <c r="H26" s="6"/>
      <c r="I26" s="6" t="s">
        <v>1616</v>
      </c>
      <c r="J26" s="6" t="s">
        <v>730</v>
      </c>
    </row>
    <row r="27" spans="1:10" ht="18" customHeight="1" x14ac:dyDescent="0.15">
      <c r="A27" s="5" t="s">
        <v>1618</v>
      </c>
      <c r="B27" s="6" t="s">
        <v>572</v>
      </c>
      <c r="C27" s="6" t="s">
        <v>18</v>
      </c>
      <c r="D27" s="6"/>
      <c r="E27" s="50"/>
      <c r="F27" s="50"/>
      <c r="G27" s="6"/>
      <c r="H27" s="6"/>
      <c r="I27" s="6" t="s">
        <v>1616</v>
      </c>
      <c r="J27" s="6" t="s">
        <v>730</v>
      </c>
    </row>
    <row r="28" spans="1:10" ht="18" customHeight="1" x14ac:dyDescent="0.15">
      <c r="A28" s="5" t="s">
        <v>1619</v>
      </c>
      <c r="B28" s="6" t="s">
        <v>572</v>
      </c>
      <c r="C28" s="6" t="s">
        <v>18</v>
      </c>
      <c r="D28" s="6" t="s">
        <v>1634</v>
      </c>
      <c r="E28" s="50">
        <v>0.59660550000000001</v>
      </c>
      <c r="F28" s="50">
        <v>0.35427720000000001</v>
      </c>
      <c r="G28" s="6">
        <v>10</v>
      </c>
      <c r="H28" s="6" t="s">
        <v>1609</v>
      </c>
      <c r="I28" s="6" t="s">
        <v>731</v>
      </c>
      <c r="J28" s="6" t="s">
        <v>730</v>
      </c>
    </row>
    <row r="29" spans="1:10" ht="18" customHeight="1" x14ac:dyDescent="0.15">
      <c r="A29" s="5" t="s">
        <v>1621</v>
      </c>
      <c r="B29" s="6" t="s">
        <v>572</v>
      </c>
      <c r="C29" s="6" t="s">
        <v>18</v>
      </c>
      <c r="D29" s="6"/>
      <c r="E29" s="50"/>
      <c r="F29" s="50"/>
      <c r="G29" s="6"/>
      <c r="H29" s="6"/>
      <c r="I29" s="6" t="s">
        <v>1616</v>
      </c>
      <c r="J29" s="6" t="s">
        <v>730</v>
      </c>
    </row>
    <row r="30" spans="1:10" ht="18" customHeight="1" x14ac:dyDescent="0.15">
      <c r="A30" s="5" t="s">
        <v>1622</v>
      </c>
      <c r="B30" s="6" t="s">
        <v>572</v>
      </c>
      <c r="C30" s="6" t="s">
        <v>18</v>
      </c>
      <c r="D30" s="6"/>
      <c r="E30" s="50"/>
      <c r="F30" s="50"/>
      <c r="G30" s="6"/>
      <c r="H30" s="6"/>
      <c r="I30" s="6" t="s">
        <v>1616</v>
      </c>
      <c r="J30" s="6" t="s">
        <v>730</v>
      </c>
    </row>
    <row r="31" spans="1:10" ht="18" customHeight="1" x14ac:dyDescent="0.15">
      <c r="A31" s="5" t="s">
        <v>1623</v>
      </c>
      <c r="B31" s="6" t="s">
        <v>572</v>
      </c>
      <c r="C31" s="6" t="s">
        <v>18</v>
      </c>
      <c r="D31" s="6"/>
      <c r="E31" s="50"/>
      <c r="F31" s="50"/>
      <c r="G31" s="6"/>
      <c r="H31" s="6"/>
      <c r="I31" s="6" t="s">
        <v>1616</v>
      </c>
      <c r="J31" s="6" t="s">
        <v>730</v>
      </c>
    </row>
    <row r="32" spans="1:10" ht="18" customHeight="1" x14ac:dyDescent="0.15">
      <c r="A32" s="5" t="s">
        <v>1624</v>
      </c>
      <c r="B32" s="6" t="s">
        <v>572</v>
      </c>
      <c r="C32" s="6" t="s">
        <v>18</v>
      </c>
      <c r="D32" s="6"/>
      <c r="E32" s="50"/>
      <c r="F32" s="50"/>
      <c r="G32" s="6"/>
      <c r="H32" s="6"/>
      <c r="I32" s="6" t="s">
        <v>1616</v>
      </c>
      <c r="J32" s="6" t="s">
        <v>730</v>
      </c>
    </row>
    <row r="33" spans="1:10" ht="18" customHeight="1" x14ac:dyDescent="0.15">
      <c r="A33" s="5" t="s">
        <v>1019</v>
      </c>
      <c r="B33" s="6" t="s">
        <v>572</v>
      </c>
      <c r="C33" s="6" t="s">
        <v>18</v>
      </c>
      <c r="D33" s="6"/>
      <c r="E33" s="50"/>
      <c r="F33" s="50"/>
      <c r="G33" s="6"/>
      <c r="H33" s="6"/>
      <c r="I33" s="6" t="s">
        <v>1616</v>
      </c>
      <c r="J33" s="6" t="s">
        <v>730</v>
      </c>
    </row>
    <row r="34" spans="1:10" ht="18" customHeight="1" x14ac:dyDescent="0.15">
      <c r="A34" s="5" t="s">
        <v>1018</v>
      </c>
      <c r="B34" s="6" t="s">
        <v>572</v>
      </c>
      <c r="C34" s="6" t="s">
        <v>18</v>
      </c>
      <c r="D34" s="6"/>
      <c r="E34" s="50"/>
      <c r="F34" s="50"/>
      <c r="G34" s="6"/>
      <c r="H34" s="6"/>
      <c r="I34" s="6" t="s">
        <v>1616</v>
      </c>
      <c r="J34" s="6" t="s">
        <v>730</v>
      </c>
    </row>
    <row r="35" spans="1:10" ht="18" customHeight="1" x14ac:dyDescent="0.15">
      <c r="A35" s="5" t="s">
        <v>1625</v>
      </c>
      <c r="B35" s="6" t="s">
        <v>572</v>
      </c>
      <c r="C35" s="6" t="s">
        <v>18</v>
      </c>
      <c r="D35" s="6"/>
      <c r="E35" s="50"/>
      <c r="F35" s="50"/>
      <c r="G35" s="6"/>
      <c r="H35" s="6"/>
      <c r="I35" s="6" t="s">
        <v>1616</v>
      </c>
      <c r="J35" s="6" t="s">
        <v>730</v>
      </c>
    </row>
    <row r="36" spans="1:10" ht="18" customHeight="1" x14ac:dyDescent="0.15">
      <c r="A36" s="5" t="s">
        <v>1626</v>
      </c>
      <c r="B36" s="6" t="s">
        <v>572</v>
      </c>
      <c r="C36" s="6" t="s">
        <v>18</v>
      </c>
      <c r="D36" s="6"/>
      <c r="E36" s="50"/>
      <c r="F36" s="50"/>
      <c r="G36" s="6"/>
      <c r="H36" s="6"/>
      <c r="I36" s="6" t="s">
        <v>1616</v>
      </c>
      <c r="J36" s="6" t="s">
        <v>730</v>
      </c>
    </row>
    <row r="37" spans="1:10" ht="18" customHeight="1" x14ac:dyDescent="0.15">
      <c r="A37" s="5" t="s">
        <v>1627</v>
      </c>
      <c r="B37" s="6" t="s">
        <v>572</v>
      </c>
      <c r="C37" s="6" t="s">
        <v>18</v>
      </c>
      <c r="D37" s="6" t="s">
        <v>1635</v>
      </c>
      <c r="E37" s="50">
        <v>0.59521820000000003</v>
      </c>
      <c r="F37" s="50"/>
      <c r="G37" s="6"/>
      <c r="H37" s="6" t="s">
        <v>1629</v>
      </c>
      <c r="I37" s="6" t="s">
        <v>731</v>
      </c>
      <c r="J37" s="6" t="s">
        <v>730</v>
      </c>
    </row>
    <row r="38" spans="1:10" ht="18" customHeight="1" x14ac:dyDescent="0.15">
      <c r="A38" s="5" t="s">
        <v>1020</v>
      </c>
      <c r="B38" s="6" t="s">
        <v>570</v>
      </c>
      <c r="C38" s="6" t="s">
        <v>257</v>
      </c>
      <c r="D38" s="6"/>
      <c r="E38" s="50"/>
      <c r="F38" s="50"/>
      <c r="G38" s="6"/>
      <c r="H38" s="6"/>
      <c r="I38" s="6" t="s">
        <v>1616</v>
      </c>
      <c r="J38" s="6" t="s">
        <v>730</v>
      </c>
    </row>
    <row r="39" spans="1:10" ht="18" customHeight="1" x14ac:dyDescent="0.15">
      <c r="A39" s="5" t="s">
        <v>1607</v>
      </c>
      <c r="B39" s="6" t="s">
        <v>570</v>
      </c>
      <c r="C39" s="6" t="s">
        <v>257</v>
      </c>
      <c r="D39" s="6" t="s">
        <v>1636</v>
      </c>
      <c r="E39" s="50">
        <v>0.47685369999999999</v>
      </c>
      <c r="F39" s="50">
        <v>0.84772749999999997</v>
      </c>
      <c r="G39" s="6">
        <v>20</v>
      </c>
      <c r="H39" s="6" t="s">
        <v>1637</v>
      </c>
      <c r="I39" s="6" t="s">
        <v>731</v>
      </c>
      <c r="J39" s="6" t="s">
        <v>730</v>
      </c>
    </row>
    <row r="40" spans="1:10" ht="18" customHeight="1" x14ac:dyDescent="0.15">
      <c r="A40" s="5" t="s">
        <v>1610</v>
      </c>
      <c r="B40" s="6" t="s">
        <v>570</v>
      </c>
      <c r="C40" s="6" t="s">
        <v>257</v>
      </c>
      <c r="D40" s="6" t="s">
        <v>1638</v>
      </c>
      <c r="E40" s="50">
        <v>0.47712139999999997</v>
      </c>
      <c r="F40" s="50">
        <v>0.97412560000000004</v>
      </c>
      <c r="G40" s="6">
        <v>20</v>
      </c>
      <c r="H40" s="6" t="s">
        <v>1637</v>
      </c>
      <c r="I40" s="6" t="s">
        <v>731</v>
      </c>
      <c r="J40" s="6" t="s">
        <v>730</v>
      </c>
    </row>
    <row r="41" spans="1:10" ht="18" customHeight="1" x14ac:dyDescent="0.15">
      <c r="A41" s="5" t="s">
        <v>1613</v>
      </c>
      <c r="B41" s="6" t="s">
        <v>570</v>
      </c>
      <c r="C41" s="6" t="s">
        <v>257</v>
      </c>
      <c r="D41" s="6" t="s">
        <v>1639</v>
      </c>
      <c r="E41" s="50">
        <v>0.47685440000000001</v>
      </c>
      <c r="F41" s="50">
        <v>0.92909529999999996</v>
      </c>
      <c r="G41" s="6">
        <v>20</v>
      </c>
      <c r="H41" s="6" t="s">
        <v>1637</v>
      </c>
      <c r="I41" s="6" t="s">
        <v>731</v>
      </c>
      <c r="J41" s="6" t="s">
        <v>730</v>
      </c>
    </row>
    <row r="42" spans="1:10" ht="18" customHeight="1" x14ac:dyDescent="0.15">
      <c r="A42" s="5" t="s">
        <v>1615</v>
      </c>
      <c r="B42" s="6" t="s">
        <v>570</v>
      </c>
      <c r="C42" s="6" t="s">
        <v>257</v>
      </c>
      <c r="D42" s="6"/>
      <c r="E42" s="50"/>
      <c r="F42" s="50"/>
      <c r="G42" s="6"/>
      <c r="H42" s="6"/>
      <c r="I42" s="6" t="s">
        <v>1616</v>
      </c>
      <c r="J42" s="6" t="s">
        <v>730</v>
      </c>
    </row>
    <row r="43" spans="1:10" ht="18" customHeight="1" x14ac:dyDescent="0.15">
      <c r="A43" s="5" t="s">
        <v>1617</v>
      </c>
      <c r="B43" s="6" t="s">
        <v>570</v>
      </c>
      <c r="C43" s="6" t="s">
        <v>257</v>
      </c>
      <c r="D43" s="6" t="s">
        <v>1640</v>
      </c>
      <c r="E43" s="50">
        <v>0.47694740000000002</v>
      </c>
      <c r="F43" s="50">
        <v>0.97376339999999995</v>
      </c>
      <c r="G43" s="6">
        <v>20</v>
      </c>
      <c r="H43" s="6" t="s">
        <v>1637</v>
      </c>
      <c r="I43" s="6" t="s">
        <v>731</v>
      </c>
      <c r="J43" s="6" t="s">
        <v>730</v>
      </c>
    </row>
    <row r="44" spans="1:10" ht="18" customHeight="1" x14ac:dyDescent="0.15">
      <c r="A44" s="5" t="s">
        <v>1618</v>
      </c>
      <c r="B44" s="6" t="s">
        <v>570</v>
      </c>
      <c r="C44" s="6" t="s">
        <v>257</v>
      </c>
      <c r="D44" s="6"/>
      <c r="E44" s="50"/>
      <c r="F44" s="50"/>
      <c r="G44" s="6"/>
      <c r="H44" s="6"/>
      <c r="I44" s="6" t="s">
        <v>1616</v>
      </c>
      <c r="J44" s="6" t="s">
        <v>730</v>
      </c>
    </row>
    <row r="45" spans="1:10" ht="18" customHeight="1" x14ac:dyDescent="0.15">
      <c r="A45" s="5" t="s">
        <v>1619</v>
      </c>
      <c r="B45" s="6" t="s">
        <v>570</v>
      </c>
      <c r="C45" s="6" t="s">
        <v>257</v>
      </c>
      <c r="D45" s="6" t="s">
        <v>1641</v>
      </c>
      <c r="E45" s="50">
        <v>0.22543540000000001</v>
      </c>
      <c r="F45" s="50">
        <v>0.56524110000000005</v>
      </c>
      <c r="G45" s="6">
        <v>18</v>
      </c>
      <c r="H45" s="6" t="s">
        <v>1642</v>
      </c>
      <c r="I45" s="6" t="s">
        <v>731</v>
      </c>
      <c r="J45" s="6" t="s">
        <v>730</v>
      </c>
    </row>
    <row r="46" spans="1:10" ht="18" customHeight="1" x14ac:dyDescent="0.15">
      <c r="A46" s="5" t="s">
        <v>1621</v>
      </c>
      <c r="B46" s="6" t="s">
        <v>570</v>
      </c>
      <c r="C46" s="6" t="s">
        <v>257</v>
      </c>
      <c r="D46" s="6"/>
      <c r="E46" s="50"/>
      <c r="F46" s="50"/>
      <c r="G46" s="6"/>
      <c r="H46" s="6"/>
      <c r="I46" s="6" t="s">
        <v>1616</v>
      </c>
      <c r="J46" s="6" t="s">
        <v>730</v>
      </c>
    </row>
    <row r="47" spans="1:10" ht="18" customHeight="1" x14ac:dyDescent="0.15">
      <c r="A47" s="5" t="s">
        <v>1622</v>
      </c>
      <c r="B47" s="6" t="s">
        <v>570</v>
      </c>
      <c r="C47" s="6" t="s">
        <v>257</v>
      </c>
      <c r="D47" s="6" t="s">
        <v>1643</v>
      </c>
      <c r="E47" s="50">
        <v>0.22930529999999999</v>
      </c>
      <c r="F47" s="50">
        <v>0.58704599999999996</v>
      </c>
      <c r="G47" s="6">
        <v>11</v>
      </c>
      <c r="H47" s="6" t="s">
        <v>1642</v>
      </c>
      <c r="I47" s="6" t="s">
        <v>731</v>
      </c>
      <c r="J47" s="6" t="s">
        <v>730</v>
      </c>
    </row>
    <row r="48" spans="1:10" ht="18" customHeight="1" x14ac:dyDescent="0.15">
      <c r="A48" s="5" t="s">
        <v>1623</v>
      </c>
      <c r="B48" s="6" t="s">
        <v>570</v>
      </c>
      <c r="C48" s="6" t="s">
        <v>257</v>
      </c>
      <c r="D48" s="6"/>
      <c r="E48" s="50"/>
      <c r="F48" s="50"/>
      <c r="G48" s="6"/>
      <c r="H48" s="6"/>
      <c r="I48" s="6" t="s">
        <v>1616</v>
      </c>
      <c r="J48" s="6" t="s">
        <v>730</v>
      </c>
    </row>
    <row r="49" spans="1:10" ht="18" customHeight="1" x14ac:dyDescent="0.15">
      <c r="A49" s="5" t="s">
        <v>1624</v>
      </c>
      <c r="B49" s="6" t="s">
        <v>570</v>
      </c>
      <c r="C49" s="6" t="s">
        <v>257</v>
      </c>
      <c r="D49" s="6"/>
      <c r="E49" s="50"/>
      <c r="F49" s="50"/>
      <c r="G49" s="6"/>
      <c r="H49" s="6"/>
      <c r="I49" s="6" t="s">
        <v>1616</v>
      </c>
      <c r="J49" s="6" t="s">
        <v>730</v>
      </c>
    </row>
    <row r="50" spans="1:10" ht="18" customHeight="1" x14ac:dyDescent="0.15">
      <c r="A50" s="5" t="s">
        <v>1019</v>
      </c>
      <c r="B50" s="6" t="s">
        <v>570</v>
      </c>
      <c r="C50" s="6" t="s">
        <v>257</v>
      </c>
      <c r="D50" s="6" t="s">
        <v>1644</v>
      </c>
      <c r="E50" s="50">
        <v>0.72998569999999996</v>
      </c>
      <c r="F50" s="50">
        <v>0.80511779999999999</v>
      </c>
      <c r="G50" s="6">
        <v>3</v>
      </c>
      <c r="H50" s="6" t="s">
        <v>1645</v>
      </c>
      <c r="I50" s="6" t="s">
        <v>731</v>
      </c>
      <c r="J50" s="6" t="s">
        <v>730</v>
      </c>
    </row>
    <row r="51" spans="1:10" ht="18" customHeight="1" x14ac:dyDescent="0.15">
      <c r="A51" s="5" t="s">
        <v>1018</v>
      </c>
      <c r="B51" s="6" t="s">
        <v>570</v>
      </c>
      <c r="C51" s="6" t="s">
        <v>257</v>
      </c>
      <c r="D51" s="6"/>
      <c r="E51" s="50"/>
      <c r="F51" s="50"/>
      <c r="G51" s="6"/>
      <c r="H51" s="6"/>
      <c r="I51" s="6" t="s">
        <v>1616</v>
      </c>
      <c r="J51" s="6" t="s">
        <v>730</v>
      </c>
    </row>
    <row r="52" spans="1:10" ht="18" customHeight="1" x14ac:dyDescent="0.15">
      <c r="A52" s="5" t="s">
        <v>1625</v>
      </c>
      <c r="B52" s="6" t="s">
        <v>570</v>
      </c>
      <c r="C52" s="6" t="s">
        <v>257</v>
      </c>
      <c r="D52" s="6"/>
      <c r="E52" s="50"/>
      <c r="F52" s="50"/>
      <c r="G52" s="6"/>
      <c r="H52" s="6"/>
      <c r="I52" s="6" t="s">
        <v>1616</v>
      </c>
      <c r="J52" s="6" t="s">
        <v>730</v>
      </c>
    </row>
    <row r="53" spans="1:10" ht="18" customHeight="1" x14ac:dyDescent="0.15">
      <c r="A53" s="5" t="s">
        <v>1626</v>
      </c>
      <c r="B53" s="6" t="s">
        <v>570</v>
      </c>
      <c r="C53" s="6" t="s">
        <v>257</v>
      </c>
      <c r="D53" s="6" t="s">
        <v>1646</v>
      </c>
      <c r="E53" s="50">
        <v>0.55668450000000003</v>
      </c>
      <c r="F53" s="50">
        <v>0.92766300000000002</v>
      </c>
      <c r="G53" s="6">
        <v>16</v>
      </c>
      <c r="H53" s="6" t="s">
        <v>1647</v>
      </c>
      <c r="I53" s="6" t="s">
        <v>731</v>
      </c>
      <c r="J53" s="6" t="s">
        <v>730</v>
      </c>
    </row>
    <row r="54" spans="1:10" ht="18" customHeight="1" x14ac:dyDescent="0.15">
      <c r="A54" s="5" t="s">
        <v>1627</v>
      </c>
      <c r="B54" s="6" t="s">
        <v>570</v>
      </c>
      <c r="C54" s="6" t="s">
        <v>257</v>
      </c>
      <c r="D54" s="6" t="s">
        <v>1648</v>
      </c>
      <c r="E54" s="50">
        <v>0.66020979999999996</v>
      </c>
      <c r="F54" s="50">
        <v>0.96824390000000005</v>
      </c>
      <c r="G54" s="6">
        <v>15</v>
      </c>
      <c r="H54" s="6" t="s">
        <v>1649</v>
      </c>
      <c r="I54" s="6" t="s">
        <v>731</v>
      </c>
      <c r="J54" s="6" t="s">
        <v>730</v>
      </c>
    </row>
    <row r="55" spans="1:10" ht="18" customHeight="1" x14ac:dyDescent="0.15">
      <c r="A55" s="5" t="s">
        <v>1020</v>
      </c>
      <c r="B55" s="6" t="s">
        <v>570</v>
      </c>
      <c r="C55" s="6" t="s">
        <v>18</v>
      </c>
      <c r="D55" s="6"/>
      <c r="E55" s="50"/>
      <c r="F55" s="50"/>
      <c r="G55" s="6"/>
      <c r="H55" s="6"/>
      <c r="I55" s="6" t="s">
        <v>1616</v>
      </c>
      <c r="J55" s="6" t="s">
        <v>730</v>
      </c>
    </row>
    <row r="56" spans="1:10" ht="18" customHeight="1" x14ac:dyDescent="0.15">
      <c r="A56" s="5" t="s">
        <v>1607</v>
      </c>
      <c r="B56" s="6" t="s">
        <v>570</v>
      </c>
      <c r="C56" s="6" t="s">
        <v>18</v>
      </c>
      <c r="D56" s="6" t="s">
        <v>1650</v>
      </c>
      <c r="E56" s="50">
        <v>1.302781E-3</v>
      </c>
      <c r="F56" s="50">
        <v>8.1562850000000006E-2</v>
      </c>
      <c r="G56" s="6">
        <v>20</v>
      </c>
      <c r="H56" s="6" t="s">
        <v>1637</v>
      </c>
      <c r="I56" s="6" t="s">
        <v>731</v>
      </c>
      <c r="J56" s="6" t="s">
        <v>362</v>
      </c>
    </row>
    <row r="57" spans="1:10" ht="18" customHeight="1" x14ac:dyDescent="0.15">
      <c r="A57" s="5" t="s">
        <v>1610</v>
      </c>
      <c r="B57" s="6" t="s">
        <v>570</v>
      </c>
      <c r="C57" s="6" t="s">
        <v>18</v>
      </c>
      <c r="D57" s="6"/>
      <c r="E57" s="50"/>
      <c r="F57" s="50"/>
      <c r="G57" s="6"/>
      <c r="H57" s="6"/>
      <c r="I57" s="6" t="s">
        <v>1616</v>
      </c>
      <c r="J57" s="6" t="s">
        <v>730</v>
      </c>
    </row>
    <row r="58" spans="1:10" ht="18" customHeight="1" x14ac:dyDescent="0.15">
      <c r="A58" s="5" t="s">
        <v>1613</v>
      </c>
      <c r="B58" s="6" t="s">
        <v>570</v>
      </c>
      <c r="C58" s="6" t="s">
        <v>18</v>
      </c>
      <c r="D58" s="6" t="s">
        <v>1651</v>
      </c>
      <c r="E58" s="50">
        <v>1.3032790000000001E-3</v>
      </c>
      <c r="F58" s="50">
        <v>3.1180469999999998E-2</v>
      </c>
      <c r="G58" s="6">
        <v>20</v>
      </c>
      <c r="H58" s="6" t="s">
        <v>1637</v>
      </c>
      <c r="I58" s="6" t="s">
        <v>731</v>
      </c>
      <c r="J58" s="6" t="s">
        <v>362</v>
      </c>
    </row>
    <row r="59" spans="1:10" ht="18" customHeight="1" x14ac:dyDescent="0.15">
      <c r="A59" s="5" t="s">
        <v>1615</v>
      </c>
      <c r="B59" s="6" t="s">
        <v>570</v>
      </c>
      <c r="C59" s="6" t="s">
        <v>18</v>
      </c>
      <c r="D59" s="6"/>
      <c r="E59" s="50"/>
      <c r="F59" s="50"/>
      <c r="G59" s="6"/>
      <c r="H59" s="6"/>
      <c r="I59" s="6" t="s">
        <v>1616</v>
      </c>
      <c r="J59" s="6" t="s">
        <v>730</v>
      </c>
    </row>
    <row r="60" spans="1:10" ht="18" customHeight="1" x14ac:dyDescent="0.15">
      <c r="A60" s="5" t="s">
        <v>1617</v>
      </c>
      <c r="B60" s="6" t="s">
        <v>570</v>
      </c>
      <c r="C60" s="6" t="s">
        <v>18</v>
      </c>
      <c r="D60" s="6"/>
      <c r="E60" s="50"/>
      <c r="F60" s="50"/>
      <c r="G60" s="6"/>
      <c r="H60" s="6"/>
      <c r="I60" s="6" t="s">
        <v>1616</v>
      </c>
      <c r="J60" s="6" t="s">
        <v>730</v>
      </c>
    </row>
    <row r="61" spans="1:10" ht="18" customHeight="1" x14ac:dyDescent="0.15">
      <c r="A61" s="5" t="s">
        <v>1618</v>
      </c>
      <c r="B61" s="6" t="s">
        <v>570</v>
      </c>
      <c r="C61" s="6" t="s">
        <v>18</v>
      </c>
      <c r="D61" s="6"/>
      <c r="E61" s="50"/>
      <c r="F61" s="50"/>
      <c r="G61" s="6"/>
      <c r="H61" s="6"/>
      <c r="I61" s="6" t="s">
        <v>1616</v>
      </c>
      <c r="J61" s="6" t="s">
        <v>730</v>
      </c>
    </row>
    <row r="62" spans="1:10" ht="18" customHeight="1" x14ac:dyDescent="0.15">
      <c r="A62" s="5" t="s">
        <v>1619</v>
      </c>
      <c r="B62" s="6" t="s">
        <v>570</v>
      </c>
      <c r="C62" s="6" t="s">
        <v>18</v>
      </c>
      <c r="D62" s="6" t="s">
        <v>1652</v>
      </c>
      <c r="E62" s="50">
        <v>5.8727229999999998E-5</v>
      </c>
      <c r="F62" s="50">
        <v>4.1618479999999999E-2</v>
      </c>
      <c r="G62" s="6">
        <v>18</v>
      </c>
      <c r="H62" s="6" t="s">
        <v>1642</v>
      </c>
      <c r="I62" s="6" t="s">
        <v>731</v>
      </c>
      <c r="J62" s="6" t="s">
        <v>362</v>
      </c>
    </row>
    <row r="63" spans="1:10" ht="18" customHeight="1" x14ac:dyDescent="0.15">
      <c r="A63" s="5" t="s">
        <v>1621</v>
      </c>
      <c r="B63" s="6" t="s">
        <v>570</v>
      </c>
      <c r="C63" s="6" t="s">
        <v>18</v>
      </c>
      <c r="D63" s="6"/>
      <c r="E63" s="50"/>
      <c r="F63" s="50"/>
      <c r="G63" s="6"/>
      <c r="H63" s="6"/>
      <c r="I63" s="6" t="s">
        <v>1616</v>
      </c>
      <c r="J63" s="6" t="s">
        <v>730</v>
      </c>
    </row>
    <row r="64" spans="1:10" ht="18" customHeight="1" x14ac:dyDescent="0.15">
      <c r="A64" s="5" t="s">
        <v>1622</v>
      </c>
      <c r="B64" s="6" t="s">
        <v>570</v>
      </c>
      <c r="C64" s="6" t="s">
        <v>18</v>
      </c>
      <c r="D64" s="6" t="s">
        <v>1653</v>
      </c>
      <c r="E64" s="50">
        <v>2.227048E-4</v>
      </c>
      <c r="F64" s="50">
        <v>3.8553879999999999E-2</v>
      </c>
      <c r="G64" s="6">
        <v>11</v>
      </c>
      <c r="H64" s="6" t="s">
        <v>1642</v>
      </c>
      <c r="I64" s="6" t="s">
        <v>731</v>
      </c>
      <c r="J64" s="6" t="s">
        <v>362</v>
      </c>
    </row>
    <row r="65" spans="1:10" ht="18" customHeight="1" x14ac:dyDescent="0.15">
      <c r="A65" s="5" t="s">
        <v>1623</v>
      </c>
      <c r="B65" s="6" t="s">
        <v>570</v>
      </c>
      <c r="C65" s="6" t="s">
        <v>18</v>
      </c>
      <c r="D65" s="6"/>
      <c r="E65" s="50"/>
      <c r="F65" s="50"/>
      <c r="G65" s="6"/>
      <c r="H65" s="6"/>
      <c r="I65" s="6" t="s">
        <v>1616</v>
      </c>
      <c r="J65" s="6" t="s">
        <v>730</v>
      </c>
    </row>
    <row r="66" spans="1:10" ht="18" customHeight="1" x14ac:dyDescent="0.15">
      <c r="A66" s="5" t="s">
        <v>1624</v>
      </c>
      <c r="B66" s="6" t="s">
        <v>570</v>
      </c>
      <c r="C66" s="6" t="s">
        <v>18</v>
      </c>
      <c r="D66" s="6"/>
      <c r="E66" s="50"/>
      <c r="F66" s="50"/>
      <c r="G66" s="6"/>
      <c r="H66" s="6"/>
      <c r="I66" s="6" t="s">
        <v>1616</v>
      </c>
      <c r="J66" s="6" t="s">
        <v>730</v>
      </c>
    </row>
    <row r="67" spans="1:10" ht="18" customHeight="1" x14ac:dyDescent="0.15">
      <c r="A67" s="5" t="s">
        <v>1019</v>
      </c>
      <c r="B67" s="6" t="s">
        <v>570</v>
      </c>
      <c r="C67" s="6" t="s">
        <v>18</v>
      </c>
      <c r="D67" s="6" t="s">
        <v>1654</v>
      </c>
      <c r="E67" s="50">
        <v>3.290814E-3</v>
      </c>
      <c r="F67" s="50">
        <v>0.1122045</v>
      </c>
      <c r="G67" s="6">
        <v>3</v>
      </c>
      <c r="H67" s="6" t="s">
        <v>1645</v>
      </c>
      <c r="I67" s="6" t="s">
        <v>731</v>
      </c>
      <c r="J67" s="6" t="s">
        <v>362</v>
      </c>
    </row>
    <row r="68" spans="1:10" ht="18" customHeight="1" x14ac:dyDescent="0.15">
      <c r="A68" s="5" t="s">
        <v>1018</v>
      </c>
      <c r="B68" s="6" t="s">
        <v>570</v>
      </c>
      <c r="C68" s="6" t="s">
        <v>18</v>
      </c>
      <c r="D68" s="6"/>
      <c r="E68" s="50"/>
      <c r="F68" s="50"/>
      <c r="G68" s="6"/>
      <c r="H68" s="6"/>
      <c r="I68" s="6" t="s">
        <v>1616</v>
      </c>
      <c r="J68" s="6" t="s">
        <v>730</v>
      </c>
    </row>
    <row r="69" spans="1:10" ht="18" customHeight="1" x14ac:dyDescent="0.15">
      <c r="A69" s="5" t="s">
        <v>1625</v>
      </c>
      <c r="B69" s="6" t="s">
        <v>570</v>
      </c>
      <c r="C69" s="6" t="s">
        <v>18</v>
      </c>
      <c r="D69" s="6"/>
      <c r="E69" s="50"/>
      <c r="F69" s="50"/>
      <c r="G69" s="6"/>
      <c r="H69" s="6"/>
      <c r="I69" s="6" t="s">
        <v>1616</v>
      </c>
      <c r="J69" s="6" t="s">
        <v>730</v>
      </c>
    </row>
    <row r="70" spans="1:10" ht="18" customHeight="1" x14ac:dyDescent="0.15">
      <c r="A70" s="5" t="s">
        <v>1626</v>
      </c>
      <c r="B70" s="6" t="s">
        <v>570</v>
      </c>
      <c r="C70" s="6" t="s">
        <v>18</v>
      </c>
      <c r="D70" s="6" t="s">
        <v>1655</v>
      </c>
      <c r="E70" s="50">
        <v>1.338463E-3</v>
      </c>
      <c r="F70" s="50">
        <v>1.6627300000000001E-2</v>
      </c>
      <c r="G70" s="6">
        <v>16</v>
      </c>
      <c r="H70" s="6" t="s">
        <v>1647</v>
      </c>
      <c r="I70" s="6" t="s">
        <v>731</v>
      </c>
      <c r="J70" s="6" t="s">
        <v>362</v>
      </c>
    </row>
    <row r="71" spans="1:10" ht="18" customHeight="1" x14ac:dyDescent="0.15">
      <c r="A71" s="23" t="s">
        <v>1627</v>
      </c>
      <c r="B71" s="27" t="s">
        <v>570</v>
      </c>
      <c r="C71" s="27" t="s">
        <v>18</v>
      </c>
      <c r="D71" s="27" t="s">
        <v>1656</v>
      </c>
      <c r="E71" s="52">
        <v>5.4531179999999999E-2</v>
      </c>
      <c r="F71" s="52">
        <v>4.4367289999999997E-2</v>
      </c>
      <c r="G71" s="27">
        <v>15</v>
      </c>
      <c r="H71" s="27" t="s">
        <v>1649</v>
      </c>
      <c r="I71" s="27" t="s">
        <v>731</v>
      </c>
      <c r="J71" s="27" t="s">
        <v>730</v>
      </c>
    </row>
    <row r="72" spans="1:10" ht="18" customHeight="1" x14ac:dyDescent="0.15"/>
    <row r="73" spans="1:10" ht="98.25" customHeight="1" x14ac:dyDescent="0.15">
      <c r="A73" s="75" t="s">
        <v>1657</v>
      </c>
      <c r="B73" s="74"/>
      <c r="C73" s="74"/>
      <c r="D73" s="74"/>
      <c r="E73" s="74"/>
      <c r="F73" s="74"/>
      <c r="G73" s="74"/>
      <c r="H73" s="74"/>
      <c r="I73" s="74"/>
      <c r="J73" s="74"/>
    </row>
  </sheetData>
  <mergeCells count="1">
    <mergeCell ref="A73:J73"/>
  </mergeCells>
  <phoneticPr fontId="5"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A137"/>
  <sheetViews>
    <sheetView topLeftCell="A127" workbookViewId="0">
      <selection activeCell="A137" sqref="A137:G137"/>
    </sheetView>
  </sheetViews>
  <sheetFormatPr defaultRowHeight="13.5" x14ac:dyDescent="0.15"/>
  <cols>
    <col min="1" max="1" width="22" customWidth="1"/>
    <col min="2" max="2" width="10" customWidth="1"/>
    <col min="3" max="3" width="17" customWidth="1"/>
    <col min="4" max="5" width="34" customWidth="1"/>
    <col min="6" max="6" width="7" customWidth="1"/>
    <col min="7" max="7" width="21" customWidth="1"/>
    <col min="8" max="8" width="10" customWidth="1"/>
    <col min="9" max="9" width="15.125" customWidth="1"/>
    <col min="10" max="10" width="13.375" customWidth="1"/>
    <col min="11" max="11" width="20.25" customWidth="1"/>
    <col min="12" max="12" width="19.25" customWidth="1"/>
    <col min="13" max="13" width="15.875" customWidth="1"/>
    <col min="14" max="14" width="17.75" customWidth="1"/>
    <col min="15" max="15" width="11" customWidth="1"/>
    <col min="16" max="16" width="21.125" customWidth="1"/>
    <col min="17" max="17" width="13.75" customWidth="1"/>
    <col min="18" max="18" width="21" customWidth="1"/>
    <col min="19" max="20" width="10" customWidth="1"/>
    <col min="21" max="21" width="11" customWidth="1"/>
    <col min="22" max="22" width="19" customWidth="1"/>
    <col min="23" max="23" width="7" customWidth="1"/>
    <col min="24" max="24" width="16.25" customWidth="1"/>
    <col min="25" max="25" width="20.75" customWidth="1"/>
    <col min="26" max="26" width="20" customWidth="1"/>
    <col min="27" max="27" width="8" customWidth="1"/>
  </cols>
  <sheetData>
    <row r="1" spans="1:27" ht="18" customHeight="1" x14ac:dyDescent="0.15">
      <c r="A1" s="76" t="s">
        <v>1658</v>
      </c>
      <c r="B1" s="74"/>
      <c r="C1" s="74"/>
      <c r="D1" s="74"/>
      <c r="E1" s="74"/>
      <c r="F1" s="74"/>
      <c r="G1" s="74"/>
      <c r="H1" s="74"/>
      <c r="I1" s="74"/>
      <c r="J1" s="74"/>
      <c r="K1" s="74"/>
      <c r="L1" s="74"/>
      <c r="M1" s="74"/>
      <c r="N1" s="74"/>
      <c r="O1" s="74"/>
      <c r="P1" s="74"/>
      <c r="Q1" s="74"/>
      <c r="R1" s="74"/>
      <c r="S1" s="74"/>
      <c r="T1" s="74"/>
      <c r="U1" s="74"/>
      <c r="V1" s="74"/>
      <c r="W1" s="74"/>
      <c r="X1" s="74"/>
      <c r="Y1" s="74"/>
      <c r="Z1" s="74"/>
      <c r="AA1" s="74"/>
    </row>
    <row r="2" spans="1:27" ht="18" customHeight="1" x14ac:dyDescent="0.15"/>
    <row r="3" spans="1:27" ht="18" customHeight="1" x14ac:dyDescent="0.15">
      <c r="A3" s="3" t="s">
        <v>410</v>
      </c>
      <c r="B3" s="4" t="s">
        <v>1659</v>
      </c>
      <c r="C3" s="4" t="s">
        <v>6</v>
      </c>
      <c r="D3" s="4" t="s">
        <v>1660</v>
      </c>
      <c r="E3" s="4" t="s">
        <v>429</v>
      </c>
      <c r="F3" s="4" t="s">
        <v>1661</v>
      </c>
      <c r="G3" s="4" t="s">
        <v>1662</v>
      </c>
      <c r="H3" s="4" t="s">
        <v>1663</v>
      </c>
      <c r="I3" s="4" t="s">
        <v>1664</v>
      </c>
      <c r="J3" s="4" t="s">
        <v>1665</v>
      </c>
      <c r="K3" s="4" t="s">
        <v>1666</v>
      </c>
      <c r="L3" s="4" t="s">
        <v>1667</v>
      </c>
      <c r="M3" s="4" t="s">
        <v>1668</v>
      </c>
      <c r="N3" s="4" t="s">
        <v>1669</v>
      </c>
      <c r="O3" s="4" t="s">
        <v>1670</v>
      </c>
      <c r="P3" s="4" t="s">
        <v>1671</v>
      </c>
      <c r="Q3" s="4" t="s">
        <v>1672</v>
      </c>
      <c r="R3" s="4" t="s">
        <v>1673</v>
      </c>
      <c r="S3" s="4" t="s">
        <v>1674</v>
      </c>
      <c r="T3" s="4" t="s">
        <v>1675</v>
      </c>
      <c r="U3" s="4" t="s">
        <v>1676</v>
      </c>
      <c r="V3" s="4" t="s">
        <v>1677</v>
      </c>
      <c r="W3" s="4" t="s">
        <v>1678</v>
      </c>
      <c r="X3" s="4" t="s">
        <v>1679</v>
      </c>
      <c r="Y3" s="4" t="s">
        <v>1680</v>
      </c>
      <c r="Z3" s="4" t="s">
        <v>1681</v>
      </c>
      <c r="AA3" s="4" t="s">
        <v>1682</v>
      </c>
    </row>
    <row r="4" spans="1:27" ht="18" customHeight="1" x14ac:dyDescent="0.15">
      <c r="A4" s="5" t="s">
        <v>1683</v>
      </c>
      <c r="B4" s="6" t="s">
        <v>1684</v>
      </c>
      <c r="C4" s="6" t="s">
        <v>20</v>
      </c>
      <c r="D4" s="6" t="s">
        <v>17</v>
      </c>
      <c r="E4" s="6" t="s">
        <v>80</v>
      </c>
      <c r="F4" s="6">
        <v>12</v>
      </c>
      <c r="G4" s="6" t="s">
        <v>1685</v>
      </c>
      <c r="H4" s="50">
        <v>0.34698215375294</v>
      </c>
      <c r="I4" s="50">
        <v>1.22235696454678</v>
      </c>
      <c r="J4" s="50">
        <v>0.18280175129149101</v>
      </c>
      <c r="K4" s="50">
        <v>1.02511859368001</v>
      </c>
      <c r="L4" s="50">
        <v>0.68494524841971205</v>
      </c>
      <c r="M4" s="41">
        <v>-1.6E-2</v>
      </c>
      <c r="N4" s="41">
        <v>0.27400000000000002</v>
      </c>
      <c r="O4" s="41">
        <v>3.6999999999999998E-2</v>
      </c>
      <c r="P4" s="41">
        <v>4.3999999999999997E-2</v>
      </c>
      <c r="Q4" s="6" t="s">
        <v>362</v>
      </c>
      <c r="R4" s="6"/>
      <c r="S4" s="6"/>
      <c r="T4" s="6"/>
      <c r="U4" s="6"/>
      <c r="V4" s="6"/>
      <c r="W4" s="56"/>
      <c r="X4" s="6"/>
      <c r="Y4" s="36"/>
      <c r="Z4" s="36"/>
      <c r="AA4" s="7"/>
    </row>
    <row r="5" spans="1:27" ht="18" customHeight="1" x14ac:dyDescent="0.15">
      <c r="A5" s="5" t="s">
        <v>1683</v>
      </c>
      <c r="B5" s="6" t="s">
        <v>1684</v>
      </c>
      <c r="C5" s="6" t="s">
        <v>20</v>
      </c>
      <c r="D5" s="6" t="s">
        <v>17</v>
      </c>
      <c r="E5" s="6" t="s">
        <v>59</v>
      </c>
      <c r="F5" s="6">
        <v>12</v>
      </c>
      <c r="G5" s="6" t="s">
        <v>1686</v>
      </c>
      <c r="H5" s="50">
        <v>0.45206107558000502</v>
      </c>
      <c r="I5" s="50">
        <v>0.91671121849120496</v>
      </c>
      <c r="J5" s="50">
        <v>0.58461071807551701</v>
      </c>
      <c r="K5" s="50">
        <v>1.01025451485996</v>
      </c>
      <c r="L5" s="50">
        <v>0.87948484071325606</v>
      </c>
      <c r="M5" s="41">
        <v>1.2999999999999999E-2</v>
      </c>
      <c r="N5" s="41">
        <v>0.38200000000000001</v>
      </c>
      <c r="O5" s="41">
        <v>0.13200000000000001</v>
      </c>
      <c r="P5" s="41">
        <v>0.11799999999999999</v>
      </c>
      <c r="Q5" s="6" t="s">
        <v>362</v>
      </c>
      <c r="R5" s="6"/>
      <c r="S5" s="6"/>
      <c r="T5" s="6"/>
      <c r="U5" s="6"/>
      <c r="V5" s="6"/>
      <c r="W5" s="56"/>
      <c r="X5" s="6"/>
      <c r="Y5" s="36"/>
      <c r="Z5" s="36"/>
      <c r="AA5" s="7"/>
    </row>
    <row r="6" spans="1:27" ht="18" customHeight="1" x14ac:dyDescent="0.15">
      <c r="A6" s="5" t="s">
        <v>1683</v>
      </c>
      <c r="B6" s="6" t="s">
        <v>1684</v>
      </c>
      <c r="C6" s="6" t="s">
        <v>28</v>
      </c>
      <c r="D6" s="6" t="s">
        <v>17</v>
      </c>
      <c r="E6" s="6" t="s">
        <v>59</v>
      </c>
      <c r="F6" s="6">
        <v>12</v>
      </c>
      <c r="G6" s="6" t="s">
        <v>1687</v>
      </c>
      <c r="H6" s="50">
        <v>0.25415495424492401</v>
      </c>
      <c r="I6" s="50">
        <v>0.75001154733404796</v>
      </c>
      <c r="J6" s="50">
        <v>0.102181547593336</v>
      </c>
      <c r="K6" s="50">
        <v>1.15225834465822</v>
      </c>
      <c r="L6" s="50">
        <v>9.3154588942017905E-2</v>
      </c>
      <c r="M6" s="41">
        <v>3.7999999999999999E-2</v>
      </c>
      <c r="N6" s="41">
        <v>3.2000000000000001E-2</v>
      </c>
      <c r="O6" s="41">
        <v>0.115</v>
      </c>
      <c r="P6" s="41">
        <v>0.13</v>
      </c>
      <c r="Q6" s="6" t="s">
        <v>362</v>
      </c>
      <c r="R6" s="6"/>
      <c r="S6" s="6"/>
      <c r="T6" s="6"/>
      <c r="U6" s="6"/>
      <c r="V6" s="6"/>
      <c r="W6" s="56"/>
      <c r="X6" s="6"/>
      <c r="Y6" s="36"/>
      <c r="Z6" s="36"/>
      <c r="AA6" s="7"/>
    </row>
    <row r="7" spans="1:27" ht="18" customHeight="1" x14ac:dyDescent="0.15">
      <c r="A7" s="5" t="s">
        <v>1683</v>
      </c>
      <c r="B7" s="6" t="s">
        <v>1684</v>
      </c>
      <c r="C7" s="6" t="s">
        <v>20</v>
      </c>
      <c r="D7" s="6" t="s">
        <v>17</v>
      </c>
      <c r="E7" s="6" t="s">
        <v>70</v>
      </c>
      <c r="F7" s="6">
        <v>13</v>
      </c>
      <c r="G7" s="6" t="s">
        <v>1688</v>
      </c>
      <c r="H7" s="50">
        <v>0.29206402153921301</v>
      </c>
      <c r="I7" s="50">
        <v>0.95128773447247095</v>
      </c>
      <c r="J7" s="50">
        <v>0.494813906680178</v>
      </c>
      <c r="K7" s="50">
        <v>1.0147838969090499</v>
      </c>
      <c r="L7" s="50">
        <v>0.62059034084206299</v>
      </c>
      <c r="M7" s="41">
        <v>8.0000000000000002E-3</v>
      </c>
      <c r="N7" s="41">
        <v>0.26600000000000001</v>
      </c>
      <c r="O7" s="41">
        <v>7.0000000000000007E-2</v>
      </c>
      <c r="P7" s="41">
        <v>7.0999999999999994E-2</v>
      </c>
      <c r="Q7" s="6" t="s">
        <v>362</v>
      </c>
      <c r="R7" s="6"/>
      <c r="S7" s="6"/>
      <c r="T7" s="6"/>
      <c r="U7" s="6"/>
      <c r="V7" s="6"/>
      <c r="W7" s="56"/>
      <c r="X7" s="6"/>
      <c r="Y7" s="36"/>
      <c r="Z7" s="36"/>
      <c r="AA7" s="7"/>
    </row>
    <row r="8" spans="1:27" ht="18" customHeight="1" x14ac:dyDescent="0.15">
      <c r="A8" s="5" t="s">
        <v>1683</v>
      </c>
      <c r="B8" s="6" t="s">
        <v>1684</v>
      </c>
      <c r="C8" s="6" t="s">
        <v>20</v>
      </c>
      <c r="D8" s="6" t="s">
        <v>17</v>
      </c>
      <c r="E8" s="6" t="s">
        <v>90</v>
      </c>
      <c r="F8" s="6">
        <v>13</v>
      </c>
      <c r="G8" s="6" t="s">
        <v>1689</v>
      </c>
      <c r="H8" s="50">
        <v>0.56600889773597796</v>
      </c>
      <c r="I8" s="50">
        <v>0.78228436232643495</v>
      </c>
      <c r="J8" s="50">
        <v>0.34437312377049301</v>
      </c>
      <c r="K8" s="50">
        <v>1.01914117463489</v>
      </c>
      <c r="L8" s="50">
        <v>0.82653343887889497</v>
      </c>
      <c r="M8" s="41">
        <v>0.02</v>
      </c>
      <c r="N8" s="41">
        <v>0.42099999999999999</v>
      </c>
      <c r="O8" s="41">
        <v>2E-3</v>
      </c>
      <c r="P8" s="41">
        <v>4.0000000000000001E-3</v>
      </c>
      <c r="Q8" s="6" t="s">
        <v>362</v>
      </c>
      <c r="R8" s="6"/>
      <c r="S8" s="6"/>
      <c r="T8" s="6"/>
      <c r="U8" s="6"/>
      <c r="V8" s="6"/>
      <c r="W8" s="56"/>
      <c r="X8" s="6"/>
      <c r="Y8" s="36"/>
      <c r="Z8" s="36"/>
      <c r="AA8" s="7"/>
    </row>
    <row r="9" spans="1:27" ht="18" customHeight="1" x14ac:dyDescent="0.15">
      <c r="A9" s="5" t="s">
        <v>1683</v>
      </c>
      <c r="B9" s="6" t="s">
        <v>1684</v>
      </c>
      <c r="C9" s="6" t="s">
        <v>28</v>
      </c>
      <c r="D9" s="6" t="s">
        <v>17</v>
      </c>
      <c r="E9" s="6" t="s">
        <v>100</v>
      </c>
      <c r="F9" s="6">
        <v>13</v>
      </c>
      <c r="G9" s="6" t="s">
        <v>1690</v>
      </c>
      <c r="H9" s="50">
        <v>0.95032289403840398</v>
      </c>
      <c r="I9" s="50">
        <v>0.98227986525049005</v>
      </c>
      <c r="J9" s="50">
        <v>0.90475165508725996</v>
      </c>
      <c r="K9" s="50">
        <v>1.04673374655047</v>
      </c>
      <c r="L9" s="50">
        <v>0.40569649115357898</v>
      </c>
      <c r="M9" s="41">
        <v>2E-3</v>
      </c>
      <c r="N9" s="41">
        <v>0.91600000000000004</v>
      </c>
      <c r="O9" s="41">
        <v>4.1000000000000002E-2</v>
      </c>
      <c r="P9" s="41">
        <v>5.0999999999999997E-2</v>
      </c>
      <c r="Q9" s="6" t="s">
        <v>362</v>
      </c>
      <c r="R9" s="6"/>
      <c r="S9" s="6"/>
      <c r="T9" s="6"/>
      <c r="U9" s="6"/>
      <c r="V9" s="6"/>
      <c r="W9" s="56"/>
      <c r="X9" s="6"/>
      <c r="Y9" s="36"/>
      <c r="Z9" s="36"/>
      <c r="AA9" s="7"/>
    </row>
    <row r="10" spans="1:27" ht="18" customHeight="1" x14ac:dyDescent="0.15">
      <c r="A10" s="5" t="s">
        <v>1683</v>
      </c>
      <c r="B10" s="6" t="s">
        <v>1684</v>
      </c>
      <c r="C10" s="6" t="s">
        <v>20</v>
      </c>
      <c r="D10" s="6" t="s">
        <v>17</v>
      </c>
      <c r="E10" s="6" t="s">
        <v>109</v>
      </c>
      <c r="F10" s="6">
        <v>9</v>
      </c>
      <c r="G10" s="6" t="s">
        <v>1691</v>
      </c>
      <c r="H10" s="50">
        <v>0.61751866291840596</v>
      </c>
      <c r="I10" s="50">
        <v>0.90101707655668395</v>
      </c>
      <c r="J10" s="50">
        <v>0.38486283162055002</v>
      </c>
      <c r="K10" s="50">
        <v>1.0168162861213801</v>
      </c>
      <c r="L10" s="50">
        <v>0.75252130382542304</v>
      </c>
      <c r="M10" s="41">
        <v>1.2999999999999999E-2</v>
      </c>
      <c r="N10" s="41">
        <v>0.26400000000000001</v>
      </c>
      <c r="O10" s="41">
        <v>0.191</v>
      </c>
      <c r="P10" s="41">
        <v>0.20699999999999999</v>
      </c>
      <c r="Q10" s="6" t="s">
        <v>362</v>
      </c>
      <c r="R10" s="6"/>
      <c r="S10" s="6"/>
      <c r="T10" s="6"/>
      <c r="U10" s="6"/>
      <c r="V10" s="6"/>
      <c r="W10" s="56"/>
      <c r="X10" s="6"/>
      <c r="Y10" s="36"/>
      <c r="Z10" s="36"/>
      <c r="AA10" s="7"/>
    </row>
    <row r="11" spans="1:27" ht="18" customHeight="1" x14ac:dyDescent="0.15">
      <c r="A11" s="5" t="s">
        <v>1683</v>
      </c>
      <c r="B11" s="6" t="s">
        <v>1684</v>
      </c>
      <c r="C11" s="6" t="s">
        <v>20</v>
      </c>
      <c r="D11" s="6" t="s">
        <v>17</v>
      </c>
      <c r="E11" s="6" t="s">
        <v>141</v>
      </c>
      <c r="F11" s="6">
        <v>13</v>
      </c>
      <c r="G11" s="6" t="s">
        <v>1692</v>
      </c>
      <c r="H11" s="50">
        <v>4.0316233021734503E-2</v>
      </c>
      <c r="I11" s="50">
        <v>0.92550799793109195</v>
      </c>
      <c r="J11" s="50">
        <v>0.76786703139417001</v>
      </c>
      <c r="K11" s="50">
        <v>0.94611087131493399</v>
      </c>
      <c r="L11" s="50">
        <v>0.67449080368182401</v>
      </c>
      <c r="M11" s="41">
        <v>-1.2999999999999999E-2</v>
      </c>
      <c r="N11" s="41">
        <v>0.61299999999999999</v>
      </c>
      <c r="O11" s="41">
        <v>0.55400000000000005</v>
      </c>
      <c r="P11" s="41">
        <v>0.57299999999999995</v>
      </c>
      <c r="Q11" s="6" t="s">
        <v>362</v>
      </c>
      <c r="R11" s="6"/>
      <c r="S11" s="6"/>
      <c r="T11" s="6"/>
      <c r="U11" s="6"/>
      <c r="V11" s="6"/>
      <c r="W11" s="56"/>
      <c r="X11" s="6"/>
      <c r="Y11" s="36"/>
      <c r="Z11" s="36"/>
      <c r="AA11" s="7"/>
    </row>
    <row r="12" spans="1:27" ht="18" customHeight="1" x14ac:dyDescent="0.15">
      <c r="A12" s="5" t="s">
        <v>1683</v>
      </c>
      <c r="B12" s="6" t="s">
        <v>1684</v>
      </c>
      <c r="C12" s="6" t="s">
        <v>28</v>
      </c>
      <c r="D12" s="6" t="s">
        <v>17</v>
      </c>
      <c r="E12" s="6" t="s">
        <v>109</v>
      </c>
      <c r="F12" s="6">
        <v>13</v>
      </c>
      <c r="G12" s="6" t="s">
        <v>1693</v>
      </c>
      <c r="H12" s="50">
        <v>5.4025573685520398E-2</v>
      </c>
      <c r="I12" s="50">
        <v>0.97200726983199004</v>
      </c>
      <c r="J12" s="50">
        <v>0.75694099549890703</v>
      </c>
      <c r="K12" s="50">
        <v>1.0315881961871101</v>
      </c>
      <c r="L12" s="50">
        <v>0.51924094462497095</v>
      </c>
      <c r="M12" s="41">
        <v>1.6E-2</v>
      </c>
      <c r="N12" s="41">
        <v>0.20200000000000001</v>
      </c>
      <c r="O12" s="41">
        <v>0.08</v>
      </c>
      <c r="P12" s="41">
        <v>0.11700000000000001</v>
      </c>
      <c r="Q12" s="6" t="s">
        <v>362</v>
      </c>
      <c r="R12" s="6"/>
      <c r="S12" s="6"/>
      <c r="T12" s="6"/>
      <c r="U12" s="6"/>
      <c r="V12" s="6"/>
      <c r="W12" s="56"/>
      <c r="X12" s="6"/>
      <c r="Y12" s="36"/>
      <c r="Z12" s="36"/>
      <c r="AA12" s="7"/>
    </row>
    <row r="13" spans="1:27" ht="18" customHeight="1" x14ac:dyDescent="0.15">
      <c r="A13" s="5" t="s">
        <v>1683</v>
      </c>
      <c r="B13" s="6" t="s">
        <v>1684</v>
      </c>
      <c r="C13" s="6" t="s">
        <v>28</v>
      </c>
      <c r="D13" s="6" t="s">
        <v>17</v>
      </c>
      <c r="E13" s="6" t="s">
        <v>90</v>
      </c>
      <c r="F13" s="6">
        <v>12</v>
      </c>
      <c r="G13" s="6" t="s">
        <v>1694</v>
      </c>
      <c r="H13" s="50">
        <v>0.63716099503519796</v>
      </c>
      <c r="I13" s="50">
        <v>0.853568967068286</v>
      </c>
      <c r="J13" s="50">
        <v>0.53620774295609197</v>
      </c>
      <c r="K13" s="50">
        <v>0.97088878881916996</v>
      </c>
      <c r="L13" s="50">
        <v>0.71508055508673396</v>
      </c>
      <c r="M13" s="41">
        <v>1.2E-2</v>
      </c>
      <c r="N13" s="41">
        <v>0.626</v>
      </c>
      <c r="O13" s="41">
        <v>1E-3</v>
      </c>
      <c r="P13" s="41">
        <v>2E-3</v>
      </c>
      <c r="Q13" s="6" t="s">
        <v>362</v>
      </c>
      <c r="R13" s="6"/>
      <c r="S13" s="6"/>
      <c r="T13" s="6"/>
      <c r="U13" s="6"/>
      <c r="V13" s="6"/>
      <c r="W13" s="56"/>
      <c r="X13" s="6"/>
      <c r="Y13" s="36"/>
      <c r="Z13" s="36"/>
      <c r="AA13" s="7"/>
    </row>
    <row r="14" spans="1:27" ht="18" customHeight="1" x14ac:dyDescent="0.15">
      <c r="A14" s="5" t="s">
        <v>1683</v>
      </c>
      <c r="B14" s="6" t="s">
        <v>1684</v>
      </c>
      <c r="C14" s="6" t="s">
        <v>20</v>
      </c>
      <c r="D14" s="6" t="s">
        <v>17</v>
      </c>
      <c r="E14" s="6" t="s">
        <v>135</v>
      </c>
      <c r="F14" s="6">
        <v>13</v>
      </c>
      <c r="G14" s="6" t="s">
        <v>1695</v>
      </c>
      <c r="H14" s="50">
        <v>0.96901756571836295</v>
      </c>
      <c r="I14" s="50">
        <v>0.99622377852166999</v>
      </c>
      <c r="J14" s="50">
        <v>0.973652050566299</v>
      </c>
      <c r="K14" s="50">
        <v>1.0114598059108</v>
      </c>
      <c r="L14" s="50">
        <v>0.84857407965959197</v>
      </c>
      <c r="M14" s="41">
        <v>1E-3</v>
      </c>
      <c r="N14" s="41">
        <v>0.95899999999999996</v>
      </c>
      <c r="O14" s="41">
        <v>0.66400000000000003</v>
      </c>
      <c r="P14" s="41">
        <v>0.67200000000000004</v>
      </c>
      <c r="Q14" s="6" t="s">
        <v>362</v>
      </c>
      <c r="R14" s="6"/>
      <c r="S14" s="6"/>
      <c r="T14" s="6"/>
      <c r="U14" s="6"/>
      <c r="V14" s="6"/>
      <c r="W14" s="56"/>
      <c r="X14" s="6"/>
      <c r="Y14" s="36"/>
      <c r="Z14" s="36"/>
      <c r="AA14" s="7"/>
    </row>
    <row r="15" spans="1:27" ht="18" customHeight="1" x14ac:dyDescent="0.15">
      <c r="A15" s="5" t="s">
        <v>1683</v>
      </c>
      <c r="B15" s="6" t="s">
        <v>1684</v>
      </c>
      <c r="C15" s="6" t="s">
        <v>28</v>
      </c>
      <c r="D15" s="6" t="s">
        <v>17</v>
      </c>
      <c r="E15" s="6" t="s">
        <v>45</v>
      </c>
      <c r="F15" s="6">
        <v>12</v>
      </c>
      <c r="G15" s="6" t="s">
        <v>1696</v>
      </c>
      <c r="H15" s="50">
        <v>0.72231708356161295</v>
      </c>
      <c r="I15" s="50">
        <v>1.07107388642308</v>
      </c>
      <c r="J15" s="50">
        <v>0.494498319385617</v>
      </c>
      <c r="K15" s="50">
        <v>1.01387565870741</v>
      </c>
      <c r="L15" s="50">
        <v>0.76030943775049598</v>
      </c>
      <c r="M15" s="41">
        <v>-8.9999999999999993E-3</v>
      </c>
      <c r="N15" s="41">
        <v>0.379</v>
      </c>
      <c r="O15" s="41">
        <v>0.23200000000000001</v>
      </c>
      <c r="P15" s="41">
        <v>0.23300000000000001</v>
      </c>
      <c r="Q15" s="6" t="s">
        <v>362</v>
      </c>
      <c r="R15" s="6"/>
      <c r="S15" s="6"/>
      <c r="T15" s="6"/>
      <c r="U15" s="6"/>
      <c r="V15" s="6"/>
      <c r="W15" s="56"/>
      <c r="X15" s="6"/>
      <c r="Y15" s="36"/>
      <c r="Z15" s="36"/>
      <c r="AA15" s="7"/>
    </row>
    <row r="16" spans="1:27" ht="18" customHeight="1" x14ac:dyDescent="0.15">
      <c r="A16" s="5" t="s">
        <v>1683</v>
      </c>
      <c r="B16" s="6" t="s">
        <v>1684</v>
      </c>
      <c r="C16" s="6" t="s">
        <v>28</v>
      </c>
      <c r="D16" s="6" t="s">
        <v>17</v>
      </c>
      <c r="E16" s="6" t="s">
        <v>70</v>
      </c>
      <c r="F16" s="6">
        <v>12</v>
      </c>
      <c r="G16" s="6" t="s">
        <v>1697</v>
      </c>
      <c r="H16" s="50">
        <v>0.33306607987161002</v>
      </c>
      <c r="I16" s="50">
        <v>0.99806776029917599</v>
      </c>
      <c r="J16" s="50">
        <v>0.64286894640472803</v>
      </c>
      <c r="K16" s="50">
        <v>1.0000608153539901</v>
      </c>
      <c r="L16" s="50">
        <v>0.977808362244735</v>
      </c>
      <c r="M16" s="41">
        <v>0</v>
      </c>
      <c r="N16" s="41">
        <v>0.376</v>
      </c>
      <c r="O16" s="41">
        <v>0.71799999999999997</v>
      </c>
      <c r="P16" s="41">
        <v>0.72199999999999998</v>
      </c>
      <c r="Q16" s="6" t="s">
        <v>362</v>
      </c>
      <c r="R16" s="6"/>
      <c r="S16" s="6"/>
      <c r="T16" s="6"/>
      <c r="U16" s="6"/>
      <c r="V16" s="6"/>
      <c r="W16" s="56"/>
      <c r="X16" s="6"/>
      <c r="Y16" s="36"/>
      <c r="Z16" s="36"/>
      <c r="AA16" s="7"/>
    </row>
    <row r="17" spans="1:27" ht="18" customHeight="1" x14ac:dyDescent="0.15">
      <c r="A17" s="5" t="s">
        <v>1683</v>
      </c>
      <c r="B17" s="6" t="s">
        <v>1684</v>
      </c>
      <c r="C17" s="6" t="s">
        <v>28</v>
      </c>
      <c r="D17" s="6" t="s">
        <v>17</v>
      </c>
      <c r="E17" s="6" t="s">
        <v>80</v>
      </c>
      <c r="F17" s="6">
        <v>13</v>
      </c>
      <c r="G17" s="6" t="s">
        <v>1698</v>
      </c>
      <c r="H17" s="50">
        <v>0.15212578977182201</v>
      </c>
      <c r="I17" s="50">
        <v>1.0539607188617901</v>
      </c>
      <c r="J17" s="50">
        <v>0.11514523965047201</v>
      </c>
      <c r="K17" s="50">
        <v>1.0046925008254299</v>
      </c>
      <c r="L17" s="50">
        <v>0.76275709339313602</v>
      </c>
      <c r="M17" s="41">
        <v>-4.0000000000000001E-3</v>
      </c>
      <c r="N17" s="41">
        <v>0.23200000000000001</v>
      </c>
      <c r="O17" s="41">
        <v>0.746</v>
      </c>
      <c r="P17" s="41">
        <v>0.73699999999999999</v>
      </c>
      <c r="Q17" s="6" t="s">
        <v>362</v>
      </c>
      <c r="R17" s="6"/>
      <c r="S17" s="6"/>
      <c r="T17" s="6"/>
      <c r="U17" s="6"/>
      <c r="V17" s="6"/>
      <c r="W17" s="56"/>
      <c r="X17" s="6"/>
      <c r="Y17" s="36"/>
      <c r="Z17" s="36"/>
      <c r="AA17" s="7"/>
    </row>
    <row r="18" spans="1:27" ht="18" customHeight="1" x14ac:dyDescent="0.15">
      <c r="A18" s="5" t="s">
        <v>1683</v>
      </c>
      <c r="B18" s="6" t="s">
        <v>1684</v>
      </c>
      <c r="C18" s="6" t="s">
        <v>28</v>
      </c>
      <c r="D18" s="6" t="s">
        <v>17</v>
      </c>
      <c r="E18" s="6" t="s">
        <v>158</v>
      </c>
      <c r="F18" s="6">
        <v>13</v>
      </c>
      <c r="G18" s="6" t="s">
        <v>1699</v>
      </c>
      <c r="H18" s="50">
        <v>0.90102377784182097</v>
      </c>
      <c r="I18" s="50">
        <v>1.0346396740166599</v>
      </c>
      <c r="J18" s="50">
        <v>0.34335261758632502</v>
      </c>
      <c r="K18" s="50">
        <v>1.0151924389384399</v>
      </c>
      <c r="L18" s="50">
        <v>0.36401951687811601</v>
      </c>
      <c r="M18" s="41">
        <v>-3.0000000000000001E-3</v>
      </c>
      <c r="N18" s="41">
        <v>0.33100000000000002</v>
      </c>
      <c r="O18" s="41">
        <v>0.19500000000000001</v>
      </c>
      <c r="P18" s="41">
        <v>0.183</v>
      </c>
      <c r="Q18" s="6" t="s">
        <v>362</v>
      </c>
      <c r="R18" s="6"/>
      <c r="S18" s="6"/>
      <c r="T18" s="6"/>
      <c r="U18" s="6"/>
      <c r="V18" s="6"/>
      <c r="W18" s="56"/>
      <c r="X18" s="6"/>
      <c r="Y18" s="36"/>
      <c r="Z18" s="36"/>
      <c r="AA18" s="7"/>
    </row>
    <row r="19" spans="1:27" ht="18" customHeight="1" x14ac:dyDescent="0.15">
      <c r="A19" s="5" t="s">
        <v>1683</v>
      </c>
      <c r="B19" s="6" t="s">
        <v>1684</v>
      </c>
      <c r="C19" s="6" t="s">
        <v>20</v>
      </c>
      <c r="D19" s="6" t="s">
        <v>17</v>
      </c>
      <c r="E19" s="6" t="s">
        <v>34</v>
      </c>
      <c r="F19" s="6">
        <v>13</v>
      </c>
      <c r="G19" s="6" t="s">
        <v>1700</v>
      </c>
      <c r="H19" s="50">
        <v>0.87350977185907597</v>
      </c>
      <c r="I19" s="50">
        <v>1.27831536744514</v>
      </c>
      <c r="J19" s="50">
        <v>0.12453972526156699</v>
      </c>
      <c r="K19" s="50">
        <v>0.99743799742815897</v>
      </c>
      <c r="L19" s="50">
        <v>0.97430265399851801</v>
      </c>
      <c r="M19" s="41">
        <v>-2.5000000000000001E-2</v>
      </c>
      <c r="N19" s="41">
        <v>0.112</v>
      </c>
      <c r="O19" s="41">
        <v>0.16300000000000001</v>
      </c>
      <c r="P19" s="41">
        <v>0.111</v>
      </c>
      <c r="Q19" s="6" t="s">
        <v>362</v>
      </c>
      <c r="R19" s="6"/>
      <c r="S19" s="6"/>
      <c r="T19" s="6"/>
      <c r="U19" s="6"/>
      <c r="V19" s="6"/>
      <c r="W19" s="56"/>
      <c r="X19" s="6"/>
      <c r="Y19" s="36"/>
      <c r="Z19" s="36"/>
      <c r="AA19" s="7"/>
    </row>
    <row r="20" spans="1:27" ht="18" customHeight="1" x14ac:dyDescent="0.15">
      <c r="A20" s="5" t="s">
        <v>1683</v>
      </c>
      <c r="B20" s="6" t="s">
        <v>1684</v>
      </c>
      <c r="C20" s="6" t="s">
        <v>20</v>
      </c>
      <c r="D20" s="6" t="s">
        <v>17</v>
      </c>
      <c r="E20" s="6" t="s">
        <v>45</v>
      </c>
      <c r="F20" s="6">
        <v>9</v>
      </c>
      <c r="G20" s="6" t="s">
        <v>1701</v>
      </c>
      <c r="H20" s="50">
        <v>0.70663896639990498</v>
      </c>
      <c r="I20" s="50">
        <v>1.00215060141515</v>
      </c>
      <c r="J20" s="50">
        <v>0.93088220734929294</v>
      </c>
      <c r="K20" s="50">
        <v>1.00943382929252</v>
      </c>
      <c r="L20" s="50">
        <v>0.417471264728421</v>
      </c>
      <c r="M20" s="41">
        <v>0</v>
      </c>
      <c r="N20" s="41">
        <v>0.95699999999999996</v>
      </c>
      <c r="O20" s="41">
        <v>0.71199999999999997</v>
      </c>
      <c r="P20" s="41">
        <v>0.73</v>
      </c>
      <c r="Q20" s="6" t="s">
        <v>362</v>
      </c>
      <c r="R20" s="6"/>
      <c r="S20" s="6"/>
      <c r="T20" s="6"/>
      <c r="U20" s="6"/>
      <c r="V20" s="6"/>
      <c r="W20" s="56"/>
      <c r="X20" s="6"/>
      <c r="Y20" s="36"/>
      <c r="Z20" s="36"/>
      <c r="AA20" s="7"/>
    </row>
    <row r="21" spans="1:27" ht="18" customHeight="1" x14ac:dyDescent="0.15">
      <c r="A21" s="5" t="s">
        <v>1683</v>
      </c>
      <c r="B21" s="6" t="s">
        <v>1684</v>
      </c>
      <c r="C21" s="6" t="s">
        <v>28</v>
      </c>
      <c r="D21" s="6" t="s">
        <v>17</v>
      </c>
      <c r="E21" s="6" t="s">
        <v>165</v>
      </c>
      <c r="F21" s="6">
        <v>13</v>
      </c>
      <c r="G21" s="6" t="s">
        <v>1702</v>
      </c>
      <c r="H21" s="50">
        <v>5.5094322635284E-2</v>
      </c>
      <c r="I21" s="50">
        <v>1.12072915874374</v>
      </c>
      <c r="J21" s="50">
        <v>0.32189641190616902</v>
      </c>
      <c r="K21" s="50">
        <v>1.1330786248886899</v>
      </c>
      <c r="L21" s="50">
        <v>2.61750501132537E-2</v>
      </c>
      <c r="M21" s="41">
        <v>-4.0000000000000001E-3</v>
      </c>
      <c r="N21" s="41">
        <v>0.747</v>
      </c>
      <c r="O21" s="41">
        <v>0.749</v>
      </c>
      <c r="P21" s="41">
        <v>0.79300000000000004</v>
      </c>
      <c r="Q21" s="6" t="s">
        <v>362</v>
      </c>
      <c r="R21" s="6"/>
      <c r="S21" s="6"/>
      <c r="T21" s="6"/>
      <c r="U21" s="6"/>
      <c r="V21" s="6"/>
      <c r="W21" s="56"/>
      <c r="X21" s="6"/>
      <c r="Y21" s="36"/>
      <c r="Z21" s="36"/>
      <c r="AA21" s="7"/>
    </row>
    <row r="22" spans="1:27" ht="18" customHeight="1" x14ac:dyDescent="0.15">
      <c r="A22" s="5" t="s">
        <v>1683</v>
      </c>
      <c r="B22" s="6" t="s">
        <v>1684</v>
      </c>
      <c r="C22" s="6" t="s">
        <v>20</v>
      </c>
      <c r="D22" s="6" t="s">
        <v>17</v>
      </c>
      <c r="E22" s="6" t="s">
        <v>181</v>
      </c>
      <c r="F22" s="6">
        <v>13</v>
      </c>
      <c r="G22" s="6" t="s">
        <v>1703</v>
      </c>
      <c r="H22" s="50">
        <v>0.57587308733668297</v>
      </c>
      <c r="I22" s="50">
        <v>1.1918789615777201</v>
      </c>
      <c r="J22" s="50">
        <v>0.20214113803039499</v>
      </c>
      <c r="K22" s="50">
        <v>0.99984848373173796</v>
      </c>
      <c r="L22" s="50">
        <v>0.99827257921842805</v>
      </c>
      <c r="M22" s="41">
        <v>-1.6E-2</v>
      </c>
      <c r="N22" s="41">
        <v>0.24199999999999999</v>
      </c>
      <c r="O22" s="41">
        <v>0.67200000000000004</v>
      </c>
      <c r="P22" s="41">
        <v>0.61599999999999999</v>
      </c>
      <c r="Q22" s="6" t="s">
        <v>362</v>
      </c>
      <c r="R22" s="6"/>
      <c r="S22" s="6"/>
      <c r="T22" s="6"/>
      <c r="U22" s="6"/>
      <c r="V22" s="6"/>
      <c r="W22" s="56"/>
      <c r="X22" s="6"/>
      <c r="Y22" s="36"/>
      <c r="Z22" s="36"/>
      <c r="AA22" s="7"/>
    </row>
    <row r="23" spans="1:27" ht="18" customHeight="1" x14ac:dyDescent="0.15">
      <c r="A23" s="5" t="s">
        <v>1683</v>
      </c>
      <c r="B23" s="6" t="s">
        <v>1684</v>
      </c>
      <c r="C23" s="6" t="s">
        <v>20</v>
      </c>
      <c r="D23" s="6" t="s">
        <v>17</v>
      </c>
      <c r="E23" s="6" t="s">
        <v>165</v>
      </c>
      <c r="F23" s="6">
        <v>13</v>
      </c>
      <c r="G23" s="6" t="s">
        <v>1704</v>
      </c>
      <c r="H23" s="50">
        <v>6.3283002376991401E-2</v>
      </c>
      <c r="I23" s="50">
        <v>1.3679623758788899</v>
      </c>
      <c r="J23" s="50">
        <v>0.182090156386124</v>
      </c>
      <c r="K23" s="50">
        <v>1.19762688986282</v>
      </c>
      <c r="L23" s="50">
        <v>7.5270867840509501E-2</v>
      </c>
      <c r="M23" s="41">
        <v>-1.7000000000000001E-2</v>
      </c>
      <c r="N23" s="41">
        <v>0.44700000000000001</v>
      </c>
      <c r="O23" s="41">
        <v>0.17899999999999999</v>
      </c>
      <c r="P23" s="41">
        <v>0.20399999999999999</v>
      </c>
      <c r="Q23" s="6" t="s">
        <v>362</v>
      </c>
      <c r="R23" s="6"/>
      <c r="S23" s="6"/>
      <c r="T23" s="6"/>
      <c r="U23" s="6"/>
      <c r="V23" s="6"/>
      <c r="W23" s="56"/>
      <c r="X23" s="6"/>
      <c r="Y23" s="36"/>
      <c r="Z23" s="36"/>
      <c r="AA23" s="7"/>
    </row>
    <row r="24" spans="1:27" ht="18" customHeight="1" x14ac:dyDescent="0.15">
      <c r="A24" s="5" t="s">
        <v>1683</v>
      </c>
      <c r="B24" s="6" t="s">
        <v>1684</v>
      </c>
      <c r="C24" s="6" t="s">
        <v>28</v>
      </c>
      <c r="D24" s="6" t="s">
        <v>17</v>
      </c>
      <c r="E24" s="6" t="s">
        <v>34</v>
      </c>
      <c r="F24" s="6">
        <v>13</v>
      </c>
      <c r="G24" s="6" t="s">
        <v>1705</v>
      </c>
      <c r="H24" s="50">
        <v>0.61995314473788499</v>
      </c>
      <c r="I24" s="50">
        <v>1.33783827332482</v>
      </c>
      <c r="J24" s="50">
        <v>3.6653079137125198E-2</v>
      </c>
      <c r="K24" s="50">
        <v>0.93462106693368296</v>
      </c>
      <c r="L24" s="50">
        <v>0.31718855716026201</v>
      </c>
      <c r="M24" s="41">
        <v>-2.8000000000000001E-2</v>
      </c>
      <c r="N24" s="41">
        <v>3.9E-2</v>
      </c>
      <c r="O24" s="41">
        <v>0.28299999999999997</v>
      </c>
      <c r="P24" s="41">
        <v>0.20100000000000001</v>
      </c>
      <c r="Q24" s="6" t="s">
        <v>362</v>
      </c>
      <c r="R24" s="6"/>
      <c r="S24" s="6"/>
      <c r="T24" s="6"/>
      <c r="U24" s="6"/>
      <c r="V24" s="6"/>
      <c r="W24" s="56"/>
      <c r="X24" s="6"/>
      <c r="Y24" s="36"/>
      <c r="Z24" s="36"/>
      <c r="AA24" s="7"/>
    </row>
    <row r="25" spans="1:27" ht="18" customHeight="1" x14ac:dyDescent="0.15">
      <c r="A25" s="5" t="s">
        <v>1683</v>
      </c>
      <c r="B25" s="6" t="s">
        <v>1684</v>
      </c>
      <c r="C25" s="6" t="s">
        <v>28</v>
      </c>
      <c r="D25" s="6" t="s">
        <v>17</v>
      </c>
      <c r="E25" s="6" t="s">
        <v>181</v>
      </c>
      <c r="F25" s="6">
        <v>13</v>
      </c>
      <c r="G25" s="6" t="s">
        <v>1706</v>
      </c>
      <c r="H25" s="50">
        <v>0.54581688299112596</v>
      </c>
      <c r="I25" s="50">
        <v>1.2182498943528901</v>
      </c>
      <c r="J25" s="50">
        <v>0.156716542275119</v>
      </c>
      <c r="K25" s="50">
        <v>0.99106082625799896</v>
      </c>
      <c r="L25" s="50">
        <v>0.89660717207839102</v>
      </c>
      <c r="M25" s="41">
        <v>-1.7999999999999999E-2</v>
      </c>
      <c r="N25" s="41">
        <v>0.191</v>
      </c>
      <c r="O25" s="41">
        <v>0.57899999999999996</v>
      </c>
      <c r="P25" s="41">
        <v>0.52600000000000002</v>
      </c>
      <c r="Q25" s="6" t="s">
        <v>362</v>
      </c>
      <c r="R25" s="6"/>
      <c r="S25" s="6"/>
      <c r="T25" s="6"/>
      <c r="U25" s="6"/>
      <c r="V25" s="6"/>
      <c r="W25" s="56"/>
      <c r="X25" s="6"/>
      <c r="Y25" s="36"/>
      <c r="Z25" s="36"/>
      <c r="AA25" s="7"/>
    </row>
    <row r="26" spans="1:27" ht="18" customHeight="1" x14ac:dyDescent="0.15">
      <c r="A26" s="5" t="s">
        <v>1683</v>
      </c>
      <c r="B26" s="6" t="s">
        <v>1684</v>
      </c>
      <c r="C26" s="6" t="s">
        <v>20</v>
      </c>
      <c r="D26" s="6" t="s">
        <v>17</v>
      </c>
      <c r="E26" s="6" t="s">
        <v>119</v>
      </c>
      <c r="F26" s="6">
        <v>12</v>
      </c>
      <c r="G26" s="6" t="s">
        <v>1707</v>
      </c>
      <c r="H26" s="50">
        <v>0.63823690138702704</v>
      </c>
      <c r="I26" s="50">
        <v>0.74298725014391998</v>
      </c>
      <c r="J26" s="50">
        <v>0.52692739100822905</v>
      </c>
      <c r="K26" s="50">
        <v>0.82120685778508395</v>
      </c>
      <c r="L26" s="50">
        <v>0.31842948618306199</v>
      </c>
      <c r="M26" s="41">
        <v>2.4E-2</v>
      </c>
      <c r="N26" s="41">
        <v>0.60899999999999999</v>
      </c>
      <c r="O26" s="41">
        <v>0.25700000000000001</v>
      </c>
      <c r="P26" s="41">
        <v>0.27700000000000002</v>
      </c>
      <c r="Q26" s="6" t="s">
        <v>362</v>
      </c>
      <c r="R26" s="6"/>
      <c r="S26" s="6"/>
      <c r="T26" s="6"/>
      <c r="U26" s="6"/>
      <c r="V26" s="6"/>
      <c r="W26" s="56"/>
      <c r="X26" s="6"/>
      <c r="Y26" s="36"/>
      <c r="Z26" s="36"/>
      <c r="AA26" s="7"/>
    </row>
    <row r="27" spans="1:27" ht="18" customHeight="1" x14ac:dyDescent="0.15">
      <c r="A27" s="5" t="s">
        <v>1683</v>
      </c>
      <c r="B27" s="6" t="s">
        <v>1684</v>
      </c>
      <c r="C27" s="6" t="s">
        <v>20</v>
      </c>
      <c r="D27" s="6" t="s">
        <v>17</v>
      </c>
      <c r="E27" s="6" t="s">
        <v>158</v>
      </c>
      <c r="F27" s="6">
        <v>13</v>
      </c>
      <c r="G27" s="6" t="s">
        <v>1708</v>
      </c>
      <c r="H27" s="50">
        <v>5.3351108827919103E-2</v>
      </c>
      <c r="I27" s="50">
        <v>0.85482850213211004</v>
      </c>
      <c r="J27" s="50">
        <v>0.13156768805074801</v>
      </c>
      <c r="K27" s="50">
        <v>1.0887169175626501</v>
      </c>
      <c r="L27" s="50">
        <v>0.102905892202591</v>
      </c>
      <c r="M27" s="41">
        <v>2.4E-2</v>
      </c>
      <c r="N27" s="41">
        <v>2.3E-2</v>
      </c>
      <c r="O27" s="41">
        <v>0.17399999999999999</v>
      </c>
      <c r="P27" s="41">
        <v>0.13400000000000001</v>
      </c>
      <c r="Q27" s="6" t="s">
        <v>362</v>
      </c>
      <c r="R27" s="6"/>
      <c r="S27" s="6"/>
      <c r="T27" s="6"/>
      <c r="U27" s="6"/>
      <c r="V27" s="6"/>
      <c r="W27" s="56"/>
      <c r="X27" s="6"/>
      <c r="Y27" s="36"/>
      <c r="Z27" s="36"/>
      <c r="AA27" s="7"/>
    </row>
    <row r="28" spans="1:27" ht="18" customHeight="1" x14ac:dyDescent="0.15">
      <c r="A28" s="5" t="s">
        <v>1683</v>
      </c>
      <c r="B28" s="6" t="s">
        <v>1684</v>
      </c>
      <c r="C28" s="6" t="s">
        <v>20</v>
      </c>
      <c r="D28" s="6" t="s">
        <v>17</v>
      </c>
      <c r="E28" s="6" t="s">
        <v>100</v>
      </c>
      <c r="F28" s="6">
        <v>13</v>
      </c>
      <c r="G28" s="6" t="s">
        <v>1690</v>
      </c>
      <c r="H28" s="50">
        <v>0.95032141692842198</v>
      </c>
      <c r="I28" s="50">
        <v>0.98227961921366902</v>
      </c>
      <c r="J28" s="50">
        <v>0.90475037677373504</v>
      </c>
      <c r="K28" s="50">
        <v>1.04673369628221</v>
      </c>
      <c r="L28" s="50">
        <v>0.418343522044759</v>
      </c>
      <c r="M28" s="41">
        <v>2E-3</v>
      </c>
      <c r="N28" s="41">
        <v>0.91600000000000004</v>
      </c>
      <c r="O28" s="41">
        <v>4.1000000000000002E-2</v>
      </c>
      <c r="P28" s="41">
        <v>5.2999999999999999E-2</v>
      </c>
      <c r="Q28" s="6" t="s">
        <v>362</v>
      </c>
      <c r="R28" s="6"/>
      <c r="S28" s="6"/>
      <c r="T28" s="6"/>
      <c r="U28" s="6"/>
      <c r="V28" s="6"/>
      <c r="W28" s="56"/>
      <c r="X28" s="6"/>
      <c r="Y28" s="36"/>
      <c r="Z28" s="36"/>
      <c r="AA28" s="7"/>
    </row>
    <row r="29" spans="1:27" ht="18" customHeight="1" x14ac:dyDescent="0.15">
      <c r="A29" s="5" t="s">
        <v>1683</v>
      </c>
      <c r="B29" s="6" t="s">
        <v>1684</v>
      </c>
      <c r="C29" s="6" t="s">
        <v>28</v>
      </c>
      <c r="D29" s="6" t="s">
        <v>17</v>
      </c>
      <c r="E29" s="6" t="s">
        <v>141</v>
      </c>
      <c r="F29" s="6">
        <v>13</v>
      </c>
      <c r="G29" s="6" t="s">
        <v>1709</v>
      </c>
      <c r="H29" s="50">
        <v>3.0986587215195399E-2</v>
      </c>
      <c r="I29" s="50">
        <v>0.91543302120233705</v>
      </c>
      <c r="J29" s="50">
        <v>0.69251795333692701</v>
      </c>
      <c r="K29" s="50">
        <v>0.78879040012088197</v>
      </c>
      <c r="L29" s="50">
        <v>4.6474294111343302E-2</v>
      </c>
      <c r="M29" s="41">
        <v>-0.01</v>
      </c>
      <c r="N29" s="41">
        <v>0.65800000000000003</v>
      </c>
      <c r="O29" s="41">
        <v>0.54</v>
      </c>
      <c r="P29" s="41">
        <v>0.58099999999999996</v>
      </c>
      <c r="Q29" s="6" t="s">
        <v>362</v>
      </c>
      <c r="R29" s="6"/>
      <c r="S29" s="6"/>
      <c r="T29" s="6"/>
      <c r="U29" s="6"/>
      <c r="V29" s="6"/>
      <c r="W29" s="56"/>
      <c r="X29" s="6"/>
      <c r="Y29" s="36"/>
      <c r="Z29" s="36"/>
      <c r="AA29" s="7"/>
    </row>
    <row r="30" spans="1:27" ht="18" customHeight="1" x14ac:dyDescent="0.15">
      <c r="A30" s="5" t="s">
        <v>1683</v>
      </c>
      <c r="B30" s="6" t="s">
        <v>1684</v>
      </c>
      <c r="C30" s="6" t="s">
        <v>28</v>
      </c>
      <c r="D30" s="6" t="s">
        <v>17</v>
      </c>
      <c r="E30" s="6" t="s">
        <v>119</v>
      </c>
      <c r="F30" s="6">
        <v>12</v>
      </c>
      <c r="G30" s="6" t="s">
        <v>1707</v>
      </c>
      <c r="H30" s="50">
        <v>0.63823838248730702</v>
      </c>
      <c r="I30" s="50">
        <v>0.74298762123222295</v>
      </c>
      <c r="J30" s="50">
        <v>0.52692873398506102</v>
      </c>
      <c r="K30" s="50">
        <v>0.82120687451195595</v>
      </c>
      <c r="L30" s="50">
        <v>0.32893722470075598</v>
      </c>
      <c r="M30" s="41">
        <v>2.4E-2</v>
      </c>
      <c r="N30" s="41">
        <v>0.60899999999999999</v>
      </c>
      <c r="O30" s="41">
        <v>0.25700000000000001</v>
      </c>
      <c r="P30" s="41">
        <v>0.26200000000000001</v>
      </c>
      <c r="Q30" s="6" t="s">
        <v>362</v>
      </c>
      <c r="R30" s="6"/>
      <c r="S30" s="6"/>
      <c r="T30" s="6"/>
      <c r="U30" s="6"/>
      <c r="V30" s="6"/>
      <c r="W30" s="56"/>
      <c r="X30" s="6"/>
      <c r="Y30" s="36"/>
      <c r="Z30" s="36"/>
      <c r="AA30" s="7"/>
    </row>
    <row r="31" spans="1:27" ht="18" customHeight="1" x14ac:dyDescent="0.15">
      <c r="A31" s="5" t="s">
        <v>1683</v>
      </c>
      <c r="B31" s="6" t="s">
        <v>1684</v>
      </c>
      <c r="C31" s="6" t="s">
        <v>28</v>
      </c>
      <c r="D31" s="6" t="s">
        <v>17</v>
      </c>
      <c r="E31" s="6" t="s">
        <v>135</v>
      </c>
      <c r="F31" s="6">
        <v>2</v>
      </c>
      <c r="G31" s="6" t="s">
        <v>1710</v>
      </c>
      <c r="H31" s="50">
        <v>0.83198286499667695</v>
      </c>
      <c r="I31" s="50"/>
      <c r="J31" s="50"/>
      <c r="K31" s="50"/>
      <c r="L31" s="50"/>
      <c r="M31" s="50"/>
      <c r="N31" s="50"/>
      <c r="O31" s="41">
        <v>0.15</v>
      </c>
      <c r="P31" s="50"/>
      <c r="Q31" s="6" t="s">
        <v>362</v>
      </c>
      <c r="R31" s="6"/>
      <c r="S31" s="6"/>
      <c r="T31" s="6"/>
      <c r="U31" s="6"/>
      <c r="V31" s="6"/>
      <c r="W31" s="56"/>
      <c r="X31" s="6"/>
      <c r="Y31" s="36"/>
      <c r="Z31" s="36"/>
      <c r="AA31" s="7"/>
    </row>
    <row r="32" spans="1:27" ht="18" customHeight="1" x14ac:dyDescent="0.15">
      <c r="A32" s="5" t="s">
        <v>1683</v>
      </c>
      <c r="B32" s="6" t="s">
        <v>1684</v>
      </c>
      <c r="C32" s="6" t="s">
        <v>28</v>
      </c>
      <c r="D32" s="6" t="s">
        <v>17</v>
      </c>
      <c r="E32" s="6" t="s">
        <v>150</v>
      </c>
      <c r="F32" s="6">
        <v>13</v>
      </c>
      <c r="G32" s="6" t="s">
        <v>1711</v>
      </c>
      <c r="H32" s="50">
        <v>4.5553772300890499E-2</v>
      </c>
      <c r="I32" s="50">
        <v>1.11514047183245</v>
      </c>
      <c r="J32" s="50">
        <v>0.50787909675846798</v>
      </c>
      <c r="K32" s="50">
        <v>1.0865132552255199</v>
      </c>
      <c r="L32" s="50">
        <v>0.31472519285140599</v>
      </c>
      <c r="M32" s="41">
        <v>1E-3</v>
      </c>
      <c r="N32" s="41">
        <v>0.93899999999999995</v>
      </c>
      <c r="O32" s="41">
        <v>0.63500000000000001</v>
      </c>
      <c r="P32" s="41">
        <v>0.66600000000000004</v>
      </c>
      <c r="Q32" s="6" t="s">
        <v>362</v>
      </c>
      <c r="R32" s="6"/>
      <c r="S32" s="6"/>
      <c r="T32" s="6"/>
      <c r="U32" s="6"/>
      <c r="V32" s="6"/>
      <c r="W32" s="56"/>
      <c r="X32" s="6"/>
      <c r="Y32" s="36"/>
      <c r="Z32" s="36"/>
      <c r="AA32" s="7"/>
    </row>
    <row r="33" spans="1:27" ht="18" customHeight="1" x14ac:dyDescent="0.15">
      <c r="A33" s="5" t="s">
        <v>1683</v>
      </c>
      <c r="B33" s="6" t="s">
        <v>1684</v>
      </c>
      <c r="C33" s="6" t="s">
        <v>20</v>
      </c>
      <c r="D33" s="6" t="s">
        <v>17</v>
      </c>
      <c r="E33" s="6" t="s">
        <v>150</v>
      </c>
      <c r="F33" s="6">
        <v>13</v>
      </c>
      <c r="G33" s="6" t="s">
        <v>1712</v>
      </c>
      <c r="H33" s="50">
        <v>0.55969356696859096</v>
      </c>
      <c r="I33" s="50">
        <v>1.01241317291623</v>
      </c>
      <c r="J33" s="50">
        <v>0.53336716281632401</v>
      </c>
      <c r="K33" s="50">
        <v>1.0094294916978901</v>
      </c>
      <c r="L33" s="50">
        <v>0.34535595915170902</v>
      </c>
      <c r="M33" s="41">
        <v>-1E-3</v>
      </c>
      <c r="N33" s="41">
        <v>0.65500000000000003</v>
      </c>
      <c r="O33" s="41">
        <v>0.57099999999999995</v>
      </c>
      <c r="P33" s="41">
        <v>0.58399999999999996</v>
      </c>
      <c r="Q33" s="6" t="s">
        <v>362</v>
      </c>
      <c r="R33" s="6"/>
      <c r="S33" s="6"/>
      <c r="T33" s="6"/>
      <c r="U33" s="6"/>
      <c r="V33" s="6"/>
      <c r="W33" s="56"/>
      <c r="X33" s="6"/>
      <c r="Y33" s="36"/>
      <c r="Z33" s="36"/>
      <c r="AA33" s="7"/>
    </row>
    <row r="34" spans="1:27" ht="18" customHeight="1" x14ac:dyDescent="0.15">
      <c r="A34" s="5" t="s">
        <v>1683</v>
      </c>
      <c r="B34" s="6" t="s">
        <v>1684</v>
      </c>
      <c r="C34" s="6" t="s">
        <v>20</v>
      </c>
      <c r="D34" s="6" t="s">
        <v>17</v>
      </c>
      <c r="E34" s="6" t="s">
        <v>173</v>
      </c>
      <c r="F34" s="6">
        <v>11</v>
      </c>
      <c r="G34" s="6" t="s">
        <v>1713</v>
      </c>
      <c r="H34" s="50">
        <v>0.90251199100101798</v>
      </c>
      <c r="I34" s="50">
        <v>1.1668272951329099</v>
      </c>
      <c r="J34" s="50">
        <v>0.17744139651768101</v>
      </c>
      <c r="K34" s="50">
        <v>0.95399458463380304</v>
      </c>
      <c r="L34" s="50">
        <v>0.38759320953877002</v>
      </c>
      <c r="M34" s="41">
        <v>-1.7000000000000001E-2</v>
      </c>
      <c r="N34" s="41">
        <v>0.14000000000000001</v>
      </c>
      <c r="O34" s="41">
        <v>0.376</v>
      </c>
      <c r="P34" s="41">
        <v>0.372</v>
      </c>
      <c r="Q34" s="6" t="s">
        <v>362</v>
      </c>
      <c r="R34" s="6"/>
      <c r="S34" s="6"/>
      <c r="T34" s="6"/>
      <c r="U34" s="6"/>
      <c r="V34" s="6"/>
      <c r="W34" s="56"/>
      <c r="X34" s="6"/>
      <c r="Y34" s="36"/>
      <c r="Z34" s="36"/>
      <c r="AA34" s="7"/>
    </row>
    <row r="35" spans="1:27" ht="18" customHeight="1" x14ac:dyDescent="0.15">
      <c r="A35" s="5" t="s">
        <v>1683</v>
      </c>
      <c r="B35" s="6" t="s">
        <v>1684</v>
      </c>
      <c r="C35" s="6" t="s">
        <v>28</v>
      </c>
      <c r="D35" s="6" t="s">
        <v>17</v>
      </c>
      <c r="E35" s="6" t="s">
        <v>173</v>
      </c>
      <c r="F35" s="6">
        <v>11</v>
      </c>
      <c r="G35" s="6" t="s">
        <v>1714</v>
      </c>
      <c r="H35" s="50">
        <v>0.84842467373731001</v>
      </c>
      <c r="I35" s="50">
        <v>1.16446128584787</v>
      </c>
      <c r="J35" s="50">
        <v>0.206255282954381</v>
      </c>
      <c r="K35" s="50">
        <v>0.94627579913795201</v>
      </c>
      <c r="L35" s="50">
        <v>0.31962029370165801</v>
      </c>
      <c r="M35" s="41">
        <v>-1.4999999999999999E-2</v>
      </c>
      <c r="N35" s="41">
        <v>0.2</v>
      </c>
      <c r="O35" s="41">
        <v>0.38100000000000001</v>
      </c>
      <c r="P35" s="41">
        <v>0.36599999999999999</v>
      </c>
      <c r="Q35" s="6" t="s">
        <v>362</v>
      </c>
      <c r="R35" s="6"/>
      <c r="S35" s="6"/>
      <c r="T35" s="6"/>
      <c r="U35" s="6"/>
      <c r="V35" s="6"/>
      <c r="W35" s="56"/>
      <c r="X35" s="6"/>
      <c r="Y35" s="36"/>
      <c r="Z35" s="36"/>
      <c r="AA35" s="7"/>
    </row>
    <row r="36" spans="1:27" ht="18" customHeight="1" x14ac:dyDescent="0.15">
      <c r="A36" s="5" t="s">
        <v>1683</v>
      </c>
      <c r="B36" s="6" t="s">
        <v>1684</v>
      </c>
      <c r="C36" s="6" t="s">
        <v>20</v>
      </c>
      <c r="D36" s="6" t="s">
        <v>17</v>
      </c>
      <c r="E36" s="6" t="s">
        <v>189</v>
      </c>
      <c r="F36" s="6">
        <v>12</v>
      </c>
      <c r="G36" s="6" t="s">
        <v>1715</v>
      </c>
      <c r="H36" s="50">
        <v>0.81638647063074499</v>
      </c>
      <c r="I36" s="50">
        <v>1.38250709605261</v>
      </c>
      <c r="J36" s="50">
        <v>0.34926767919900598</v>
      </c>
      <c r="K36" s="50">
        <v>1.22429303502705</v>
      </c>
      <c r="L36" s="50">
        <v>0.201257781540707</v>
      </c>
      <c r="M36" s="41">
        <v>-3.2000000000000001E-2</v>
      </c>
      <c r="N36" s="41">
        <v>0.35699999999999998</v>
      </c>
      <c r="O36" s="41">
        <v>0.20599999999999999</v>
      </c>
      <c r="P36" s="41">
        <v>0.223</v>
      </c>
      <c r="Q36" s="6" t="s">
        <v>362</v>
      </c>
      <c r="R36" s="6"/>
      <c r="S36" s="6"/>
      <c r="T36" s="6"/>
      <c r="U36" s="6"/>
      <c r="V36" s="6"/>
      <c r="W36" s="56"/>
      <c r="X36" s="6"/>
      <c r="Y36" s="36"/>
      <c r="Z36" s="36"/>
      <c r="AA36" s="7"/>
    </row>
    <row r="37" spans="1:27" ht="18" customHeight="1" x14ac:dyDescent="0.15">
      <c r="A37" s="5" t="s">
        <v>1683</v>
      </c>
      <c r="B37" s="6" t="s">
        <v>1716</v>
      </c>
      <c r="C37" s="6" t="s">
        <v>20</v>
      </c>
      <c r="D37" s="6" t="s">
        <v>80</v>
      </c>
      <c r="E37" s="6" t="s">
        <v>17</v>
      </c>
      <c r="F37" s="6">
        <v>123</v>
      </c>
      <c r="G37" s="6" t="s">
        <v>1717</v>
      </c>
      <c r="H37" s="50">
        <v>0.242086713876352</v>
      </c>
      <c r="I37" s="50">
        <v>0.95716196096156303</v>
      </c>
      <c r="J37" s="50">
        <v>0.67289342262021401</v>
      </c>
      <c r="K37" s="50">
        <v>1.0703819186261601</v>
      </c>
      <c r="L37" s="50">
        <v>6.2880604873817206E-2</v>
      </c>
      <c r="M37" s="41">
        <v>5.0000000000000001E-3</v>
      </c>
      <c r="N37" s="41">
        <v>0.44</v>
      </c>
      <c r="O37" s="41">
        <v>7.0000000000000001E-3</v>
      </c>
      <c r="P37" s="41">
        <v>7.0000000000000001E-3</v>
      </c>
      <c r="Q37" s="6" t="s">
        <v>362</v>
      </c>
      <c r="R37" s="6"/>
      <c r="S37" s="6"/>
      <c r="T37" s="6"/>
      <c r="U37" s="6"/>
      <c r="V37" s="6"/>
      <c r="W37" s="56"/>
      <c r="X37" s="6"/>
      <c r="Y37" s="36"/>
      <c r="Z37" s="36"/>
      <c r="AA37" s="7"/>
    </row>
    <row r="38" spans="1:27" ht="18" customHeight="1" x14ac:dyDescent="0.15">
      <c r="A38" s="5" t="s">
        <v>1683</v>
      </c>
      <c r="B38" s="6" t="s">
        <v>1716</v>
      </c>
      <c r="C38" s="6" t="s">
        <v>20</v>
      </c>
      <c r="D38" s="6" t="s">
        <v>59</v>
      </c>
      <c r="E38" s="6" t="s">
        <v>17</v>
      </c>
      <c r="F38" s="6">
        <v>67</v>
      </c>
      <c r="G38" s="6" t="s">
        <v>1718</v>
      </c>
      <c r="H38" s="50">
        <v>0.66527950765906596</v>
      </c>
      <c r="I38" s="50">
        <v>1.0290818942781701</v>
      </c>
      <c r="J38" s="50">
        <v>0.80912855354953706</v>
      </c>
      <c r="K38" s="50">
        <v>1.0160587060900901</v>
      </c>
      <c r="L38" s="50">
        <v>0.71502830995095201</v>
      </c>
      <c r="M38" s="41">
        <v>-1E-3</v>
      </c>
      <c r="N38" s="41">
        <v>0.90300000000000002</v>
      </c>
      <c r="O38" s="41">
        <v>2.7E-2</v>
      </c>
      <c r="P38" s="41">
        <v>3.5000000000000003E-2</v>
      </c>
      <c r="Q38" s="6" t="s">
        <v>362</v>
      </c>
      <c r="R38" s="6"/>
      <c r="S38" s="6"/>
      <c r="T38" s="6"/>
      <c r="U38" s="6"/>
      <c r="V38" s="6"/>
      <c r="W38" s="56"/>
      <c r="X38" s="6"/>
      <c r="Y38" s="36"/>
      <c r="Z38" s="36"/>
      <c r="AA38" s="7"/>
    </row>
    <row r="39" spans="1:27" ht="18" customHeight="1" x14ac:dyDescent="0.15">
      <c r="A39" s="5" t="s">
        <v>1683</v>
      </c>
      <c r="B39" s="6" t="s">
        <v>1716</v>
      </c>
      <c r="C39" s="6" t="s">
        <v>28</v>
      </c>
      <c r="D39" s="6" t="s">
        <v>59</v>
      </c>
      <c r="E39" s="6" t="s">
        <v>17</v>
      </c>
      <c r="F39" s="6">
        <v>52</v>
      </c>
      <c r="G39" s="6" t="s">
        <v>1719</v>
      </c>
      <c r="H39" s="50">
        <v>0.19482110889346799</v>
      </c>
      <c r="I39" s="50">
        <v>1.07223906040395</v>
      </c>
      <c r="J39" s="50">
        <v>0.548580012259681</v>
      </c>
      <c r="K39" s="50">
        <v>1.04350671881974</v>
      </c>
      <c r="L39" s="50">
        <v>0.26555296426987801</v>
      </c>
      <c r="M39" s="41">
        <v>-3.0000000000000001E-3</v>
      </c>
      <c r="N39" s="41">
        <v>0.75700000000000001</v>
      </c>
      <c r="O39" s="41">
        <v>0.83599999999999997</v>
      </c>
      <c r="P39" s="41">
        <v>0.871</v>
      </c>
      <c r="Q39" s="6" t="s">
        <v>362</v>
      </c>
      <c r="R39" s="6"/>
      <c r="S39" s="6"/>
      <c r="T39" s="6"/>
      <c r="U39" s="6"/>
      <c r="V39" s="6"/>
      <c r="W39" s="56"/>
      <c r="X39" s="6"/>
      <c r="Y39" s="36"/>
      <c r="Z39" s="36"/>
      <c r="AA39" s="7"/>
    </row>
    <row r="40" spans="1:27" ht="18" customHeight="1" x14ac:dyDescent="0.15">
      <c r="A40" s="5" t="s">
        <v>1683</v>
      </c>
      <c r="B40" s="6" t="s">
        <v>1716</v>
      </c>
      <c r="C40" s="6" t="s">
        <v>20</v>
      </c>
      <c r="D40" s="6" t="s">
        <v>70</v>
      </c>
      <c r="E40" s="6" t="s">
        <v>17</v>
      </c>
      <c r="F40" s="6">
        <v>199</v>
      </c>
      <c r="G40" s="6" t="s">
        <v>1720</v>
      </c>
      <c r="H40" s="50">
        <v>6.0646702822722299E-8</v>
      </c>
      <c r="I40" s="50">
        <v>1.19322378574157</v>
      </c>
      <c r="J40" s="50">
        <v>0.15363614005044299</v>
      </c>
      <c r="K40" s="50">
        <v>1.2196843154413499</v>
      </c>
      <c r="L40" s="50">
        <v>1.8345197127150599E-4</v>
      </c>
      <c r="M40" s="41">
        <v>1E-3</v>
      </c>
      <c r="N40" s="41">
        <v>0.82899999999999996</v>
      </c>
      <c r="O40" s="41">
        <v>0.222</v>
      </c>
      <c r="P40" s="41">
        <v>0.22800000000000001</v>
      </c>
      <c r="Q40" s="6" t="s">
        <v>362</v>
      </c>
      <c r="R40" s="6"/>
      <c r="S40" s="6"/>
      <c r="T40" s="6"/>
      <c r="U40" s="6"/>
      <c r="V40" s="6"/>
      <c r="W40" s="56"/>
      <c r="X40" s="6"/>
      <c r="Y40" s="36"/>
      <c r="Z40" s="36"/>
      <c r="AA40" s="7"/>
    </row>
    <row r="41" spans="1:27" ht="18" customHeight="1" x14ac:dyDescent="0.15">
      <c r="A41" s="5" t="s">
        <v>1683</v>
      </c>
      <c r="B41" s="6" t="s">
        <v>1716</v>
      </c>
      <c r="C41" s="6" t="s">
        <v>20</v>
      </c>
      <c r="D41" s="6" t="s">
        <v>90</v>
      </c>
      <c r="E41" s="6" t="s">
        <v>17</v>
      </c>
      <c r="F41" s="6">
        <v>35</v>
      </c>
      <c r="G41" s="6" t="s">
        <v>1721</v>
      </c>
      <c r="H41" s="50">
        <v>0.29265684416260301</v>
      </c>
      <c r="I41" s="50">
        <v>1.0203987714417799</v>
      </c>
      <c r="J41" s="50">
        <v>0.86418155420853204</v>
      </c>
      <c r="K41" s="50">
        <v>1.0328202359522001</v>
      </c>
      <c r="L41" s="50">
        <v>0.515535046702706</v>
      </c>
      <c r="M41" s="41">
        <v>2E-3</v>
      </c>
      <c r="N41" s="41">
        <v>0.84099999999999997</v>
      </c>
      <c r="O41" s="41">
        <v>5.1999999999999998E-2</v>
      </c>
      <c r="P41" s="41">
        <v>5.3999999999999999E-2</v>
      </c>
      <c r="Q41" s="6" t="s">
        <v>362</v>
      </c>
      <c r="R41" s="6"/>
      <c r="S41" s="6"/>
      <c r="T41" s="6"/>
      <c r="U41" s="6"/>
      <c r="V41" s="6"/>
      <c r="W41" s="56"/>
      <c r="X41" s="6"/>
      <c r="Y41" s="36"/>
      <c r="Z41" s="36"/>
      <c r="AA41" s="7"/>
    </row>
    <row r="42" spans="1:27" ht="18" customHeight="1" x14ac:dyDescent="0.15">
      <c r="A42" s="5" t="s">
        <v>1683</v>
      </c>
      <c r="B42" s="6" t="s">
        <v>1716</v>
      </c>
      <c r="C42" s="6" t="s">
        <v>28</v>
      </c>
      <c r="D42" s="6" t="s">
        <v>100</v>
      </c>
      <c r="E42" s="6" t="s">
        <v>17</v>
      </c>
      <c r="F42" s="6">
        <v>176</v>
      </c>
      <c r="G42" s="6" t="s">
        <v>1722</v>
      </c>
      <c r="H42" s="50">
        <v>0.31600634716388398</v>
      </c>
      <c r="I42" s="50">
        <v>0.96201673488070805</v>
      </c>
      <c r="J42" s="50">
        <v>0.64010305638133203</v>
      </c>
      <c r="K42" s="50">
        <v>1.0168387069854601</v>
      </c>
      <c r="L42" s="50">
        <v>0.58170135680100299</v>
      </c>
      <c r="M42" s="41">
        <v>4.0000000000000001E-3</v>
      </c>
      <c r="N42" s="41">
        <v>0.44600000000000001</v>
      </c>
      <c r="O42" s="41">
        <v>4.2000000000000003E-2</v>
      </c>
      <c r="P42" s="41">
        <v>4.2000000000000003E-2</v>
      </c>
      <c r="Q42" s="6" t="s">
        <v>362</v>
      </c>
      <c r="R42" s="6"/>
      <c r="S42" s="6"/>
      <c r="T42" s="6"/>
      <c r="U42" s="6"/>
      <c r="V42" s="6"/>
      <c r="W42" s="56"/>
      <c r="X42" s="6"/>
      <c r="Y42" s="36"/>
      <c r="Z42" s="36"/>
      <c r="AA42" s="7"/>
    </row>
    <row r="43" spans="1:27" ht="18" customHeight="1" x14ac:dyDescent="0.15">
      <c r="A43" s="5" t="s">
        <v>1683</v>
      </c>
      <c r="B43" s="6" t="s">
        <v>1716</v>
      </c>
      <c r="C43" s="6" t="s">
        <v>20</v>
      </c>
      <c r="D43" s="6" t="s">
        <v>109</v>
      </c>
      <c r="E43" s="6" t="s">
        <v>17</v>
      </c>
      <c r="F43" s="6">
        <v>34</v>
      </c>
      <c r="G43" s="6" t="s">
        <v>1723</v>
      </c>
      <c r="H43" s="50">
        <v>0.38455873137440699</v>
      </c>
      <c r="I43" s="50">
        <v>1.00925233289114</v>
      </c>
      <c r="J43" s="50">
        <v>0.96167429730473197</v>
      </c>
      <c r="K43" s="50">
        <v>1.05516552153669</v>
      </c>
      <c r="L43" s="50">
        <v>0.51038054227241303</v>
      </c>
      <c r="M43" s="41">
        <v>3.0000000000000001E-3</v>
      </c>
      <c r="N43" s="41">
        <v>0.76400000000000001</v>
      </c>
      <c r="O43" s="41">
        <v>4.0000000000000001E-3</v>
      </c>
      <c r="P43" s="41">
        <v>6.0000000000000001E-3</v>
      </c>
      <c r="Q43" s="6" t="s">
        <v>362</v>
      </c>
      <c r="R43" s="6"/>
      <c r="S43" s="6"/>
      <c r="T43" s="6"/>
      <c r="U43" s="6"/>
      <c r="V43" s="6"/>
      <c r="W43" s="56"/>
      <c r="X43" s="6"/>
      <c r="Y43" s="36"/>
      <c r="Z43" s="36"/>
      <c r="AA43" s="7"/>
    </row>
    <row r="44" spans="1:27" ht="18" customHeight="1" x14ac:dyDescent="0.15">
      <c r="A44" s="5" t="s">
        <v>1683</v>
      </c>
      <c r="B44" s="6" t="s">
        <v>1716</v>
      </c>
      <c r="C44" s="6" t="s">
        <v>20</v>
      </c>
      <c r="D44" s="6" t="s">
        <v>141</v>
      </c>
      <c r="E44" s="6" t="s">
        <v>17</v>
      </c>
      <c r="F44" s="6">
        <v>40</v>
      </c>
      <c r="G44" s="6" t="s">
        <v>1724</v>
      </c>
      <c r="H44" s="50">
        <v>0.28841526980188198</v>
      </c>
      <c r="I44" s="50">
        <v>1.0066515997579399</v>
      </c>
      <c r="J44" s="50">
        <v>0.85691813007040396</v>
      </c>
      <c r="K44" s="50">
        <v>1.02239243179384</v>
      </c>
      <c r="L44" s="50">
        <v>0.35439835761557797</v>
      </c>
      <c r="M44" s="41">
        <v>3.0000000000000001E-3</v>
      </c>
      <c r="N44" s="41">
        <v>0.67200000000000004</v>
      </c>
      <c r="O44" s="41">
        <v>2.9000000000000001E-2</v>
      </c>
      <c r="P44" s="41">
        <v>3.6999999999999998E-2</v>
      </c>
      <c r="Q44" s="6" t="s">
        <v>362</v>
      </c>
      <c r="R44" s="6"/>
      <c r="S44" s="6"/>
      <c r="T44" s="6"/>
      <c r="U44" s="6"/>
      <c r="V44" s="6"/>
      <c r="W44" s="56"/>
      <c r="X44" s="6"/>
      <c r="Y44" s="36"/>
      <c r="Z44" s="36"/>
      <c r="AA44" s="7"/>
    </row>
    <row r="45" spans="1:27" ht="18" customHeight="1" x14ac:dyDescent="0.15">
      <c r="A45" s="5" t="s">
        <v>1683</v>
      </c>
      <c r="B45" s="6" t="s">
        <v>1716</v>
      </c>
      <c r="C45" s="6" t="s">
        <v>28</v>
      </c>
      <c r="D45" s="6" t="s">
        <v>109</v>
      </c>
      <c r="E45" s="6" t="s">
        <v>17</v>
      </c>
      <c r="F45" s="6">
        <v>32</v>
      </c>
      <c r="G45" s="6" t="s">
        <v>1725</v>
      </c>
      <c r="H45" s="50">
        <v>0.47274630152909602</v>
      </c>
      <c r="I45" s="50">
        <v>3.6994255622652599</v>
      </c>
      <c r="J45" s="50">
        <v>0.118266937138495</v>
      </c>
      <c r="K45" s="50">
        <v>1.07613146087797</v>
      </c>
      <c r="L45" s="50">
        <v>0.23916853776205499</v>
      </c>
      <c r="M45" s="41">
        <v>-9.5000000000000001E-2</v>
      </c>
      <c r="N45" s="41">
        <v>0.127</v>
      </c>
      <c r="O45" s="41">
        <v>0.78</v>
      </c>
      <c r="P45" s="41">
        <v>0.79200000000000004</v>
      </c>
      <c r="Q45" s="6" t="s">
        <v>362</v>
      </c>
      <c r="R45" s="6"/>
      <c r="S45" s="6"/>
      <c r="T45" s="6"/>
      <c r="U45" s="6"/>
      <c r="V45" s="6"/>
      <c r="W45" s="56"/>
      <c r="X45" s="6"/>
      <c r="Y45" s="36"/>
      <c r="Z45" s="36"/>
      <c r="AA45" s="7"/>
    </row>
    <row r="46" spans="1:27" ht="18" customHeight="1" x14ac:dyDescent="0.15">
      <c r="A46" s="5" t="s">
        <v>1683</v>
      </c>
      <c r="B46" s="6" t="s">
        <v>1716</v>
      </c>
      <c r="C46" s="6" t="s">
        <v>28</v>
      </c>
      <c r="D46" s="6" t="s">
        <v>90</v>
      </c>
      <c r="E46" s="6" t="s">
        <v>17</v>
      </c>
      <c r="F46" s="6">
        <v>43</v>
      </c>
      <c r="G46" s="6" t="s">
        <v>1726</v>
      </c>
      <c r="H46" s="50">
        <v>0.45831517451920201</v>
      </c>
      <c r="I46" s="50">
        <v>1.0438656789863201</v>
      </c>
      <c r="J46" s="50">
        <v>0.740441943105003</v>
      </c>
      <c r="K46" s="50">
        <v>1.00862400562329</v>
      </c>
      <c r="L46" s="50">
        <v>0.85871031801668096</v>
      </c>
      <c r="M46" s="41">
        <v>-1E-3</v>
      </c>
      <c r="N46" s="41">
        <v>0.90900000000000003</v>
      </c>
      <c r="O46" s="41">
        <v>5.8000000000000003E-2</v>
      </c>
      <c r="P46" s="41">
        <v>5.8999999999999997E-2</v>
      </c>
      <c r="Q46" s="6" t="s">
        <v>362</v>
      </c>
      <c r="R46" s="6"/>
      <c r="S46" s="6"/>
      <c r="T46" s="6"/>
      <c r="U46" s="6"/>
      <c r="V46" s="6"/>
      <c r="W46" s="56"/>
      <c r="X46" s="6"/>
      <c r="Y46" s="36"/>
      <c r="Z46" s="36"/>
      <c r="AA46" s="7"/>
    </row>
    <row r="47" spans="1:27" ht="18" customHeight="1" x14ac:dyDescent="0.15">
      <c r="A47" s="5" t="s">
        <v>1683</v>
      </c>
      <c r="B47" s="6" t="s">
        <v>1716</v>
      </c>
      <c r="C47" s="6" t="s">
        <v>20</v>
      </c>
      <c r="D47" s="6" t="s">
        <v>135</v>
      </c>
      <c r="E47" s="6" t="s">
        <v>17</v>
      </c>
      <c r="F47" s="6">
        <v>42</v>
      </c>
      <c r="G47" s="6" t="s">
        <v>1727</v>
      </c>
      <c r="H47" s="50">
        <v>1.78033256043133E-3</v>
      </c>
      <c r="I47" s="50">
        <v>0.98854988240214703</v>
      </c>
      <c r="J47" s="50">
        <v>0.92391466218774299</v>
      </c>
      <c r="K47" s="50">
        <v>1.12409964423964</v>
      </c>
      <c r="L47" s="50">
        <v>5.9847378388916399E-2</v>
      </c>
      <c r="M47" s="41">
        <v>0.01</v>
      </c>
      <c r="N47" s="41">
        <v>0.214</v>
      </c>
      <c r="O47" s="41">
        <v>0.38700000000000001</v>
      </c>
      <c r="P47" s="41">
        <v>0.41</v>
      </c>
      <c r="Q47" s="6" t="s">
        <v>362</v>
      </c>
      <c r="R47" s="6"/>
      <c r="S47" s="6"/>
      <c r="T47" s="6"/>
      <c r="U47" s="6"/>
      <c r="V47" s="6"/>
      <c r="W47" s="56"/>
      <c r="X47" s="6"/>
      <c r="Y47" s="36"/>
      <c r="Z47" s="36"/>
      <c r="AA47" s="7"/>
    </row>
    <row r="48" spans="1:27" ht="18" customHeight="1" x14ac:dyDescent="0.15">
      <c r="A48" s="5" t="s">
        <v>1683</v>
      </c>
      <c r="B48" s="6" t="s">
        <v>1716</v>
      </c>
      <c r="C48" s="6" t="s">
        <v>28</v>
      </c>
      <c r="D48" s="6" t="s">
        <v>45</v>
      </c>
      <c r="E48" s="6" t="s">
        <v>17</v>
      </c>
      <c r="F48" s="6">
        <v>115</v>
      </c>
      <c r="G48" s="6" t="s">
        <v>1728</v>
      </c>
      <c r="H48" s="50">
        <v>0.15345306293890901</v>
      </c>
      <c r="I48" s="50">
        <v>0.945018778657158</v>
      </c>
      <c r="J48" s="50">
        <v>0.15701841480218801</v>
      </c>
      <c r="K48" s="50">
        <v>0.93942995200283896</v>
      </c>
      <c r="L48" s="50">
        <v>7.6843780027800596E-2</v>
      </c>
      <c r="M48" s="41">
        <v>2E-3</v>
      </c>
      <c r="N48" s="41">
        <v>0.437</v>
      </c>
      <c r="O48" s="41">
        <v>0.46899999999999997</v>
      </c>
      <c r="P48" s="41">
        <v>0.46200000000000002</v>
      </c>
      <c r="Q48" s="6" t="s">
        <v>362</v>
      </c>
      <c r="R48" s="6"/>
      <c r="S48" s="6"/>
      <c r="T48" s="6"/>
      <c r="U48" s="6"/>
      <c r="V48" s="6"/>
      <c r="W48" s="56"/>
      <c r="X48" s="6"/>
      <c r="Y48" s="36"/>
      <c r="Z48" s="36"/>
      <c r="AA48" s="7"/>
    </row>
    <row r="49" spans="1:27" ht="18" customHeight="1" x14ac:dyDescent="0.15">
      <c r="A49" s="5" t="s">
        <v>1683</v>
      </c>
      <c r="B49" s="6" t="s">
        <v>1716</v>
      </c>
      <c r="C49" s="6" t="s">
        <v>28</v>
      </c>
      <c r="D49" s="6" t="s">
        <v>70</v>
      </c>
      <c r="E49" s="6" t="s">
        <v>17</v>
      </c>
      <c r="F49" s="6">
        <v>17</v>
      </c>
      <c r="G49" s="6" t="s">
        <v>1729</v>
      </c>
      <c r="H49" s="50">
        <v>0.42538000777109303</v>
      </c>
      <c r="I49" s="50">
        <v>0.33119304802628702</v>
      </c>
      <c r="J49" s="50">
        <v>0.80167843286997897</v>
      </c>
      <c r="K49" s="50">
        <v>6.5291640466427001</v>
      </c>
      <c r="L49" s="50">
        <v>0.377659610899929</v>
      </c>
      <c r="M49" s="41">
        <v>7.0000000000000001E-3</v>
      </c>
      <c r="N49" s="41">
        <v>0.55300000000000005</v>
      </c>
      <c r="O49" s="41">
        <v>0.74299999999999999</v>
      </c>
      <c r="P49" s="41">
        <v>0.71399999999999997</v>
      </c>
      <c r="Q49" s="6" t="s">
        <v>362</v>
      </c>
      <c r="R49" s="6"/>
      <c r="S49" s="6"/>
      <c r="T49" s="6"/>
      <c r="U49" s="6"/>
      <c r="V49" s="6"/>
      <c r="W49" s="56"/>
      <c r="X49" s="6"/>
      <c r="Y49" s="36"/>
      <c r="Z49" s="36"/>
      <c r="AA49" s="7"/>
    </row>
    <row r="50" spans="1:27" ht="18" customHeight="1" x14ac:dyDescent="0.15">
      <c r="A50" s="5" t="s">
        <v>1683</v>
      </c>
      <c r="B50" s="6" t="s">
        <v>1716</v>
      </c>
      <c r="C50" s="6" t="s">
        <v>28</v>
      </c>
      <c r="D50" s="6" t="s">
        <v>80</v>
      </c>
      <c r="E50" s="6" t="s">
        <v>17</v>
      </c>
      <c r="F50" s="6">
        <v>75</v>
      </c>
      <c r="G50" s="6" t="s">
        <v>1730</v>
      </c>
      <c r="H50" s="50">
        <v>0.57166319616817196</v>
      </c>
      <c r="I50" s="50">
        <v>1.7151919201736601</v>
      </c>
      <c r="J50" s="50">
        <v>0.15027946378697599</v>
      </c>
      <c r="K50" s="50">
        <v>1.0035281359397701</v>
      </c>
      <c r="L50" s="50">
        <v>0.98322028848433696</v>
      </c>
      <c r="M50" s="41">
        <v>-8.9999999999999993E-3</v>
      </c>
      <c r="N50" s="41">
        <v>0.184</v>
      </c>
      <c r="O50" s="41">
        <v>6.0000000000000001E-3</v>
      </c>
      <c r="P50" s="41">
        <v>6.0000000000000001E-3</v>
      </c>
      <c r="Q50" s="6" t="s">
        <v>362</v>
      </c>
      <c r="R50" s="6"/>
      <c r="S50" s="6"/>
      <c r="T50" s="6"/>
      <c r="U50" s="6"/>
      <c r="V50" s="6"/>
      <c r="W50" s="56"/>
      <c r="X50" s="6"/>
      <c r="Y50" s="36"/>
      <c r="Z50" s="36"/>
      <c r="AA50" s="7"/>
    </row>
    <row r="51" spans="1:27" ht="18" customHeight="1" x14ac:dyDescent="0.15">
      <c r="A51" s="5" t="s">
        <v>1683</v>
      </c>
      <c r="B51" s="6" t="s">
        <v>1716</v>
      </c>
      <c r="C51" s="6" t="s">
        <v>28</v>
      </c>
      <c r="D51" s="6" t="s">
        <v>158</v>
      </c>
      <c r="E51" s="6" t="s">
        <v>17</v>
      </c>
      <c r="F51" s="6">
        <v>32</v>
      </c>
      <c r="G51" s="6" t="s">
        <v>1731</v>
      </c>
      <c r="H51" s="50">
        <v>0.49298965087944102</v>
      </c>
      <c r="I51" s="50">
        <v>0.56805562521727004</v>
      </c>
      <c r="J51" s="50">
        <v>0.29650747812365502</v>
      </c>
      <c r="K51" s="50">
        <v>1.08353720267571</v>
      </c>
      <c r="L51" s="50">
        <v>0.75276453592301495</v>
      </c>
      <c r="M51" s="41">
        <v>1.2999999999999999E-2</v>
      </c>
      <c r="N51" s="41">
        <v>0.17799999999999999</v>
      </c>
      <c r="O51" s="41">
        <v>0.58099999999999996</v>
      </c>
      <c r="P51" s="41">
        <v>0.59799999999999998</v>
      </c>
      <c r="Q51" s="6" t="s">
        <v>362</v>
      </c>
      <c r="R51" s="6"/>
      <c r="S51" s="6"/>
      <c r="T51" s="6"/>
      <c r="U51" s="6"/>
      <c r="V51" s="6"/>
      <c r="W51" s="56"/>
      <c r="X51" s="6"/>
      <c r="Y51" s="36"/>
      <c r="Z51" s="36"/>
      <c r="AA51" s="7"/>
    </row>
    <row r="52" spans="1:27" ht="18" customHeight="1" x14ac:dyDescent="0.15">
      <c r="A52" s="5" t="s">
        <v>1683</v>
      </c>
      <c r="B52" s="6" t="s">
        <v>1716</v>
      </c>
      <c r="C52" s="6" t="s">
        <v>20</v>
      </c>
      <c r="D52" s="6" t="s">
        <v>34</v>
      </c>
      <c r="E52" s="6" t="s">
        <v>17</v>
      </c>
      <c r="F52" s="6">
        <v>18</v>
      </c>
      <c r="G52" s="6" t="s">
        <v>1732</v>
      </c>
      <c r="H52" s="50">
        <v>0.43449746612567403</v>
      </c>
      <c r="I52" s="50">
        <v>0.91070026402311099</v>
      </c>
      <c r="J52" s="50">
        <v>0.45804477005543398</v>
      </c>
      <c r="K52" s="50">
        <v>1.0545081726710099</v>
      </c>
      <c r="L52" s="50">
        <v>0.460150367645839</v>
      </c>
      <c r="M52" s="41">
        <v>1.4E-2</v>
      </c>
      <c r="N52" s="41">
        <v>0.248</v>
      </c>
      <c r="O52" s="41">
        <v>0.57699999999999996</v>
      </c>
      <c r="P52" s="41">
        <v>0.60599999999999998</v>
      </c>
      <c r="Q52" s="6" t="s">
        <v>362</v>
      </c>
      <c r="R52" s="6"/>
      <c r="S52" s="6"/>
      <c r="T52" s="6"/>
      <c r="U52" s="6"/>
      <c r="V52" s="6"/>
      <c r="W52" s="56"/>
      <c r="X52" s="6"/>
      <c r="Y52" s="36"/>
      <c r="Z52" s="36"/>
      <c r="AA52" s="7"/>
    </row>
    <row r="53" spans="1:27" ht="18" customHeight="1" x14ac:dyDescent="0.15">
      <c r="A53" s="5" t="s">
        <v>1683</v>
      </c>
      <c r="B53" s="6" t="s">
        <v>1716</v>
      </c>
      <c r="C53" s="6" t="s">
        <v>20</v>
      </c>
      <c r="D53" s="6" t="s">
        <v>45</v>
      </c>
      <c r="E53" s="6" t="s">
        <v>17</v>
      </c>
      <c r="F53" s="6">
        <v>70</v>
      </c>
      <c r="G53" s="6" t="s">
        <v>1733</v>
      </c>
      <c r="H53" s="50">
        <v>0.94540596222889695</v>
      </c>
      <c r="I53" s="50">
        <v>0.92049142566420095</v>
      </c>
      <c r="J53" s="50">
        <v>0.65920706614552205</v>
      </c>
      <c r="K53" s="50">
        <v>0.83361883039661</v>
      </c>
      <c r="L53" s="50">
        <v>0.21772594883872001</v>
      </c>
      <c r="M53" s="41">
        <v>2E-3</v>
      </c>
      <c r="N53" s="41">
        <v>0.60599999999999998</v>
      </c>
      <c r="O53" s="41">
        <v>1.7999999999999999E-2</v>
      </c>
      <c r="P53" s="41">
        <v>1.7000000000000001E-2</v>
      </c>
      <c r="Q53" s="6" t="s">
        <v>362</v>
      </c>
      <c r="R53" s="6"/>
      <c r="S53" s="6"/>
      <c r="T53" s="6"/>
      <c r="U53" s="6"/>
      <c r="V53" s="6"/>
      <c r="W53" s="56"/>
      <c r="X53" s="6"/>
      <c r="Y53" s="36"/>
      <c r="Z53" s="36"/>
      <c r="AA53" s="7"/>
    </row>
    <row r="54" spans="1:27" ht="18" customHeight="1" x14ac:dyDescent="0.15">
      <c r="A54" s="5" t="s">
        <v>1683</v>
      </c>
      <c r="B54" s="6" t="s">
        <v>1716</v>
      </c>
      <c r="C54" s="6" t="s">
        <v>28</v>
      </c>
      <c r="D54" s="6" t="s">
        <v>165</v>
      </c>
      <c r="E54" s="6" t="s">
        <v>17</v>
      </c>
      <c r="F54" s="6">
        <v>26</v>
      </c>
      <c r="G54" s="6" t="s">
        <v>1734</v>
      </c>
      <c r="H54" s="50">
        <v>0.31885602947988601</v>
      </c>
      <c r="I54" s="50">
        <v>1.16547457835117</v>
      </c>
      <c r="J54" s="50">
        <v>0.20645031541988401</v>
      </c>
      <c r="K54" s="50">
        <v>1.03571422516414</v>
      </c>
      <c r="L54" s="50">
        <v>0.63160919802638005</v>
      </c>
      <c r="M54" s="41">
        <v>-8.0000000000000002E-3</v>
      </c>
      <c r="N54" s="41">
        <v>0.34599999999999997</v>
      </c>
      <c r="O54" s="41">
        <v>0.45800000000000002</v>
      </c>
      <c r="P54" s="41">
        <v>0.47099999999999997</v>
      </c>
      <c r="Q54" s="6" t="s">
        <v>362</v>
      </c>
      <c r="R54" s="6"/>
      <c r="S54" s="6"/>
      <c r="T54" s="6"/>
      <c r="U54" s="6"/>
      <c r="V54" s="6"/>
      <c r="W54" s="56"/>
      <c r="X54" s="6"/>
      <c r="Y54" s="36"/>
      <c r="Z54" s="36"/>
      <c r="AA54" s="7"/>
    </row>
    <row r="55" spans="1:27" ht="18" customHeight="1" x14ac:dyDescent="0.15">
      <c r="A55" s="5" t="s">
        <v>1683</v>
      </c>
      <c r="B55" s="6" t="s">
        <v>1716</v>
      </c>
      <c r="C55" s="6" t="s">
        <v>20</v>
      </c>
      <c r="D55" s="6" t="s">
        <v>181</v>
      </c>
      <c r="E55" s="6" t="s">
        <v>17</v>
      </c>
      <c r="F55" s="6">
        <v>37</v>
      </c>
      <c r="G55" s="6" t="s">
        <v>1735</v>
      </c>
      <c r="H55" s="50">
        <v>5.5294493832520497E-2</v>
      </c>
      <c r="I55" s="50">
        <v>1.0661390340408601</v>
      </c>
      <c r="J55" s="50">
        <v>0.510947098751516</v>
      </c>
      <c r="K55" s="50">
        <v>1.0378185064494401</v>
      </c>
      <c r="L55" s="50">
        <v>0.462507766919728</v>
      </c>
      <c r="M55" s="41">
        <v>0</v>
      </c>
      <c r="N55" s="41">
        <v>0.97199999999999998</v>
      </c>
      <c r="O55" s="41">
        <v>0.81200000000000006</v>
      </c>
      <c r="P55" s="41">
        <v>0.80900000000000005</v>
      </c>
      <c r="Q55" s="6" t="s">
        <v>362</v>
      </c>
      <c r="R55" s="6"/>
      <c r="S55" s="6"/>
      <c r="T55" s="6"/>
      <c r="U55" s="6"/>
      <c r="V55" s="6"/>
      <c r="W55" s="56"/>
      <c r="X55" s="6"/>
      <c r="Y55" s="36"/>
      <c r="Z55" s="36"/>
      <c r="AA55" s="7"/>
    </row>
    <row r="56" spans="1:27" ht="18" customHeight="1" x14ac:dyDescent="0.15">
      <c r="A56" s="5" t="s">
        <v>1683</v>
      </c>
      <c r="B56" s="6" t="s">
        <v>1716</v>
      </c>
      <c r="C56" s="6" t="s">
        <v>20</v>
      </c>
      <c r="D56" s="6" t="s">
        <v>165</v>
      </c>
      <c r="E56" s="6" t="s">
        <v>17</v>
      </c>
      <c r="F56" s="6">
        <v>25</v>
      </c>
      <c r="G56" s="6" t="s">
        <v>1736</v>
      </c>
      <c r="H56" s="50">
        <v>8.1492541460788104E-2</v>
      </c>
      <c r="I56" s="50">
        <v>0.95039164683118804</v>
      </c>
      <c r="J56" s="50">
        <v>0.53755991912901602</v>
      </c>
      <c r="K56" s="50">
        <v>0.90467600173364304</v>
      </c>
      <c r="L56" s="50">
        <v>1.5761755229898901E-2</v>
      </c>
      <c r="M56" s="41">
        <v>-3.0000000000000001E-3</v>
      </c>
      <c r="N56" s="41">
        <v>0.79300000000000004</v>
      </c>
      <c r="O56" s="41">
        <v>4.0000000000000001E-3</v>
      </c>
      <c r="P56" s="41">
        <v>8.9999999999999993E-3</v>
      </c>
      <c r="Q56" s="6" t="s">
        <v>362</v>
      </c>
      <c r="R56" s="6"/>
      <c r="S56" s="6"/>
      <c r="T56" s="6"/>
      <c r="U56" s="6"/>
      <c r="V56" s="6"/>
      <c r="W56" s="56"/>
      <c r="X56" s="6"/>
      <c r="Y56" s="36"/>
      <c r="Z56" s="36"/>
      <c r="AA56" s="7"/>
    </row>
    <row r="57" spans="1:27" ht="18" customHeight="1" x14ac:dyDescent="0.15">
      <c r="A57" s="5" t="s">
        <v>1683</v>
      </c>
      <c r="B57" s="6" t="s">
        <v>1716</v>
      </c>
      <c r="C57" s="6" t="s">
        <v>28</v>
      </c>
      <c r="D57" s="6" t="s">
        <v>34</v>
      </c>
      <c r="E57" s="6" t="s">
        <v>17</v>
      </c>
      <c r="F57" s="6">
        <v>24</v>
      </c>
      <c r="G57" s="6" t="s">
        <v>1737</v>
      </c>
      <c r="H57" s="50">
        <v>5.0737717813013498E-2</v>
      </c>
      <c r="I57" s="50">
        <v>0.75959169274281002</v>
      </c>
      <c r="J57" s="50">
        <v>0.107847602558769</v>
      </c>
      <c r="K57" s="50">
        <v>0.85290846560596301</v>
      </c>
      <c r="L57" s="50">
        <v>5.5814545978121598E-2</v>
      </c>
      <c r="M57" s="41">
        <v>1.2E-2</v>
      </c>
      <c r="N57" s="41">
        <v>0.35</v>
      </c>
      <c r="O57" s="41">
        <v>4.2000000000000003E-2</v>
      </c>
      <c r="P57" s="41">
        <v>0.05</v>
      </c>
      <c r="Q57" s="6" t="s">
        <v>362</v>
      </c>
      <c r="R57" s="6"/>
      <c r="S57" s="6"/>
      <c r="T57" s="6"/>
      <c r="U57" s="6"/>
      <c r="V57" s="6"/>
      <c r="W57" s="56"/>
      <c r="X57" s="6"/>
      <c r="Y57" s="36"/>
      <c r="Z57" s="36"/>
      <c r="AA57" s="7"/>
    </row>
    <row r="58" spans="1:27" ht="18" customHeight="1" x14ac:dyDescent="0.15">
      <c r="A58" s="5" t="s">
        <v>1683</v>
      </c>
      <c r="B58" s="6" t="s">
        <v>1716</v>
      </c>
      <c r="C58" s="6" t="s">
        <v>28</v>
      </c>
      <c r="D58" s="6" t="s">
        <v>181</v>
      </c>
      <c r="E58" s="6" t="s">
        <v>17</v>
      </c>
      <c r="F58" s="6">
        <v>38</v>
      </c>
      <c r="G58" s="6" t="s">
        <v>1738</v>
      </c>
      <c r="H58" s="50">
        <v>0.19001162927858001</v>
      </c>
      <c r="I58" s="50">
        <v>1.1047112826223899</v>
      </c>
      <c r="J58" s="50">
        <v>0.31135663859191098</v>
      </c>
      <c r="K58" s="50">
        <v>1.0251583585875099</v>
      </c>
      <c r="L58" s="50">
        <v>0.615607577780655</v>
      </c>
      <c r="M58" s="41">
        <v>-5.0000000000000001E-3</v>
      </c>
      <c r="N58" s="41">
        <v>0.55400000000000005</v>
      </c>
      <c r="O58" s="41">
        <v>0.80400000000000005</v>
      </c>
      <c r="P58" s="41">
        <v>0.78900000000000003</v>
      </c>
      <c r="Q58" s="6" t="s">
        <v>362</v>
      </c>
      <c r="R58" s="6"/>
      <c r="S58" s="6"/>
      <c r="T58" s="6"/>
      <c r="U58" s="6"/>
      <c r="V58" s="6"/>
      <c r="W58" s="56"/>
      <c r="X58" s="6"/>
      <c r="Y58" s="36"/>
      <c r="Z58" s="36"/>
      <c r="AA58" s="7"/>
    </row>
    <row r="59" spans="1:27" ht="18" customHeight="1" x14ac:dyDescent="0.15">
      <c r="A59" s="5" t="s">
        <v>1683</v>
      </c>
      <c r="B59" s="6" t="s">
        <v>1716</v>
      </c>
      <c r="C59" s="6" t="s">
        <v>20</v>
      </c>
      <c r="D59" s="6" t="s">
        <v>119</v>
      </c>
      <c r="E59" s="6" t="s">
        <v>17</v>
      </c>
      <c r="F59" s="6">
        <v>13</v>
      </c>
      <c r="G59" s="6" t="s">
        <v>1739</v>
      </c>
      <c r="H59" s="50">
        <v>0.26997590352495598</v>
      </c>
      <c r="I59" s="50">
        <v>1.0118924913867</v>
      </c>
      <c r="J59" s="50">
        <v>0.84635898798023401</v>
      </c>
      <c r="K59" s="50">
        <v>0.98011629313999504</v>
      </c>
      <c r="L59" s="50">
        <v>0.47263212684154199</v>
      </c>
      <c r="M59" s="41">
        <v>-8.9999999999999993E-3</v>
      </c>
      <c r="N59" s="41">
        <v>0.54700000000000004</v>
      </c>
      <c r="O59" s="41">
        <v>0.39200000000000002</v>
      </c>
      <c r="P59" s="41">
        <v>0.45400000000000001</v>
      </c>
      <c r="Q59" s="6" t="s">
        <v>362</v>
      </c>
      <c r="R59" s="6"/>
      <c r="S59" s="6"/>
      <c r="T59" s="6"/>
      <c r="U59" s="6"/>
      <c r="V59" s="6"/>
      <c r="W59" s="56"/>
      <c r="X59" s="6"/>
      <c r="Y59" s="36"/>
      <c r="Z59" s="36"/>
      <c r="AA59" s="7"/>
    </row>
    <row r="60" spans="1:27" ht="18" customHeight="1" x14ac:dyDescent="0.15">
      <c r="A60" s="5" t="s">
        <v>1683</v>
      </c>
      <c r="B60" s="6" t="s">
        <v>1716</v>
      </c>
      <c r="C60" s="6" t="s">
        <v>20</v>
      </c>
      <c r="D60" s="6" t="s">
        <v>158</v>
      </c>
      <c r="E60" s="6" t="s">
        <v>17</v>
      </c>
      <c r="F60" s="6">
        <v>332</v>
      </c>
      <c r="G60" s="6" t="s">
        <v>1740</v>
      </c>
      <c r="H60" s="50">
        <v>0.20843463476740501</v>
      </c>
      <c r="I60" s="50">
        <v>1.0181483466274801</v>
      </c>
      <c r="J60" s="50">
        <v>0.75706144369074302</v>
      </c>
      <c r="K60" s="50">
        <v>1.0115773879772301</v>
      </c>
      <c r="L60" s="50">
        <v>0.60764396209232296</v>
      </c>
      <c r="M60" s="41">
        <v>0</v>
      </c>
      <c r="N60" s="41">
        <v>0.98799999999999999</v>
      </c>
      <c r="O60" s="41">
        <v>0.39100000000000001</v>
      </c>
      <c r="P60" s="41">
        <v>0.39300000000000002</v>
      </c>
      <c r="Q60" s="6" t="s">
        <v>362</v>
      </c>
      <c r="R60" s="6"/>
      <c r="S60" s="6"/>
      <c r="T60" s="6"/>
      <c r="U60" s="6"/>
      <c r="V60" s="6"/>
      <c r="W60" s="56"/>
      <c r="X60" s="6"/>
      <c r="Y60" s="36"/>
      <c r="Z60" s="36"/>
      <c r="AA60" s="7"/>
    </row>
    <row r="61" spans="1:27" ht="18" customHeight="1" x14ac:dyDescent="0.15">
      <c r="A61" s="5" t="s">
        <v>1683</v>
      </c>
      <c r="B61" s="6" t="s">
        <v>1716</v>
      </c>
      <c r="C61" s="6" t="s">
        <v>20</v>
      </c>
      <c r="D61" s="6" t="s">
        <v>100</v>
      </c>
      <c r="E61" s="6" t="s">
        <v>17</v>
      </c>
      <c r="F61" s="6">
        <v>177</v>
      </c>
      <c r="G61" s="6" t="s">
        <v>1741</v>
      </c>
      <c r="H61" s="50">
        <v>0.100885033676318</v>
      </c>
      <c r="I61" s="50">
        <v>0.97931362666634503</v>
      </c>
      <c r="J61" s="50">
        <v>0.80043825243112898</v>
      </c>
      <c r="K61" s="50">
        <v>1.0206259790168399</v>
      </c>
      <c r="L61" s="50">
        <v>0.50095530671445199</v>
      </c>
      <c r="M61" s="41">
        <v>4.0000000000000001E-3</v>
      </c>
      <c r="N61" s="41">
        <v>0.47899999999999998</v>
      </c>
      <c r="O61" s="41">
        <v>0.08</v>
      </c>
      <c r="P61" s="41">
        <v>9.7000000000000003E-2</v>
      </c>
      <c r="Q61" s="6" t="s">
        <v>362</v>
      </c>
      <c r="R61" s="6"/>
      <c r="S61" s="6"/>
      <c r="T61" s="6"/>
      <c r="U61" s="6"/>
      <c r="V61" s="6"/>
      <c r="W61" s="56"/>
      <c r="X61" s="6"/>
      <c r="Y61" s="36"/>
      <c r="Z61" s="36"/>
      <c r="AA61" s="7"/>
    </row>
    <row r="62" spans="1:27" ht="18" customHeight="1" x14ac:dyDescent="0.15">
      <c r="A62" s="5" t="s">
        <v>1683</v>
      </c>
      <c r="B62" s="6" t="s">
        <v>1716</v>
      </c>
      <c r="C62" s="6" t="s">
        <v>28</v>
      </c>
      <c r="D62" s="6" t="s">
        <v>141</v>
      </c>
      <c r="E62" s="6" t="s">
        <v>17</v>
      </c>
      <c r="F62" s="6">
        <v>49</v>
      </c>
      <c r="G62" s="6" t="s">
        <v>1742</v>
      </c>
      <c r="H62" s="50">
        <v>0.645460286889188</v>
      </c>
      <c r="I62" s="50">
        <v>0.94874274915200996</v>
      </c>
      <c r="J62" s="50">
        <v>0.16088914818237501</v>
      </c>
      <c r="K62" s="50">
        <v>0.98846333273658304</v>
      </c>
      <c r="L62" s="50">
        <v>0.66202455275010996</v>
      </c>
      <c r="M62" s="41">
        <v>8.0000000000000002E-3</v>
      </c>
      <c r="N62" s="41">
        <v>0.17599999999999999</v>
      </c>
      <c r="O62" s="41">
        <v>0.19400000000000001</v>
      </c>
      <c r="P62" s="41">
        <v>0.193</v>
      </c>
      <c r="Q62" s="6" t="s">
        <v>362</v>
      </c>
      <c r="R62" s="6"/>
      <c r="S62" s="6"/>
      <c r="T62" s="6"/>
      <c r="U62" s="6"/>
      <c r="V62" s="6"/>
      <c r="W62" s="56"/>
      <c r="X62" s="6"/>
      <c r="Y62" s="36"/>
      <c r="Z62" s="36"/>
      <c r="AA62" s="7"/>
    </row>
    <row r="63" spans="1:27" ht="18" customHeight="1" x14ac:dyDescent="0.15">
      <c r="A63" s="5" t="s">
        <v>1683</v>
      </c>
      <c r="B63" s="6" t="s">
        <v>1716</v>
      </c>
      <c r="C63" s="6" t="s">
        <v>28</v>
      </c>
      <c r="D63" s="6" t="s">
        <v>119</v>
      </c>
      <c r="E63" s="6" t="s">
        <v>17</v>
      </c>
      <c r="F63" s="6">
        <v>13</v>
      </c>
      <c r="G63" s="6" t="s">
        <v>1739</v>
      </c>
      <c r="H63" s="50">
        <v>0.269974591353347</v>
      </c>
      <c r="I63" s="50">
        <v>1.0118920552778901</v>
      </c>
      <c r="J63" s="50">
        <v>0.84636449457541696</v>
      </c>
      <c r="K63" s="50">
        <v>0.98011629241207798</v>
      </c>
      <c r="L63" s="50">
        <v>0.47901329385560198</v>
      </c>
      <c r="M63" s="41">
        <v>-8.9999999999999993E-3</v>
      </c>
      <c r="N63" s="41">
        <v>0.54700000000000004</v>
      </c>
      <c r="O63" s="41">
        <v>0.39200000000000002</v>
      </c>
      <c r="P63" s="41">
        <v>0.40799999999999997</v>
      </c>
      <c r="Q63" s="6" t="s">
        <v>362</v>
      </c>
      <c r="R63" s="6"/>
      <c r="S63" s="6"/>
      <c r="T63" s="6"/>
      <c r="U63" s="6"/>
      <c r="V63" s="6"/>
      <c r="W63" s="56"/>
      <c r="X63" s="6"/>
      <c r="Y63" s="36"/>
      <c r="Z63" s="36"/>
      <c r="AA63" s="7"/>
    </row>
    <row r="64" spans="1:27" ht="18" customHeight="1" x14ac:dyDescent="0.15">
      <c r="A64" s="5" t="s">
        <v>1683</v>
      </c>
      <c r="B64" s="6" t="s">
        <v>1716</v>
      </c>
      <c r="C64" s="6" t="s">
        <v>28</v>
      </c>
      <c r="D64" s="6" t="s">
        <v>135</v>
      </c>
      <c r="E64" s="6" t="s">
        <v>17</v>
      </c>
      <c r="F64" s="6">
        <v>23</v>
      </c>
      <c r="G64" s="6" t="s">
        <v>1743</v>
      </c>
      <c r="H64" s="50">
        <v>0.38918860582855602</v>
      </c>
      <c r="I64" s="50">
        <v>10.096506055713</v>
      </c>
      <c r="J64" s="50">
        <v>0.36720714125296899</v>
      </c>
      <c r="K64" s="50">
        <v>1.11079125429137</v>
      </c>
      <c r="L64" s="50">
        <v>0.675724631646059</v>
      </c>
      <c r="M64" s="41">
        <v>-4.3999999999999997E-2</v>
      </c>
      <c r="N64" s="41">
        <v>0.39900000000000002</v>
      </c>
      <c r="O64" s="41">
        <v>0.28199999999999997</v>
      </c>
      <c r="P64" s="41">
        <v>0.30299999999999999</v>
      </c>
      <c r="Q64" s="6" t="s">
        <v>362</v>
      </c>
      <c r="R64" s="6"/>
      <c r="S64" s="6"/>
      <c r="T64" s="6"/>
      <c r="U64" s="6"/>
      <c r="V64" s="6"/>
      <c r="W64" s="56"/>
      <c r="X64" s="6"/>
      <c r="Y64" s="36"/>
      <c r="Z64" s="36"/>
      <c r="AA64" s="7"/>
    </row>
    <row r="65" spans="1:27" ht="18" customHeight="1" x14ac:dyDescent="0.15">
      <c r="A65" s="5" t="s">
        <v>1683</v>
      </c>
      <c r="B65" s="6" t="s">
        <v>1716</v>
      </c>
      <c r="C65" s="6" t="s">
        <v>28</v>
      </c>
      <c r="D65" s="6" t="s">
        <v>150</v>
      </c>
      <c r="E65" s="6" t="s">
        <v>17</v>
      </c>
      <c r="F65" s="6">
        <v>20</v>
      </c>
      <c r="G65" s="6" t="s">
        <v>1744</v>
      </c>
      <c r="H65" s="50">
        <v>0.81716524000357604</v>
      </c>
      <c r="I65" s="50">
        <v>0.97451938890293699</v>
      </c>
      <c r="J65" s="50">
        <v>0.67898582509002203</v>
      </c>
      <c r="K65" s="50">
        <v>0.96027929477090501</v>
      </c>
      <c r="L65" s="50">
        <v>0.34562974333620899</v>
      </c>
      <c r="M65" s="41">
        <v>3.0000000000000001E-3</v>
      </c>
      <c r="N65" s="41">
        <v>0.72899999999999998</v>
      </c>
      <c r="O65" s="41">
        <v>0.98699999999999999</v>
      </c>
      <c r="P65" s="41">
        <v>0.99299999999999999</v>
      </c>
      <c r="Q65" s="6" t="s">
        <v>362</v>
      </c>
      <c r="R65" s="6"/>
      <c r="S65" s="6"/>
      <c r="T65" s="6"/>
      <c r="U65" s="6"/>
      <c r="V65" s="6"/>
      <c r="W65" s="56"/>
      <c r="X65" s="6"/>
      <c r="Y65" s="36"/>
      <c r="Z65" s="36"/>
      <c r="AA65" s="7"/>
    </row>
    <row r="66" spans="1:27" ht="18" customHeight="1" x14ac:dyDescent="0.15">
      <c r="A66" s="5" t="s">
        <v>1683</v>
      </c>
      <c r="B66" s="6" t="s">
        <v>1716</v>
      </c>
      <c r="C66" s="6" t="s">
        <v>20</v>
      </c>
      <c r="D66" s="6" t="s">
        <v>150</v>
      </c>
      <c r="E66" s="6" t="s">
        <v>17</v>
      </c>
      <c r="F66" s="6">
        <v>225</v>
      </c>
      <c r="G66" s="6" t="s">
        <v>1745</v>
      </c>
      <c r="H66" s="50">
        <v>1.9286410338032601E-8</v>
      </c>
      <c r="I66" s="50">
        <v>0.97998060019109601</v>
      </c>
      <c r="J66" s="50">
        <v>0.96255651386903396</v>
      </c>
      <c r="K66" s="50">
        <v>1.83042552693283</v>
      </c>
      <c r="L66" s="50">
        <v>1.5058356389706201E-5</v>
      </c>
      <c r="M66" s="41">
        <v>7.0000000000000001E-3</v>
      </c>
      <c r="N66" s="41">
        <v>0.17499999999999999</v>
      </c>
      <c r="O66" s="41">
        <v>0.17599999999999999</v>
      </c>
      <c r="P66" s="41">
        <v>0.17599999999999999</v>
      </c>
      <c r="Q66" s="6" t="s">
        <v>362</v>
      </c>
      <c r="R66" s="6"/>
      <c r="S66" s="6"/>
      <c r="T66" s="6"/>
      <c r="U66" s="6"/>
      <c r="V66" s="6"/>
      <c r="W66" s="56"/>
      <c r="X66" s="6"/>
      <c r="Y66" s="36"/>
      <c r="Z66" s="36"/>
      <c r="AA66" s="7"/>
    </row>
    <row r="67" spans="1:27" ht="18" customHeight="1" x14ac:dyDescent="0.15">
      <c r="A67" s="5" t="s">
        <v>1683</v>
      </c>
      <c r="B67" s="6" t="s">
        <v>1716</v>
      </c>
      <c r="C67" s="6" t="s">
        <v>20</v>
      </c>
      <c r="D67" s="6" t="s">
        <v>173</v>
      </c>
      <c r="E67" s="6" t="s">
        <v>17</v>
      </c>
      <c r="F67" s="6">
        <v>44</v>
      </c>
      <c r="G67" s="6" t="s">
        <v>1746</v>
      </c>
      <c r="H67" s="50">
        <v>0.60212274498644602</v>
      </c>
      <c r="I67" s="50">
        <v>0.89895764439939996</v>
      </c>
      <c r="J67" s="50">
        <v>0.56317838347022697</v>
      </c>
      <c r="K67" s="50">
        <v>1.01926644918595</v>
      </c>
      <c r="L67" s="50">
        <v>0.789674592051408</v>
      </c>
      <c r="M67" s="41">
        <v>8.0000000000000002E-3</v>
      </c>
      <c r="N67" s="41">
        <v>0.45400000000000001</v>
      </c>
      <c r="O67" s="41">
        <v>0.184</v>
      </c>
      <c r="P67" s="41">
        <v>0.20599999999999999</v>
      </c>
      <c r="Q67" s="6" t="s">
        <v>362</v>
      </c>
      <c r="R67" s="6"/>
      <c r="S67" s="6"/>
      <c r="T67" s="6"/>
      <c r="U67" s="6"/>
      <c r="V67" s="6"/>
      <c r="W67" s="56"/>
      <c r="X67" s="6"/>
      <c r="Y67" s="36"/>
      <c r="Z67" s="36"/>
      <c r="AA67" s="7"/>
    </row>
    <row r="68" spans="1:27" ht="18" customHeight="1" x14ac:dyDescent="0.15">
      <c r="A68" s="5" t="s">
        <v>1683</v>
      </c>
      <c r="B68" s="6" t="s">
        <v>1716</v>
      </c>
      <c r="C68" s="6" t="s">
        <v>28</v>
      </c>
      <c r="D68" s="6" t="s">
        <v>173</v>
      </c>
      <c r="E68" s="6" t="s">
        <v>17</v>
      </c>
      <c r="F68" s="6">
        <v>36</v>
      </c>
      <c r="G68" s="6" t="s">
        <v>1747</v>
      </c>
      <c r="H68" s="50">
        <v>1.41363710956361E-2</v>
      </c>
      <c r="I68" s="50">
        <v>1.1776095878465</v>
      </c>
      <c r="J68" s="50">
        <v>0.39848143026960697</v>
      </c>
      <c r="K68" s="50">
        <v>1.0926037719761601</v>
      </c>
      <c r="L68" s="50">
        <v>0.193135431556338</v>
      </c>
      <c r="M68" s="41">
        <v>-2E-3</v>
      </c>
      <c r="N68" s="41">
        <v>0.873</v>
      </c>
      <c r="O68" s="41">
        <v>9.6000000000000002E-2</v>
      </c>
      <c r="P68" s="41">
        <v>9.2999999999999999E-2</v>
      </c>
      <c r="Q68" s="6" t="s">
        <v>362</v>
      </c>
      <c r="R68" s="6"/>
      <c r="S68" s="6"/>
      <c r="T68" s="6"/>
      <c r="U68" s="6"/>
      <c r="V68" s="6"/>
      <c r="W68" s="56"/>
      <c r="X68" s="6"/>
      <c r="Y68" s="36"/>
      <c r="Z68" s="36"/>
      <c r="AA68" s="7"/>
    </row>
    <row r="69" spans="1:27" ht="18" customHeight="1" x14ac:dyDescent="0.15">
      <c r="A69" s="5" t="s">
        <v>1683</v>
      </c>
      <c r="B69" s="6" t="s">
        <v>1716</v>
      </c>
      <c r="C69" s="6" t="s">
        <v>20</v>
      </c>
      <c r="D69" s="6" t="s">
        <v>189</v>
      </c>
      <c r="E69" s="6" t="s">
        <v>17</v>
      </c>
      <c r="F69" s="6">
        <v>22</v>
      </c>
      <c r="G69" s="6" t="s">
        <v>1748</v>
      </c>
      <c r="H69" s="50">
        <v>0.488488952478075</v>
      </c>
      <c r="I69" s="50">
        <v>1.0107100386349901</v>
      </c>
      <c r="J69" s="50">
        <v>0.68842362471038399</v>
      </c>
      <c r="K69" s="50">
        <v>1.00710090489909</v>
      </c>
      <c r="L69" s="50">
        <v>0.76843678333952103</v>
      </c>
      <c r="M69" s="41">
        <v>-7.0000000000000001E-3</v>
      </c>
      <c r="N69" s="41">
        <v>0.28699999999999998</v>
      </c>
      <c r="O69" s="41">
        <v>0.751</v>
      </c>
      <c r="P69" s="41">
        <v>0.66600000000000004</v>
      </c>
      <c r="Q69" s="6" t="s">
        <v>362</v>
      </c>
      <c r="R69" s="6"/>
      <c r="S69" s="6"/>
      <c r="T69" s="6"/>
      <c r="U69" s="6"/>
      <c r="V69" s="6"/>
      <c r="W69" s="56"/>
      <c r="X69" s="6"/>
      <c r="Y69" s="36"/>
      <c r="Z69" s="36"/>
      <c r="AA69" s="7"/>
    </row>
    <row r="70" spans="1:27" ht="18" customHeight="1" x14ac:dyDescent="0.15">
      <c r="A70" s="5" t="s">
        <v>1749</v>
      </c>
      <c r="B70" s="6" t="s">
        <v>1716</v>
      </c>
      <c r="C70" s="6" t="s">
        <v>1750</v>
      </c>
      <c r="D70" s="6" t="s">
        <v>70</v>
      </c>
      <c r="E70" s="6" t="s">
        <v>17</v>
      </c>
      <c r="F70" s="6">
        <v>216</v>
      </c>
      <c r="G70" s="6"/>
      <c r="H70" s="6"/>
      <c r="I70" s="6"/>
      <c r="J70" s="6"/>
      <c r="K70" s="6"/>
      <c r="L70" s="6"/>
      <c r="M70" s="36"/>
      <c r="N70" s="6"/>
      <c r="O70" s="6"/>
      <c r="P70" s="6"/>
      <c r="Q70" s="6"/>
      <c r="R70" s="6" t="s">
        <v>1751</v>
      </c>
      <c r="S70" s="50">
        <v>5.5000000000000003E-8</v>
      </c>
      <c r="T70" s="50">
        <v>8.8000000000000004E-7</v>
      </c>
      <c r="U70" s="6"/>
      <c r="V70" s="6" t="s">
        <v>1752</v>
      </c>
      <c r="W70" s="56"/>
      <c r="X70" s="6"/>
      <c r="Y70" s="36"/>
      <c r="Z70" s="36"/>
      <c r="AA70" s="7"/>
    </row>
    <row r="71" spans="1:27" ht="18" customHeight="1" x14ac:dyDescent="0.15">
      <c r="A71" s="5" t="s">
        <v>1749</v>
      </c>
      <c r="B71" s="6" t="s">
        <v>1716</v>
      </c>
      <c r="C71" s="6" t="s">
        <v>1750</v>
      </c>
      <c r="D71" s="6" t="s">
        <v>135</v>
      </c>
      <c r="E71" s="6" t="s">
        <v>17</v>
      </c>
      <c r="F71" s="6">
        <v>65</v>
      </c>
      <c r="G71" s="6"/>
      <c r="H71" s="6"/>
      <c r="I71" s="6"/>
      <c r="J71" s="6"/>
      <c r="K71" s="6"/>
      <c r="L71" s="6"/>
      <c r="M71" s="36"/>
      <c r="N71" s="6"/>
      <c r="O71" s="6"/>
      <c r="P71" s="6"/>
      <c r="Q71" s="6"/>
      <c r="R71" s="6" t="s">
        <v>1753</v>
      </c>
      <c r="S71" s="50">
        <v>1.1999999999999999E-3</v>
      </c>
      <c r="T71" s="50">
        <v>9.5999999999999992E-3</v>
      </c>
      <c r="U71" s="6"/>
      <c r="V71" s="6" t="s">
        <v>1752</v>
      </c>
      <c r="W71" s="56"/>
      <c r="X71" s="6"/>
      <c r="Y71" s="36"/>
      <c r="Z71" s="36"/>
      <c r="AA71" s="7"/>
    </row>
    <row r="72" spans="1:27" ht="18" customHeight="1" x14ac:dyDescent="0.15">
      <c r="A72" s="5" t="s">
        <v>1749</v>
      </c>
      <c r="B72" s="6" t="s">
        <v>1716</v>
      </c>
      <c r="C72" s="6" t="s">
        <v>1750</v>
      </c>
      <c r="D72" s="6" t="s">
        <v>173</v>
      </c>
      <c r="E72" s="6" t="s">
        <v>17</v>
      </c>
      <c r="F72" s="6">
        <v>80</v>
      </c>
      <c r="G72" s="6"/>
      <c r="H72" s="6"/>
      <c r="I72" s="6"/>
      <c r="J72" s="6"/>
      <c r="K72" s="6"/>
      <c r="L72" s="6"/>
      <c r="M72" s="36"/>
      <c r="N72" s="6"/>
      <c r="O72" s="6"/>
      <c r="P72" s="6"/>
      <c r="Q72" s="6"/>
      <c r="R72" s="6" t="s">
        <v>1754</v>
      </c>
      <c r="S72" s="50">
        <v>4.1000000000000002E-2</v>
      </c>
      <c r="T72" s="50">
        <v>0.16400000000000001</v>
      </c>
      <c r="U72" s="6"/>
      <c r="V72" s="6" t="s">
        <v>1752</v>
      </c>
      <c r="W72" s="56"/>
      <c r="X72" s="6"/>
      <c r="Y72" s="36"/>
      <c r="Z72" s="36"/>
      <c r="AA72" s="7"/>
    </row>
    <row r="73" spans="1:27" ht="18" customHeight="1" x14ac:dyDescent="0.15">
      <c r="A73" s="5" t="s">
        <v>1749</v>
      </c>
      <c r="B73" s="6" t="s">
        <v>1716</v>
      </c>
      <c r="C73" s="6" t="s">
        <v>1750</v>
      </c>
      <c r="D73" s="6" t="s">
        <v>181</v>
      </c>
      <c r="E73" s="6" t="s">
        <v>17</v>
      </c>
      <c r="F73" s="6">
        <v>75</v>
      </c>
      <c r="G73" s="6"/>
      <c r="H73" s="6"/>
      <c r="I73" s="6"/>
      <c r="J73" s="6"/>
      <c r="K73" s="6"/>
      <c r="L73" s="6"/>
      <c r="M73" s="36"/>
      <c r="N73" s="6"/>
      <c r="O73" s="6"/>
      <c r="P73" s="6"/>
      <c r="Q73" s="6"/>
      <c r="R73" s="6" t="s">
        <v>1755</v>
      </c>
      <c r="S73" s="50">
        <v>2.3E-2</v>
      </c>
      <c r="T73" s="50">
        <v>0.1226666666666667</v>
      </c>
      <c r="U73" s="6"/>
      <c r="V73" s="6" t="s">
        <v>1752</v>
      </c>
      <c r="W73" s="56"/>
      <c r="X73" s="6"/>
      <c r="Y73" s="36"/>
      <c r="Z73" s="36"/>
      <c r="AA73" s="7"/>
    </row>
    <row r="74" spans="1:27" ht="18" customHeight="1" x14ac:dyDescent="0.15">
      <c r="A74" s="5" t="s">
        <v>1749</v>
      </c>
      <c r="B74" s="6" t="s">
        <v>1716</v>
      </c>
      <c r="C74" s="6" t="s">
        <v>1750</v>
      </c>
      <c r="D74" s="6" t="s">
        <v>150</v>
      </c>
      <c r="E74" s="6" t="s">
        <v>17</v>
      </c>
      <c r="F74" s="6">
        <v>245</v>
      </c>
      <c r="G74" s="6"/>
      <c r="H74" s="6"/>
      <c r="I74" s="6"/>
      <c r="J74" s="6"/>
      <c r="K74" s="6"/>
      <c r="L74" s="6"/>
      <c r="M74" s="36"/>
      <c r="N74" s="6"/>
      <c r="O74" s="6"/>
      <c r="P74" s="6"/>
      <c r="Q74" s="6"/>
      <c r="R74" s="6" t="s">
        <v>1756</v>
      </c>
      <c r="S74" s="50">
        <v>0.12</v>
      </c>
      <c r="T74" s="50">
        <v>0.27428571428571419</v>
      </c>
      <c r="U74" s="6"/>
      <c r="V74" s="6" t="s">
        <v>1752</v>
      </c>
      <c r="W74" s="56"/>
      <c r="X74" s="6"/>
      <c r="Y74" s="36"/>
      <c r="Z74" s="36"/>
      <c r="AA74" s="7"/>
    </row>
    <row r="75" spans="1:27" ht="18" customHeight="1" x14ac:dyDescent="0.15">
      <c r="A75" s="5" t="s">
        <v>1749</v>
      </c>
      <c r="B75" s="6" t="s">
        <v>1716</v>
      </c>
      <c r="C75" s="6" t="s">
        <v>1750</v>
      </c>
      <c r="D75" s="6" t="s">
        <v>109</v>
      </c>
      <c r="E75" s="6" t="s">
        <v>17</v>
      </c>
      <c r="F75" s="6">
        <v>66</v>
      </c>
      <c r="G75" s="6"/>
      <c r="H75" s="6"/>
      <c r="I75" s="6"/>
      <c r="J75" s="6"/>
      <c r="K75" s="6"/>
      <c r="L75" s="6"/>
      <c r="M75" s="36"/>
      <c r="N75" s="6"/>
      <c r="O75" s="6"/>
      <c r="P75" s="6"/>
      <c r="Q75" s="6"/>
      <c r="R75" s="6" t="s">
        <v>1757</v>
      </c>
      <c r="S75" s="50">
        <v>0.28000000000000003</v>
      </c>
      <c r="T75" s="50">
        <v>0.34461538461538471</v>
      </c>
      <c r="U75" s="6"/>
      <c r="V75" s="6" t="s">
        <v>1752</v>
      </c>
      <c r="W75" s="56"/>
      <c r="X75" s="6"/>
      <c r="Y75" s="36"/>
      <c r="Z75" s="36"/>
      <c r="AA75" s="7"/>
    </row>
    <row r="76" spans="1:27" ht="18" customHeight="1" x14ac:dyDescent="0.15">
      <c r="A76" s="5" t="s">
        <v>1749</v>
      </c>
      <c r="B76" s="6" t="s">
        <v>1716</v>
      </c>
      <c r="C76" s="6" t="s">
        <v>1750</v>
      </c>
      <c r="D76" s="6" t="s">
        <v>80</v>
      </c>
      <c r="E76" s="6" t="s">
        <v>17</v>
      </c>
      <c r="F76" s="6">
        <v>198</v>
      </c>
      <c r="G76" s="6"/>
      <c r="H76" s="6"/>
      <c r="I76" s="6"/>
      <c r="J76" s="6"/>
      <c r="K76" s="6"/>
      <c r="L76" s="6"/>
      <c r="M76" s="36"/>
      <c r="N76" s="6"/>
      <c r="O76" s="6"/>
      <c r="P76" s="6"/>
      <c r="Q76" s="6"/>
      <c r="R76" s="6" t="s">
        <v>1758</v>
      </c>
      <c r="S76" s="50">
        <v>0.21</v>
      </c>
      <c r="T76" s="50">
        <v>0.28000000000000003</v>
      </c>
      <c r="U76" s="6"/>
      <c r="V76" s="6" t="s">
        <v>1752</v>
      </c>
      <c r="W76" s="56"/>
      <c r="X76" s="6"/>
      <c r="Y76" s="36"/>
      <c r="Z76" s="36"/>
      <c r="AA76" s="7"/>
    </row>
    <row r="77" spans="1:27" ht="18" customHeight="1" x14ac:dyDescent="0.15">
      <c r="A77" s="5" t="s">
        <v>1749</v>
      </c>
      <c r="B77" s="6" t="s">
        <v>1716</v>
      </c>
      <c r="C77" s="6" t="s">
        <v>1750</v>
      </c>
      <c r="D77" s="6" t="s">
        <v>90</v>
      </c>
      <c r="E77" s="6" t="s">
        <v>17</v>
      </c>
      <c r="F77" s="6">
        <v>78</v>
      </c>
      <c r="G77" s="6"/>
      <c r="H77" s="6"/>
      <c r="I77" s="6"/>
      <c r="J77" s="6"/>
      <c r="K77" s="6"/>
      <c r="L77" s="6"/>
      <c r="M77" s="36"/>
      <c r="N77" s="6"/>
      <c r="O77" s="6"/>
      <c r="P77" s="6"/>
      <c r="Q77" s="6"/>
      <c r="R77" s="6" t="s">
        <v>1758</v>
      </c>
      <c r="S77" s="50">
        <v>0.21</v>
      </c>
      <c r="T77" s="50">
        <v>0.28000000000000003</v>
      </c>
      <c r="U77" s="6"/>
      <c r="V77" s="6" t="s">
        <v>1752</v>
      </c>
      <c r="W77" s="56"/>
      <c r="X77" s="6"/>
      <c r="Y77" s="36"/>
      <c r="Z77" s="36"/>
      <c r="AA77" s="7"/>
    </row>
    <row r="78" spans="1:27" ht="18" customHeight="1" x14ac:dyDescent="0.15">
      <c r="A78" s="5" t="s">
        <v>1749</v>
      </c>
      <c r="B78" s="6" t="s">
        <v>1716</v>
      </c>
      <c r="C78" s="6" t="s">
        <v>1750</v>
      </c>
      <c r="D78" s="6" t="s">
        <v>100</v>
      </c>
      <c r="E78" s="6" t="s">
        <v>17</v>
      </c>
      <c r="F78" s="6">
        <v>353</v>
      </c>
      <c r="G78" s="6"/>
      <c r="H78" s="6"/>
      <c r="I78" s="6"/>
      <c r="J78" s="6"/>
      <c r="K78" s="6"/>
      <c r="L78" s="6"/>
      <c r="M78" s="36"/>
      <c r="N78" s="6"/>
      <c r="O78" s="6"/>
      <c r="P78" s="6"/>
      <c r="Q78" s="6"/>
      <c r="R78" s="6" t="s">
        <v>1759</v>
      </c>
      <c r="S78" s="50">
        <v>6.0999999999999999E-2</v>
      </c>
      <c r="T78" s="50">
        <v>0.19520000000000001</v>
      </c>
      <c r="U78" s="6"/>
      <c r="V78" s="6" t="s">
        <v>1752</v>
      </c>
      <c r="W78" s="56"/>
      <c r="X78" s="6"/>
      <c r="Y78" s="36"/>
      <c r="Z78" s="36"/>
      <c r="AA78" s="7"/>
    </row>
    <row r="79" spans="1:27" ht="18" customHeight="1" x14ac:dyDescent="0.15">
      <c r="A79" s="5" t="s">
        <v>1749</v>
      </c>
      <c r="B79" s="6" t="s">
        <v>1716</v>
      </c>
      <c r="C79" s="6" t="s">
        <v>1750</v>
      </c>
      <c r="D79" s="6" t="s">
        <v>59</v>
      </c>
      <c r="E79" s="6" t="s">
        <v>17</v>
      </c>
      <c r="F79" s="6">
        <v>119</v>
      </c>
      <c r="G79" s="6"/>
      <c r="H79" s="6"/>
      <c r="I79" s="6"/>
      <c r="J79" s="6"/>
      <c r="K79" s="6"/>
      <c r="L79" s="6"/>
      <c r="M79" s="36"/>
      <c r="N79" s="6"/>
      <c r="O79" s="6"/>
      <c r="P79" s="6"/>
      <c r="Q79" s="6"/>
      <c r="R79" s="6" t="s">
        <v>1760</v>
      </c>
      <c r="S79" s="50">
        <v>0.2</v>
      </c>
      <c r="T79" s="50">
        <v>0.28000000000000003</v>
      </c>
      <c r="U79" s="6"/>
      <c r="V79" s="6" t="s">
        <v>1752</v>
      </c>
      <c r="W79" s="56"/>
      <c r="X79" s="6"/>
      <c r="Y79" s="36"/>
      <c r="Z79" s="36"/>
      <c r="AA79" s="7"/>
    </row>
    <row r="80" spans="1:27" ht="18" customHeight="1" x14ac:dyDescent="0.15">
      <c r="A80" s="5" t="s">
        <v>1749</v>
      </c>
      <c r="B80" s="6" t="s">
        <v>1716</v>
      </c>
      <c r="C80" s="6" t="s">
        <v>1750</v>
      </c>
      <c r="D80" s="6" t="s">
        <v>158</v>
      </c>
      <c r="E80" s="6" t="s">
        <v>17</v>
      </c>
      <c r="F80" s="6">
        <v>364</v>
      </c>
      <c r="G80" s="6"/>
      <c r="H80" s="6"/>
      <c r="I80" s="6"/>
      <c r="J80" s="6"/>
      <c r="K80" s="6"/>
      <c r="L80" s="6"/>
      <c r="M80" s="36"/>
      <c r="N80" s="6"/>
      <c r="O80" s="6"/>
      <c r="P80" s="6"/>
      <c r="Q80" s="6"/>
      <c r="R80" s="6" t="s">
        <v>1761</v>
      </c>
      <c r="S80" s="50">
        <v>0.19</v>
      </c>
      <c r="T80" s="50">
        <v>0.28000000000000003</v>
      </c>
      <c r="U80" s="6"/>
      <c r="V80" s="6" t="s">
        <v>1752</v>
      </c>
      <c r="W80" s="56"/>
      <c r="X80" s="6"/>
      <c r="Y80" s="36"/>
      <c r="Z80" s="36"/>
      <c r="AA80" s="7"/>
    </row>
    <row r="81" spans="1:27" ht="18" customHeight="1" x14ac:dyDescent="0.15">
      <c r="A81" s="5" t="s">
        <v>1749</v>
      </c>
      <c r="B81" s="6" t="s">
        <v>1716</v>
      </c>
      <c r="C81" s="6" t="s">
        <v>1750</v>
      </c>
      <c r="D81" s="6" t="s">
        <v>141</v>
      </c>
      <c r="E81" s="6" t="s">
        <v>17</v>
      </c>
      <c r="F81" s="6">
        <v>89</v>
      </c>
      <c r="G81" s="6"/>
      <c r="H81" s="6"/>
      <c r="I81" s="6"/>
      <c r="J81" s="6"/>
      <c r="K81" s="6"/>
      <c r="L81" s="6"/>
      <c r="M81" s="36"/>
      <c r="N81" s="6"/>
      <c r="O81" s="6"/>
      <c r="P81" s="6"/>
      <c r="Q81" s="6"/>
      <c r="R81" s="6" t="s">
        <v>1762</v>
      </c>
      <c r="S81" s="50">
        <v>0.68</v>
      </c>
      <c r="T81" s="50">
        <v>0.68</v>
      </c>
      <c r="U81" s="6"/>
      <c r="V81" s="6" t="s">
        <v>1752</v>
      </c>
      <c r="W81" s="56"/>
      <c r="X81" s="6"/>
      <c r="Y81" s="36"/>
      <c r="Z81" s="36"/>
      <c r="AA81" s="7"/>
    </row>
    <row r="82" spans="1:27" ht="18" customHeight="1" x14ac:dyDescent="0.15">
      <c r="A82" s="5" t="s">
        <v>1749</v>
      </c>
      <c r="B82" s="6" t="s">
        <v>1716</v>
      </c>
      <c r="C82" s="6" t="s">
        <v>1750</v>
      </c>
      <c r="D82" s="6" t="s">
        <v>34</v>
      </c>
      <c r="E82" s="6" t="s">
        <v>17</v>
      </c>
      <c r="F82" s="6">
        <v>42</v>
      </c>
      <c r="G82" s="6"/>
      <c r="H82" s="6"/>
      <c r="I82" s="6"/>
      <c r="J82" s="6"/>
      <c r="K82" s="6"/>
      <c r="L82" s="6"/>
      <c r="M82" s="36"/>
      <c r="N82" s="6"/>
      <c r="O82" s="6"/>
      <c r="P82" s="6"/>
      <c r="Q82" s="6"/>
      <c r="R82" s="6" t="s">
        <v>1763</v>
      </c>
      <c r="S82" s="50">
        <v>0.57999999999999996</v>
      </c>
      <c r="T82" s="50">
        <v>0.61866666666666659</v>
      </c>
      <c r="U82" s="6"/>
      <c r="V82" s="6" t="s">
        <v>1752</v>
      </c>
      <c r="W82" s="56"/>
      <c r="X82" s="6"/>
      <c r="Y82" s="36"/>
      <c r="Z82" s="36"/>
      <c r="AA82" s="7"/>
    </row>
    <row r="83" spans="1:27" ht="18" customHeight="1" x14ac:dyDescent="0.15">
      <c r="A83" s="5" t="s">
        <v>1749</v>
      </c>
      <c r="B83" s="6" t="s">
        <v>1716</v>
      </c>
      <c r="C83" s="6" t="s">
        <v>1750</v>
      </c>
      <c r="D83" s="6" t="s">
        <v>119</v>
      </c>
      <c r="E83" s="6" t="s">
        <v>17</v>
      </c>
      <c r="F83" s="6">
        <v>26</v>
      </c>
      <c r="G83" s="6"/>
      <c r="H83" s="6"/>
      <c r="I83" s="6"/>
      <c r="J83" s="6"/>
      <c r="K83" s="6"/>
      <c r="L83" s="6"/>
      <c r="M83" s="36"/>
      <c r="N83" s="6"/>
      <c r="O83" s="6"/>
      <c r="P83" s="6"/>
      <c r="Q83" s="6"/>
      <c r="R83" s="6" t="s">
        <v>1764</v>
      </c>
      <c r="S83" s="50">
        <v>0.12</v>
      </c>
      <c r="T83" s="50">
        <v>0.27428571428571419</v>
      </c>
      <c r="U83" s="6"/>
      <c r="V83" s="6" t="s">
        <v>1752</v>
      </c>
      <c r="W83" s="56"/>
      <c r="X83" s="6"/>
      <c r="Y83" s="36"/>
      <c r="Z83" s="36"/>
      <c r="AA83" s="7"/>
    </row>
    <row r="84" spans="1:27" ht="18" customHeight="1" x14ac:dyDescent="0.15">
      <c r="A84" s="5" t="s">
        <v>1749</v>
      </c>
      <c r="B84" s="6" t="s">
        <v>1716</v>
      </c>
      <c r="C84" s="6" t="s">
        <v>1750</v>
      </c>
      <c r="D84" s="6" t="s">
        <v>165</v>
      </c>
      <c r="E84" s="6" t="s">
        <v>17</v>
      </c>
      <c r="F84" s="6">
        <v>51</v>
      </c>
      <c r="G84" s="6"/>
      <c r="H84" s="6"/>
      <c r="I84" s="6"/>
      <c r="J84" s="6"/>
      <c r="K84" s="6"/>
      <c r="L84" s="6"/>
      <c r="M84" s="36"/>
      <c r="N84" s="6"/>
      <c r="O84" s="6"/>
      <c r="P84" s="6"/>
      <c r="Q84" s="6"/>
      <c r="R84" s="6" t="s">
        <v>1765</v>
      </c>
      <c r="S84" s="50">
        <v>0.45</v>
      </c>
      <c r="T84" s="50">
        <v>0.51428571428571423</v>
      </c>
      <c r="U84" s="6"/>
      <c r="V84" s="6" t="s">
        <v>1752</v>
      </c>
      <c r="W84" s="56"/>
      <c r="X84" s="6"/>
      <c r="Y84" s="36"/>
      <c r="Z84" s="36"/>
      <c r="AA84" s="7"/>
    </row>
    <row r="85" spans="1:27" ht="18" customHeight="1" x14ac:dyDescent="0.15">
      <c r="A85" s="5" t="s">
        <v>1749</v>
      </c>
      <c r="B85" s="6" t="s">
        <v>1716</v>
      </c>
      <c r="C85" s="6" t="s">
        <v>1750</v>
      </c>
      <c r="D85" s="6" t="s">
        <v>45</v>
      </c>
      <c r="E85" s="6" t="s">
        <v>17</v>
      </c>
      <c r="F85" s="6">
        <v>185</v>
      </c>
      <c r="G85" s="6"/>
      <c r="H85" s="6"/>
      <c r="I85" s="6"/>
      <c r="J85" s="6"/>
      <c r="K85" s="6"/>
      <c r="L85" s="6"/>
      <c r="M85" s="36"/>
      <c r="N85" s="6"/>
      <c r="O85" s="6"/>
      <c r="P85" s="6"/>
      <c r="Q85" s="6"/>
      <c r="R85" s="6" t="s">
        <v>1766</v>
      </c>
      <c r="S85" s="50">
        <v>0.16</v>
      </c>
      <c r="T85" s="50">
        <v>0.28000000000000003</v>
      </c>
      <c r="U85" s="6"/>
      <c r="V85" s="6" t="s">
        <v>1752</v>
      </c>
      <c r="W85" s="56"/>
      <c r="X85" s="6"/>
      <c r="Y85" s="36"/>
      <c r="Z85" s="36"/>
      <c r="AA85" s="7"/>
    </row>
    <row r="86" spans="1:27" ht="18" customHeight="1" x14ac:dyDescent="0.15">
      <c r="A86" s="5" t="s">
        <v>1767</v>
      </c>
      <c r="B86" s="6" t="s">
        <v>1684</v>
      </c>
      <c r="C86" s="6" t="s">
        <v>1768</v>
      </c>
      <c r="D86" s="6" t="s">
        <v>17</v>
      </c>
      <c r="E86" s="6" t="s">
        <v>165</v>
      </c>
      <c r="F86" s="6"/>
      <c r="G86" s="6"/>
      <c r="H86" s="6"/>
      <c r="I86" s="6"/>
      <c r="J86" s="6"/>
      <c r="K86" s="6"/>
      <c r="L86" s="6"/>
      <c r="M86" s="36"/>
      <c r="N86" s="6"/>
      <c r="O86" s="6"/>
      <c r="P86" s="6"/>
      <c r="Q86" s="6"/>
      <c r="R86" s="6" t="s">
        <v>1769</v>
      </c>
      <c r="S86" s="50">
        <v>1.07200182994522E-2</v>
      </c>
      <c r="T86" s="50">
        <v>9.1120155545344098E-2</v>
      </c>
      <c r="U86" s="6">
        <v>26</v>
      </c>
      <c r="V86" s="6">
        <v>2</v>
      </c>
      <c r="W86" s="56"/>
      <c r="X86" s="6"/>
      <c r="Y86" s="36"/>
      <c r="Z86" s="36"/>
      <c r="AA86" s="7"/>
    </row>
    <row r="87" spans="1:27" ht="18" customHeight="1" x14ac:dyDescent="0.15">
      <c r="A87" s="5" t="s">
        <v>1767</v>
      </c>
      <c r="B87" s="6" t="s">
        <v>1684</v>
      </c>
      <c r="C87" s="6" t="s">
        <v>1768</v>
      </c>
      <c r="D87" s="6" t="s">
        <v>17</v>
      </c>
      <c r="E87" s="6" t="s">
        <v>59</v>
      </c>
      <c r="F87" s="6"/>
      <c r="G87" s="6"/>
      <c r="H87" s="6"/>
      <c r="I87" s="6"/>
      <c r="J87" s="6"/>
      <c r="K87" s="6"/>
      <c r="L87" s="6"/>
      <c r="M87" s="36"/>
      <c r="N87" s="6"/>
      <c r="O87" s="6"/>
      <c r="P87" s="6"/>
      <c r="Q87" s="6"/>
      <c r="R87" s="6" t="s">
        <v>1770</v>
      </c>
      <c r="S87" s="50">
        <v>0.19316601794626301</v>
      </c>
      <c r="T87" s="50">
        <v>0.65676446101729302</v>
      </c>
      <c r="U87" s="6">
        <v>24</v>
      </c>
      <c r="V87" s="6">
        <v>2</v>
      </c>
      <c r="W87" s="56"/>
      <c r="X87" s="6"/>
      <c r="Y87" s="36"/>
      <c r="Z87" s="36"/>
      <c r="AA87" s="7"/>
    </row>
    <row r="88" spans="1:27" ht="18" customHeight="1" x14ac:dyDescent="0.15">
      <c r="A88" s="5" t="s">
        <v>1767</v>
      </c>
      <c r="B88" s="6" t="s">
        <v>1684</v>
      </c>
      <c r="C88" s="6" t="s">
        <v>1768</v>
      </c>
      <c r="D88" s="6" t="s">
        <v>17</v>
      </c>
      <c r="E88" s="6" t="s">
        <v>109</v>
      </c>
      <c r="F88" s="6"/>
      <c r="G88" s="6"/>
      <c r="H88" s="6"/>
      <c r="I88" s="6"/>
      <c r="J88" s="6"/>
      <c r="K88" s="6"/>
      <c r="L88" s="6"/>
      <c r="M88" s="36"/>
      <c r="N88" s="6"/>
      <c r="O88" s="6"/>
      <c r="P88" s="6"/>
      <c r="Q88" s="6"/>
      <c r="R88" s="6" t="s">
        <v>1771</v>
      </c>
      <c r="S88" s="50">
        <v>8.1189987068774297E-2</v>
      </c>
      <c r="T88" s="50">
        <v>0.46007659338972101</v>
      </c>
      <c r="U88" s="6">
        <v>22</v>
      </c>
      <c r="V88" s="6">
        <v>2</v>
      </c>
      <c r="W88" s="56"/>
      <c r="X88" s="6"/>
      <c r="Y88" s="36"/>
      <c r="Z88" s="36"/>
      <c r="AA88" s="7"/>
    </row>
    <row r="89" spans="1:27" ht="18" customHeight="1" x14ac:dyDescent="0.15">
      <c r="A89" s="5" t="s">
        <v>1767</v>
      </c>
      <c r="B89" s="6" t="s">
        <v>1684</v>
      </c>
      <c r="C89" s="6" t="s">
        <v>1768</v>
      </c>
      <c r="D89" s="6" t="s">
        <v>17</v>
      </c>
      <c r="E89" s="6" t="s">
        <v>181</v>
      </c>
      <c r="F89" s="6"/>
      <c r="G89" s="6"/>
      <c r="H89" s="6"/>
      <c r="I89" s="6"/>
      <c r="J89" s="6"/>
      <c r="K89" s="6"/>
      <c r="L89" s="6"/>
      <c r="M89" s="36"/>
      <c r="N89" s="6"/>
      <c r="O89" s="6"/>
      <c r="P89" s="6"/>
      <c r="Q89" s="6"/>
      <c r="R89" s="6" t="s">
        <v>1772</v>
      </c>
      <c r="S89" s="50">
        <v>0.41071147061936403</v>
      </c>
      <c r="T89" s="50">
        <v>0.78216431037608203</v>
      </c>
      <c r="U89" s="6">
        <v>26</v>
      </c>
      <c r="V89" s="6">
        <v>2</v>
      </c>
      <c r="W89" s="56"/>
      <c r="X89" s="6"/>
      <c r="Y89" s="36"/>
      <c r="Z89" s="36"/>
      <c r="AA89" s="7"/>
    </row>
    <row r="90" spans="1:27" ht="18" customHeight="1" x14ac:dyDescent="0.15">
      <c r="A90" s="5" t="s">
        <v>1767</v>
      </c>
      <c r="B90" s="6" t="s">
        <v>1684</v>
      </c>
      <c r="C90" s="6" t="s">
        <v>1768</v>
      </c>
      <c r="D90" s="6" t="s">
        <v>17</v>
      </c>
      <c r="E90" s="6" t="s">
        <v>189</v>
      </c>
      <c r="F90" s="6"/>
      <c r="G90" s="6"/>
      <c r="H90" s="6"/>
      <c r="I90" s="6"/>
      <c r="J90" s="6"/>
      <c r="K90" s="6"/>
      <c r="L90" s="6"/>
      <c r="M90" s="36"/>
      <c r="N90" s="6"/>
      <c r="O90" s="6"/>
      <c r="P90" s="6"/>
      <c r="Q90" s="6"/>
      <c r="R90" s="6" t="s">
        <v>1773</v>
      </c>
      <c r="S90" s="50">
        <v>0.81638647063074199</v>
      </c>
      <c r="T90" s="50">
        <v>0.945230081222874</v>
      </c>
      <c r="U90" s="6">
        <v>12</v>
      </c>
      <c r="V90" s="6">
        <v>1</v>
      </c>
      <c r="W90" s="56"/>
      <c r="X90" s="6"/>
      <c r="Y90" s="36"/>
      <c r="Z90" s="36"/>
      <c r="AA90" s="7"/>
    </row>
    <row r="91" spans="1:27" ht="18" customHeight="1" x14ac:dyDescent="0.15">
      <c r="A91" s="5" t="s">
        <v>1767</v>
      </c>
      <c r="B91" s="6" t="s">
        <v>1684</v>
      </c>
      <c r="C91" s="6" t="s">
        <v>1768</v>
      </c>
      <c r="D91" s="6" t="s">
        <v>17</v>
      </c>
      <c r="E91" s="6" t="s">
        <v>34</v>
      </c>
      <c r="F91" s="6"/>
      <c r="G91" s="6"/>
      <c r="H91" s="6"/>
      <c r="I91" s="6"/>
      <c r="J91" s="6"/>
      <c r="K91" s="6"/>
      <c r="L91" s="6"/>
      <c r="M91" s="36"/>
      <c r="N91" s="6"/>
      <c r="O91" s="6"/>
      <c r="P91" s="6"/>
      <c r="Q91" s="6"/>
      <c r="R91" s="6" t="s">
        <v>1774</v>
      </c>
      <c r="S91" s="50">
        <v>0.62950765564545197</v>
      </c>
      <c r="T91" s="50">
        <v>0.89180251216438999</v>
      </c>
      <c r="U91" s="6">
        <v>26</v>
      </c>
      <c r="V91" s="6">
        <v>2</v>
      </c>
      <c r="W91" s="56"/>
      <c r="X91" s="6"/>
      <c r="Y91" s="36"/>
      <c r="Z91" s="36"/>
      <c r="AA91" s="7"/>
    </row>
    <row r="92" spans="1:27" ht="18" customHeight="1" x14ac:dyDescent="0.15">
      <c r="A92" s="5" t="s">
        <v>1767</v>
      </c>
      <c r="B92" s="6" t="s">
        <v>1684</v>
      </c>
      <c r="C92" s="6" t="s">
        <v>1768</v>
      </c>
      <c r="D92" s="6" t="s">
        <v>17</v>
      </c>
      <c r="E92" s="6" t="s">
        <v>80</v>
      </c>
      <c r="F92" s="6"/>
      <c r="G92" s="6"/>
      <c r="H92" s="6"/>
      <c r="I92" s="6"/>
      <c r="J92" s="6"/>
      <c r="K92" s="6"/>
      <c r="L92" s="6"/>
      <c r="M92" s="36"/>
      <c r="N92" s="6"/>
      <c r="O92" s="6"/>
      <c r="P92" s="6"/>
      <c r="Q92" s="6"/>
      <c r="R92" s="6" t="s">
        <v>1775</v>
      </c>
      <c r="S92" s="50">
        <v>0.11022909368389799</v>
      </c>
      <c r="T92" s="50">
        <v>0.468473648156566</v>
      </c>
      <c r="U92" s="6">
        <v>25</v>
      </c>
      <c r="V92" s="6">
        <v>2</v>
      </c>
      <c r="W92" s="56"/>
      <c r="X92" s="6"/>
      <c r="Y92" s="36"/>
      <c r="Z92" s="36"/>
      <c r="AA92" s="7"/>
    </row>
    <row r="93" spans="1:27" ht="18" customHeight="1" x14ac:dyDescent="0.15">
      <c r="A93" s="5" t="s">
        <v>1767</v>
      </c>
      <c r="B93" s="6" t="s">
        <v>1684</v>
      </c>
      <c r="C93" s="6" t="s">
        <v>1768</v>
      </c>
      <c r="D93" s="6" t="s">
        <v>17</v>
      </c>
      <c r="E93" s="6" t="s">
        <v>158</v>
      </c>
      <c r="F93" s="6"/>
      <c r="G93" s="6"/>
      <c r="H93" s="6"/>
      <c r="I93" s="6"/>
      <c r="J93" s="6"/>
      <c r="K93" s="6"/>
      <c r="L93" s="6"/>
      <c r="M93" s="36"/>
      <c r="N93" s="6"/>
      <c r="O93" s="6"/>
      <c r="P93" s="6"/>
      <c r="Q93" s="6"/>
      <c r="R93" s="6" t="s">
        <v>1776</v>
      </c>
      <c r="S93" s="50">
        <v>0.48669551540691097</v>
      </c>
      <c r="T93" s="50">
        <v>0.78216431037608203</v>
      </c>
      <c r="U93" s="6">
        <v>26</v>
      </c>
      <c r="V93" s="6">
        <v>2</v>
      </c>
      <c r="W93" s="56"/>
      <c r="X93" s="6"/>
      <c r="Y93" s="36"/>
      <c r="Z93" s="36"/>
      <c r="AA93" s="7"/>
    </row>
    <row r="94" spans="1:27" ht="18" customHeight="1" x14ac:dyDescent="0.15">
      <c r="A94" s="5" t="s">
        <v>1767</v>
      </c>
      <c r="B94" s="6" t="s">
        <v>1684</v>
      </c>
      <c r="C94" s="6" t="s">
        <v>1768</v>
      </c>
      <c r="D94" s="6" t="s">
        <v>17</v>
      </c>
      <c r="E94" s="6" t="s">
        <v>364</v>
      </c>
      <c r="F94" s="6"/>
      <c r="G94" s="6"/>
      <c r="H94" s="6"/>
      <c r="I94" s="6"/>
      <c r="J94" s="6"/>
      <c r="K94" s="6"/>
      <c r="L94" s="6"/>
      <c r="M94" s="36"/>
      <c r="N94" s="6"/>
      <c r="O94" s="6"/>
      <c r="P94" s="6"/>
      <c r="Q94" s="6"/>
      <c r="R94" s="6" t="s">
        <v>1777</v>
      </c>
      <c r="S94" s="50">
        <v>0.415464151655979</v>
      </c>
      <c r="T94" s="50">
        <v>0.78216431037608203</v>
      </c>
      <c r="U94" s="6">
        <v>26</v>
      </c>
      <c r="V94" s="6">
        <v>2</v>
      </c>
      <c r="W94" s="56"/>
      <c r="X94" s="6"/>
      <c r="Y94" s="36"/>
      <c r="Z94" s="36"/>
      <c r="AA94" s="7"/>
    </row>
    <row r="95" spans="1:27" ht="18" customHeight="1" x14ac:dyDescent="0.15">
      <c r="A95" s="5" t="s">
        <v>1767</v>
      </c>
      <c r="B95" s="6" t="s">
        <v>1684</v>
      </c>
      <c r="C95" s="6" t="s">
        <v>1768</v>
      </c>
      <c r="D95" s="6" t="s">
        <v>17</v>
      </c>
      <c r="E95" s="6" t="s">
        <v>135</v>
      </c>
      <c r="F95" s="6"/>
      <c r="G95" s="6"/>
      <c r="H95" s="6"/>
      <c r="I95" s="6"/>
      <c r="J95" s="6"/>
      <c r="K95" s="6"/>
      <c r="L95" s="6"/>
      <c r="M95" s="36"/>
      <c r="N95" s="6"/>
      <c r="O95" s="6"/>
      <c r="P95" s="6"/>
      <c r="Q95" s="6"/>
      <c r="R95" s="6" t="s">
        <v>1778</v>
      </c>
      <c r="S95" s="50">
        <v>0.83402654225547701</v>
      </c>
      <c r="T95" s="50">
        <v>0.945230081222874</v>
      </c>
      <c r="U95" s="6">
        <v>15</v>
      </c>
      <c r="V95" s="6">
        <v>2</v>
      </c>
      <c r="W95" s="56"/>
      <c r="X95" s="6"/>
      <c r="Y95" s="36"/>
      <c r="Z95" s="36"/>
      <c r="AA95" s="7"/>
    </row>
    <row r="96" spans="1:27" ht="18" customHeight="1" x14ac:dyDescent="0.15">
      <c r="A96" s="5" t="s">
        <v>1767</v>
      </c>
      <c r="B96" s="6" t="s">
        <v>1684</v>
      </c>
      <c r="C96" s="6" t="s">
        <v>1768</v>
      </c>
      <c r="D96" s="6" t="s">
        <v>17</v>
      </c>
      <c r="E96" s="6" t="s">
        <v>55</v>
      </c>
      <c r="F96" s="6"/>
      <c r="G96" s="6"/>
      <c r="H96" s="6"/>
      <c r="I96" s="6"/>
      <c r="J96" s="6"/>
      <c r="K96" s="6"/>
      <c r="L96" s="6"/>
      <c r="M96" s="36"/>
      <c r="N96" s="6"/>
      <c r="O96" s="6"/>
      <c r="P96" s="6"/>
      <c r="Q96" s="6"/>
      <c r="R96" s="6" t="s">
        <v>1779</v>
      </c>
      <c r="S96" s="50">
        <v>0.77646103967315705</v>
      </c>
      <c r="T96" s="50">
        <v>0.945230081222874</v>
      </c>
      <c r="U96" s="6">
        <v>21</v>
      </c>
      <c r="V96" s="6">
        <v>2</v>
      </c>
      <c r="W96" s="56"/>
      <c r="X96" s="6"/>
      <c r="Y96" s="36"/>
      <c r="Z96" s="36"/>
      <c r="AA96" s="7"/>
    </row>
    <row r="97" spans="1:27" ht="18" customHeight="1" x14ac:dyDescent="0.15">
      <c r="A97" s="5" t="s">
        <v>1767</v>
      </c>
      <c r="B97" s="6" t="s">
        <v>1684</v>
      </c>
      <c r="C97" s="6" t="s">
        <v>1768</v>
      </c>
      <c r="D97" s="6" t="s">
        <v>17</v>
      </c>
      <c r="E97" s="6" t="s">
        <v>70</v>
      </c>
      <c r="F97" s="6"/>
      <c r="G97" s="6"/>
      <c r="H97" s="6"/>
      <c r="I97" s="6"/>
      <c r="J97" s="6"/>
      <c r="K97" s="6"/>
      <c r="L97" s="6"/>
      <c r="M97" s="36"/>
      <c r="N97" s="6"/>
      <c r="O97" s="6"/>
      <c r="P97" s="6"/>
      <c r="Q97" s="6"/>
      <c r="R97" s="6" t="s">
        <v>1780</v>
      </c>
      <c r="S97" s="50">
        <v>0.30309257074354901</v>
      </c>
      <c r="T97" s="50">
        <v>0.78216431037608203</v>
      </c>
      <c r="U97" s="6">
        <v>25</v>
      </c>
      <c r="V97" s="6">
        <v>2</v>
      </c>
      <c r="W97" s="56"/>
      <c r="X97" s="6"/>
      <c r="Y97" s="36"/>
      <c r="Z97" s="36"/>
      <c r="AA97" s="7"/>
    </row>
    <row r="98" spans="1:27" ht="18" customHeight="1" x14ac:dyDescent="0.15">
      <c r="A98" s="5" t="s">
        <v>1767</v>
      </c>
      <c r="B98" s="6" t="s">
        <v>1684</v>
      </c>
      <c r="C98" s="6" t="s">
        <v>1768</v>
      </c>
      <c r="D98" s="6" t="s">
        <v>17</v>
      </c>
      <c r="E98" s="6" t="s">
        <v>173</v>
      </c>
      <c r="F98" s="6"/>
      <c r="G98" s="6"/>
      <c r="H98" s="6"/>
      <c r="I98" s="6"/>
      <c r="J98" s="6"/>
      <c r="K98" s="6"/>
      <c r="L98" s="6"/>
      <c r="M98" s="36"/>
      <c r="N98" s="6"/>
      <c r="O98" s="6"/>
      <c r="P98" s="6"/>
      <c r="Q98" s="6"/>
      <c r="R98" s="6" t="s">
        <v>1781</v>
      </c>
      <c r="S98" s="50">
        <v>0.96566612330931201</v>
      </c>
      <c r="T98" s="50">
        <v>0.96566612330931201</v>
      </c>
      <c r="U98" s="6">
        <v>22</v>
      </c>
      <c r="V98" s="6">
        <v>2</v>
      </c>
      <c r="W98" s="56"/>
      <c r="X98" s="6"/>
      <c r="Y98" s="36"/>
      <c r="Z98" s="36"/>
      <c r="AA98" s="7"/>
    </row>
    <row r="99" spans="1:27" ht="18" customHeight="1" x14ac:dyDescent="0.15">
      <c r="A99" s="5" t="s">
        <v>1767</v>
      </c>
      <c r="B99" s="6" t="s">
        <v>1684</v>
      </c>
      <c r="C99" s="6" t="s">
        <v>1768</v>
      </c>
      <c r="D99" s="6" t="s">
        <v>17</v>
      </c>
      <c r="E99" s="6" t="s">
        <v>100</v>
      </c>
      <c r="F99" s="6"/>
      <c r="G99" s="6"/>
      <c r="H99" s="6"/>
      <c r="I99" s="6"/>
      <c r="J99" s="6"/>
      <c r="K99" s="6"/>
      <c r="L99" s="6"/>
      <c r="M99" s="36"/>
      <c r="N99" s="6"/>
      <c r="O99" s="6"/>
      <c r="P99" s="6"/>
      <c r="Q99" s="6"/>
      <c r="R99" s="6" t="s">
        <v>1782</v>
      </c>
      <c r="S99" s="50">
        <v>0.92979031855923</v>
      </c>
      <c r="T99" s="50">
        <v>0.96566612330931201</v>
      </c>
      <c r="U99" s="6">
        <v>26</v>
      </c>
      <c r="V99" s="6">
        <v>2</v>
      </c>
      <c r="W99" s="56"/>
      <c r="X99" s="6"/>
      <c r="Y99" s="36"/>
      <c r="Z99" s="36"/>
      <c r="AA99" s="7"/>
    </row>
    <row r="100" spans="1:27" ht="18" customHeight="1" x14ac:dyDescent="0.15">
      <c r="A100" s="5" t="s">
        <v>1767</v>
      </c>
      <c r="B100" s="6" t="s">
        <v>1684</v>
      </c>
      <c r="C100" s="6" t="s">
        <v>1768</v>
      </c>
      <c r="D100" s="6" t="s">
        <v>17</v>
      </c>
      <c r="E100" s="6" t="s">
        <v>90</v>
      </c>
      <c r="F100" s="6"/>
      <c r="G100" s="6"/>
      <c r="H100" s="6"/>
      <c r="I100" s="6"/>
      <c r="J100" s="6"/>
      <c r="K100" s="6"/>
      <c r="L100" s="6"/>
      <c r="M100" s="36"/>
      <c r="N100" s="6"/>
      <c r="O100" s="6"/>
      <c r="P100" s="6"/>
      <c r="Q100" s="6"/>
      <c r="R100" s="6" t="s">
        <v>1783</v>
      </c>
      <c r="S100" s="50">
        <v>0.45959934485367598</v>
      </c>
      <c r="T100" s="50">
        <v>0.78216431037608203</v>
      </c>
      <c r="U100" s="6">
        <v>25</v>
      </c>
      <c r="V100" s="6">
        <v>2</v>
      </c>
      <c r="W100" s="56"/>
      <c r="X100" s="6"/>
      <c r="Y100" s="36"/>
      <c r="Z100" s="36"/>
      <c r="AA100" s="7"/>
    </row>
    <row r="101" spans="1:27" ht="18" customHeight="1" x14ac:dyDescent="0.15">
      <c r="A101" s="5" t="s">
        <v>1767</v>
      </c>
      <c r="B101" s="6" t="s">
        <v>1684</v>
      </c>
      <c r="C101" s="6" t="s">
        <v>1768</v>
      </c>
      <c r="D101" s="6" t="s">
        <v>17</v>
      </c>
      <c r="E101" s="6" t="s">
        <v>119</v>
      </c>
      <c r="F101" s="6"/>
      <c r="G101" s="6"/>
      <c r="H101" s="6"/>
      <c r="I101" s="6"/>
      <c r="J101" s="6"/>
      <c r="K101" s="6"/>
      <c r="L101" s="6"/>
      <c r="M101" s="36"/>
      <c r="N101" s="6"/>
      <c r="O101" s="6"/>
      <c r="P101" s="6"/>
      <c r="Q101" s="6"/>
      <c r="R101" s="6" t="s">
        <v>1784</v>
      </c>
      <c r="S101" s="50">
        <v>0.50610631847864096</v>
      </c>
      <c r="T101" s="50">
        <v>0.78216431037608203</v>
      </c>
      <c r="U101" s="6">
        <v>24</v>
      </c>
      <c r="V101" s="6">
        <v>2</v>
      </c>
      <c r="W101" s="56"/>
      <c r="X101" s="6"/>
      <c r="Y101" s="36"/>
      <c r="Z101" s="36"/>
      <c r="AA101" s="7"/>
    </row>
    <row r="102" spans="1:27" ht="18" customHeight="1" x14ac:dyDescent="0.15">
      <c r="A102" s="5" t="s">
        <v>1767</v>
      </c>
      <c r="B102" s="6" t="s">
        <v>1684</v>
      </c>
      <c r="C102" s="6" t="s">
        <v>1768</v>
      </c>
      <c r="D102" s="6" t="s">
        <v>17</v>
      </c>
      <c r="E102" s="6" t="s">
        <v>141</v>
      </c>
      <c r="F102" s="6"/>
      <c r="G102" s="6"/>
      <c r="H102" s="6"/>
      <c r="I102" s="6"/>
      <c r="J102" s="6"/>
      <c r="K102" s="6"/>
      <c r="L102" s="6"/>
      <c r="M102" s="36"/>
      <c r="N102" s="6"/>
      <c r="O102" s="6"/>
      <c r="P102" s="6"/>
      <c r="Q102" s="6"/>
      <c r="R102" s="6" t="s">
        <v>1785</v>
      </c>
      <c r="S102" s="50">
        <v>2.9591449324323999E-3</v>
      </c>
      <c r="T102" s="50">
        <v>5.0305463851350998E-2</v>
      </c>
      <c r="U102" s="6">
        <v>26</v>
      </c>
      <c r="V102" s="6">
        <v>2</v>
      </c>
      <c r="W102" s="56"/>
      <c r="X102" s="6"/>
      <c r="Y102" s="36"/>
      <c r="Z102" s="36"/>
      <c r="AA102" s="7"/>
    </row>
    <row r="103" spans="1:27" ht="18" customHeight="1" x14ac:dyDescent="0.15">
      <c r="A103" s="5" t="s">
        <v>1786</v>
      </c>
      <c r="B103" s="6" t="s">
        <v>1684</v>
      </c>
      <c r="C103" s="6" t="s">
        <v>20</v>
      </c>
      <c r="D103" s="6" t="s">
        <v>17</v>
      </c>
      <c r="E103" s="6" t="s">
        <v>80</v>
      </c>
      <c r="F103" s="6"/>
      <c r="G103" s="6"/>
      <c r="H103" s="6"/>
      <c r="I103" s="6"/>
      <c r="J103" s="6"/>
      <c r="K103" s="6"/>
      <c r="L103" s="6"/>
      <c r="M103" s="36"/>
      <c r="N103" s="6"/>
      <c r="O103" s="6"/>
      <c r="P103" s="6"/>
      <c r="Q103" s="6"/>
      <c r="R103" s="6"/>
      <c r="S103" s="6"/>
      <c r="T103" s="6"/>
      <c r="U103" s="6"/>
      <c r="V103" s="6"/>
      <c r="W103" s="57">
        <v>12</v>
      </c>
      <c r="X103" s="50">
        <v>6.4900000000000001E-3</v>
      </c>
      <c r="Y103" s="36">
        <v>1.2</v>
      </c>
      <c r="Z103" s="36">
        <v>0.83299999999999996</v>
      </c>
      <c r="AA103" s="7">
        <v>0.8</v>
      </c>
    </row>
    <row r="104" spans="1:27" ht="18" customHeight="1" x14ac:dyDescent="0.15">
      <c r="A104" s="5" t="s">
        <v>1786</v>
      </c>
      <c r="B104" s="6" t="s">
        <v>1684</v>
      </c>
      <c r="C104" s="6" t="s">
        <v>20</v>
      </c>
      <c r="D104" s="6" t="s">
        <v>17</v>
      </c>
      <c r="E104" s="6" t="s">
        <v>59</v>
      </c>
      <c r="F104" s="6"/>
      <c r="G104" s="6"/>
      <c r="H104" s="6"/>
      <c r="I104" s="6"/>
      <c r="J104" s="6"/>
      <c r="K104" s="6"/>
      <c r="L104" s="6"/>
      <c r="M104" s="36"/>
      <c r="N104" s="6"/>
      <c r="O104" s="6"/>
      <c r="P104" s="6"/>
      <c r="Q104" s="6"/>
      <c r="R104" s="6"/>
      <c r="S104" s="6"/>
      <c r="T104" s="6"/>
      <c r="U104" s="6"/>
      <c r="V104" s="6"/>
      <c r="W104" s="57">
        <v>12</v>
      </c>
      <c r="X104" s="50">
        <v>6.13E-3</v>
      </c>
      <c r="Y104" s="36">
        <v>1.2330000000000001</v>
      </c>
      <c r="Z104" s="36">
        <v>0.81100000000000005</v>
      </c>
      <c r="AA104" s="7">
        <v>0.8</v>
      </c>
    </row>
    <row r="105" spans="1:27" ht="18" customHeight="1" x14ac:dyDescent="0.15">
      <c r="A105" s="5" t="s">
        <v>1786</v>
      </c>
      <c r="B105" s="6" t="s">
        <v>1684</v>
      </c>
      <c r="C105" s="6" t="s">
        <v>20</v>
      </c>
      <c r="D105" s="6" t="s">
        <v>17</v>
      </c>
      <c r="E105" s="6" t="s">
        <v>70</v>
      </c>
      <c r="F105" s="6"/>
      <c r="G105" s="6"/>
      <c r="H105" s="6"/>
      <c r="I105" s="6"/>
      <c r="J105" s="6"/>
      <c r="K105" s="6"/>
      <c r="L105" s="6"/>
      <c r="M105" s="36"/>
      <c r="N105" s="6"/>
      <c r="O105" s="6"/>
      <c r="P105" s="6"/>
      <c r="Q105" s="6"/>
      <c r="R105" s="6"/>
      <c r="S105" s="6"/>
      <c r="T105" s="6"/>
      <c r="U105" s="6"/>
      <c r="V105" s="6"/>
      <c r="W105" s="57">
        <v>13</v>
      </c>
      <c r="X105" s="50">
        <v>7.0099999999999997E-3</v>
      </c>
      <c r="Y105" s="36">
        <v>1.105</v>
      </c>
      <c r="Z105" s="36">
        <v>0.90500000000000003</v>
      </c>
      <c r="AA105" s="7">
        <v>0.8</v>
      </c>
    </row>
    <row r="106" spans="1:27" ht="18" customHeight="1" x14ac:dyDescent="0.15">
      <c r="A106" s="5" t="s">
        <v>1786</v>
      </c>
      <c r="B106" s="6" t="s">
        <v>1684</v>
      </c>
      <c r="C106" s="6" t="s">
        <v>20</v>
      </c>
      <c r="D106" s="6" t="s">
        <v>17</v>
      </c>
      <c r="E106" s="6" t="s">
        <v>90</v>
      </c>
      <c r="F106" s="6"/>
      <c r="G106" s="6"/>
      <c r="H106" s="6"/>
      <c r="I106" s="6"/>
      <c r="J106" s="6"/>
      <c r="K106" s="6"/>
      <c r="L106" s="6"/>
      <c r="M106" s="36"/>
      <c r="N106" s="6"/>
      <c r="O106" s="6"/>
      <c r="P106" s="6"/>
      <c r="Q106" s="6"/>
      <c r="R106" s="6"/>
      <c r="S106" s="6"/>
      <c r="T106" s="6"/>
      <c r="U106" s="6"/>
      <c r="V106" s="6"/>
      <c r="W106" s="57">
        <v>13</v>
      </c>
      <c r="X106" s="50">
        <v>7.0099999999999997E-3</v>
      </c>
      <c r="Y106" s="36">
        <v>1.359</v>
      </c>
      <c r="Z106" s="36">
        <v>0.73599999999999999</v>
      </c>
      <c r="AA106" s="7">
        <v>0.8</v>
      </c>
    </row>
    <row r="107" spans="1:27" ht="18" customHeight="1" x14ac:dyDescent="0.15">
      <c r="A107" s="5" t="s">
        <v>1786</v>
      </c>
      <c r="B107" s="6" t="s">
        <v>1684</v>
      </c>
      <c r="C107" s="6" t="s">
        <v>20</v>
      </c>
      <c r="D107" s="6" t="s">
        <v>17</v>
      </c>
      <c r="E107" s="6" t="s">
        <v>109</v>
      </c>
      <c r="F107" s="6"/>
      <c r="G107" s="6"/>
      <c r="H107" s="6"/>
      <c r="I107" s="6"/>
      <c r="J107" s="6"/>
      <c r="K107" s="6"/>
      <c r="L107" s="6"/>
      <c r="M107" s="36"/>
      <c r="N107" s="6"/>
      <c r="O107" s="6"/>
      <c r="P107" s="6"/>
      <c r="Q107" s="6"/>
      <c r="R107" s="6"/>
      <c r="S107" s="6"/>
      <c r="T107" s="6"/>
      <c r="U107" s="6"/>
      <c r="V107" s="6"/>
      <c r="W107" s="57">
        <v>9</v>
      </c>
      <c r="X107" s="50">
        <v>4.9199999999999999E-3</v>
      </c>
      <c r="Y107" s="36">
        <v>1.133</v>
      </c>
      <c r="Z107" s="36">
        <v>0.88300000000000001</v>
      </c>
      <c r="AA107" s="7">
        <v>0.8</v>
      </c>
    </row>
    <row r="108" spans="1:27" ht="18" customHeight="1" x14ac:dyDescent="0.15">
      <c r="A108" s="5" t="s">
        <v>1786</v>
      </c>
      <c r="B108" s="6" t="s">
        <v>1684</v>
      </c>
      <c r="C108" s="6" t="s">
        <v>20</v>
      </c>
      <c r="D108" s="6" t="s">
        <v>17</v>
      </c>
      <c r="E108" s="6" t="s">
        <v>141</v>
      </c>
      <c r="F108" s="6"/>
      <c r="G108" s="6"/>
      <c r="H108" s="6"/>
      <c r="I108" s="6"/>
      <c r="J108" s="6"/>
      <c r="K108" s="6"/>
      <c r="L108" s="6"/>
      <c r="M108" s="36"/>
      <c r="N108" s="6"/>
      <c r="O108" s="6"/>
      <c r="P108" s="6"/>
      <c r="Q108" s="6"/>
      <c r="R108" s="6"/>
      <c r="S108" s="6"/>
      <c r="T108" s="6"/>
      <c r="U108" s="6"/>
      <c r="V108" s="6"/>
      <c r="W108" s="57">
        <v>13</v>
      </c>
      <c r="X108" s="50">
        <v>7.0099999999999997E-3</v>
      </c>
      <c r="Y108" s="36">
        <v>1.504</v>
      </c>
      <c r="Z108" s="36">
        <v>0.66500000000000004</v>
      </c>
      <c r="AA108" s="7">
        <v>0.8</v>
      </c>
    </row>
    <row r="109" spans="1:27" ht="18" customHeight="1" x14ac:dyDescent="0.15">
      <c r="A109" s="5" t="s">
        <v>1786</v>
      </c>
      <c r="B109" s="6" t="s">
        <v>1684</v>
      </c>
      <c r="C109" s="6" t="s">
        <v>20</v>
      </c>
      <c r="D109" s="6" t="s">
        <v>17</v>
      </c>
      <c r="E109" s="6" t="s">
        <v>135</v>
      </c>
      <c r="F109" s="6"/>
      <c r="G109" s="6"/>
      <c r="H109" s="6"/>
      <c r="I109" s="6"/>
      <c r="J109" s="6"/>
      <c r="K109" s="6"/>
      <c r="L109" s="6"/>
      <c r="M109" s="36"/>
      <c r="N109" s="6"/>
      <c r="O109" s="6"/>
      <c r="P109" s="6"/>
      <c r="Q109" s="6"/>
      <c r="R109" s="6"/>
      <c r="S109" s="6"/>
      <c r="T109" s="6"/>
      <c r="U109" s="6"/>
      <c r="V109" s="6"/>
      <c r="W109" s="57">
        <v>13</v>
      </c>
      <c r="X109" s="50">
        <v>7.0099999999999997E-3</v>
      </c>
      <c r="Y109" s="36">
        <v>1.282</v>
      </c>
      <c r="Z109" s="36">
        <v>0.78</v>
      </c>
      <c r="AA109" s="7">
        <v>0.8</v>
      </c>
    </row>
    <row r="110" spans="1:27" ht="18" customHeight="1" x14ac:dyDescent="0.15">
      <c r="A110" s="5" t="s">
        <v>1786</v>
      </c>
      <c r="B110" s="6" t="s">
        <v>1684</v>
      </c>
      <c r="C110" s="6" t="s">
        <v>20</v>
      </c>
      <c r="D110" s="6" t="s">
        <v>17</v>
      </c>
      <c r="E110" s="6" t="s">
        <v>34</v>
      </c>
      <c r="F110" s="6"/>
      <c r="G110" s="6"/>
      <c r="H110" s="6"/>
      <c r="I110" s="6"/>
      <c r="J110" s="6"/>
      <c r="K110" s="6"/>
      <c r="L110" s="6"/>
      <c r="M110" s="36"/>
      <c r="N110" s="6"/>
      <c r="O110" s="6"/>
      <c r="P110" s="6"/>
      <c r="Q110" s="6"/>
      <c r="R110" s="6"/>
      <c r="S110" s="6"/>
      <c r="T110" s="6"/>
      <c r="U110" s="6"/>
      <c r="V110" s="6"/>
      <c r="W110" s="57">
        <v>13</v>
      </c>
      <c r="X110" s="50">
        <v>7.0099999999999997E-3</v>
      </c>
      <c r="Y110" s="36">
        <v>1.302</v>
      </c>
      <c r="Z110" s="36">
        <v>0.76800000000000002</v>
      </c>
      <c r="AA110" s="7">
        <v>0.8</v>
      </c>
    </row>
    <row r="111" spans="1:27" ht="18" customHeight="1" x14ac:dyDescent="0.15">
      <c r="A111" s="5" t="s">
        <v>1786</v>
      </c>
      <c r="B111" s="6" t="s">
        <v>1684</v>
      </c>
      <c r="C111" s="6" t="s">
        <v>20</v>
      </c>
      <c r="D111" s="6" t="s">
        <v>17</v>
      </c>
      <c r="E111" s="6" t="s">
        <v>45</v>
      </c>
      <c r="F111" s="6"/>
      <c r="G111" s="6"/>
      <c r="H111" s="6"/>
      <c r="I111" s="6"/>
      <c r="J111" s="6"/>
      <c r="K111" s="6"/>
      <c r="L111" s="6"/>
      <c r="M111" s="36"/>
      <c r="N111" s="6"/>
      <c r="O111" s="6"/>
      <c r="P111" s="6"/>
      <c r="Q111" s="6"/>
      <c r="R111" s="6"/>
      <c r="S111" s="6"/>
      <c r="T111" s="6"/>
      <c r="U111" s="6"/>
      <c r="V111" s="6"/>
      <c r="W111" s="57">
        <v>9</v>
      </c>
      <c r="X111" s="50">
        <v>4.9899999999999996E-3</v>
      </c>
      <c r="Y111" s="36">
        <v>1.165</v>
      </c>
      <c r="Z111" s="36">
        <v>0.85799999999999998</v>
      </c>
      <c r="AA111" s="7">
        <v>0.8</v>
      </c>
    </row>
    <row r="112" spans="1:27" ht="18" customHeight="1" x14ac:dyDescent="0.15">
      <c r="A112" s="5" t="s">
        <v>1786</v>
      </c>
      <c r="B112" s="6" t="s">
        <v>1684</v>
      </c>
      <c r="C112" s="6" t="s">
        <v>20</v>
      </c>
      <c r="D112" s="6" t="s">
        <v>17</v>
      </c>
      <c r="E112" s="6" t="s">
        <v>181</v>
      </c>
      <c r="F112" s="6"/>
      <c r="G112" s="6"/>
      <c r="H112" s="6"/>
      <c r="I112" s="6"/>
      <c r="J112" s="6"/>
      <c r="K112" s="6"/>
      <c r="L112" s="6"/>
      <c r="M112" s="36"/>
      <c r="N112" s="6"/>
      <c r="O112" s="6"/>
      <c r="P112" s="6"/>
      <c r="Q112" s="6"/>
      <c r="R112" s="6"/>
      <c r="S112" s="6"/>
      <c r="T112" s="6"/>
      <c r="U112" s="6"/>
      <c r="V112" s="6"/>
      <c r="W112" s="57">
        <v>13</v>
      </c>
      <c r="X112" s="50">
        <v>7.0099999999999997E-3</v>
      </c>
      <c r="Y112" s="36">
        <v>1.2809999999999999</v>
      </c>
      <c r="Z112" s="36">
        <v>0.78100000000000003</v>
      </c>
      <c r="AA112" s="7">
        <v>0.8</v>
      </c>
    </row>
    <row r="113" spans="1:27" ht="18" customHeight="1" x14ac:dyDescent="0.15">
      <c r="A113" s="5" t="s">
        <v>1786</v>
      </c>
      <c r="B113" s="6" t="s">
        <v>1684</v>
      </c>
      <c r="C113" s="6" t="s">
        <v>20</v>
      </c>
      <c r="D113" s="6" t="s">
        <v>17</v>
      </c>
      <c r="E113" s="6" t="s">
        <v>165</v>
      </c>
      <c r="F113" s="6"/>
      <c r="G113" s="6"/>
      <c r="H113" s="6"/>
      <c r="I113" s="6"/>
      <c r="J113" s="6"/>
      <c r="K113" s="6"/>
      <c r="L113" s="6"/>
      <c r="M113" s="36"/>
      <c r="N113" s="6"/>
      <c r="O113" s="6"/>
      <c r="P113" s="6"/>
      <c r="Q113" s="6"/>
      <c r="R113" s="6"/>
      <c r="S113" s="6"/>
      <c r="T113" s="6"/>
      <c r="U113" s="6"/>
      <c r="V113" s="6"/>
      <c r="W113" s="57">
        <v>13</v>
      </c>
      <c r="X113" s="50">
        <v>7.0099999999999997E-3</v>
      </c>
      <c r="Y113" s="36">
        <v>1.419</v>
      </c>
      <c r="Z113" s="36">
        <v>0.70499999999999996</v>
      </c>
      <c r="AA113" s="7">
        <v>0.8</v>
      </c>
    </row>
    <row r="114" spans="1:27" ht="18" customHeight="1" x14ac:dyDescent="0.15">
      <c r="A114" s="5" t="s">
        <v>1786</v>
      </c>
      <c r="B114" s="6" t="s">
        <v>1684</v>
      </c>
      <c r="C114" s="6" t="s">
        <v>20</v>
      </c>
      <c r="D114" s="6" t="s">
        <v>17</v>
      </c>
      <c r="E114" s="6" t="s">
        <v>119</v>
      </c>
      <c r="F114" s="6"/>
      <c r="G114" s="6"/>
      <c r="H114" s="6"/>
      <c r="I114" s="6"/>
      <c r="J114" s="6"/>
      <c r="K114" s="6"/>
      <c r="L114" s="6"/>
      <c r="M114" s="36"/>
      <c r="N114" s="6"/>
      <c r="O114" s="6"/>
      <c r="P114" s="6"/>
      <c r="Q114" s="6"/>
      <c r="R114" s="6"/>
      <c r="S114" s="6"/>
      <c r="T114" s="6"/>
      <c r="U114" s="6"/>
      <c r="V114" s="6"/>
      <c r="W114" s="57">
        <v>12</v>
      </c>
      <c r="X114" s="50">
        <v>6.5399999999999998E-3</v>
      </c>
      <c r="Y114" s="36">
        <v>1.714</v>
      </c>
      <c r="Z114" s="36">
        <v>0.58299999999999996</v>
      </c>
      <c r="AA114" s="7">
        <v>0.8</v>
      </c>
    </row>
    <row r="115" spans="1:27" ht="18" customHeight="1" x14ac:dyDescent="0.15">
      <c r="A115" s="5" t="s">
        <v>1786</v>
      </c>
      <c r="B115" s="6" t="s">
        <v>1684</v>
      </c>
      <c r="C115" s="6" t="s">
        <v>20</v>
      </c>
      <c r="D115" s="6" t="s">
        <v>17</v>
      </c>
      <c r="E115" s="6" t="s">
        <v>158</v>
      </c>
      <c r="F115" s="6"/>
      <c r="G115" s="6"/>
      <c r="H115" s="6"/>
      <c r="I115" s="6"/>
      <c r="J115" s="6"/>
      <c r="K115" s="6"/>
      <c r="L115" s="6"/>
      <c r="M115" s="36"/>
      <c r="N115" s="6"/>
      <c r="O115" s="6"/>
      <c r="P115" s="6"/>
      <c r="Q115" s="6"/>
      <c r="R115" s="6"/>
      <c r="S115" s="6"/>
      <c r="T115" s="6"/>
      <c r="U115" s="6"/>
      <c r="V115" s="6"/>
      <c r="W115" s="57">
        <v>13</v>
      </c>
      <c r="X115" s="50">
        <v>7.0099999999999997E-3</v>
      </c>
      <c r="Y115" s="36">
        <v>1.206</v>
      </c>
      <c r="Z115" s="36">
        <v>0.83</v>
      </c>
      <c r="AA115" s="7">
        <v>0.8</v>
      </c>
    </row>
    <row r="116" spans="1:27" ht="18" customHeight="1" x14ac:dyDescent="0.15">
      <c r="A116" s="5" t="s">
        <v>1786</v>
      </c>
      <c r="B116" s="6" t="s">
        <v>1684</v>
      </c>
      <c r="C116" s="6" t="s">
        <v>20</v>
      </c>
      <c r="D116" s="6" t="s">
        <v>17</v>
      </c>
      <c r="E116" s="6" t="s">
        <v>100</v>
      </c>
      <c r="F116" s="6"/>
      <c r="G116" s="6"/>
      <c r="H116" s="6"/>
      <c r="I116" s="6"/>
      <c r="J116" s="6"/>
      <c r="K116" s="6"/>
      <c r="L116" s="6"/>
      <c r="M116" s="36"/>
      <c r="N116" s="6"/>
      <c r="O116" s="6"/>
      <c r="P116" s="6"/>
      <c r="Q116" s="6"/>
      <c r="R116" s="6"/>
      <c r="S116" s="6"/>
      <c r="T116" s="6"/>
      <c r="U116" s="6"/>
      <c r="V116" s="6"/>
      <c r="W116" s="57">
        <v>13</v>
      </c>
      <c r="X116" s="50">
        <v>7.0099999999999997E-3</v>
      </c>
      <c r="Y116" s="36">
        <v>1.175</v>
      </c>
      <c r="Z116" s="36">
        <v>0.85099999999999998</v>
      </c>
      <c r="AA116" s="7">
        <v>0.8</v>
      </c>
    </row>
    <row r="117" spans="1:27" ht="18" customHeight="1" x14ac:dyDescent="0.15">
      <c r="A117" s="5" t="s">
        <v>1786</v>
      </c>
      <c r="B117" s="6" t="s">
        <v>1684</v>
      </c>
      <c r="C117" s="6" t="s">
        <v>20</v>
      </c>
      <c r="D117" s="6" t="s">
        <v>17</v>
      </c>
      <c r="E117" s="6" t="s">
        <v>150</v>
      </c>
      <c r="F117" s="6"/>
      <c r="G117" s="6"/>
      <c r="H117" s="6"/>
      <c r="I117" s="6"/>
      <c r="J117" s="6"/>
      <c r="K117" s="6"/>
      <c r="L117" s="6"/>
      <c r="M117" s="36"/>
      <c r="N117" s="6"/>
      <c r="O117" s="6"/>
      <c r="P117" s="6"/>
      <c r="Q117" s="6"/>
      <c r="R117" s="6"/>
      <c r="S117" s="6"/>
      <c r="T117" s="6"/>
      <c r="U117" s="6"/>
      <c r="V117" s="6"/>
      <c r="W117" s="57">
        <v>13</v>
      </c>
      <c r="X117" s="50">
        <v>7.0099999999999997E-3</v>
      </c>
      <c r="Y117" s="36">
        <v>1.097</v>
      </c>
      <c r="Z117" s="36">
        <v>0.91200000000000003</v>
      </c>
      <c r="AA117" s="7">
        <v>0.8</v>
      </c>
    </row>
    <row r="118" spans="1:27" ht="18" customHeight="1" x14ac:dyDescent="0.15">
      <c r="A118" s="5" t="s">
        <v>1786</v>
      </c>
      <c r="B118" s="6" t="s">
        <v>1684</v>
      </c>
      <c r="C118" s="6" t="s">
        <v>20</v>
      </c>
      <c r="D118" s="6" t="s">
        <v>17</v>
      </c>
      <c r="E118" s="6" t="s">
        <v>173</v>
      </c>
      <c r="F118" s="6"/>
      <c r="G118" s="6"/>
      <c r="H118" s="6"/>
      <c r="I118" s="6"/>
      <c r="J118" s="6"/>
      <c r="K118" s="6"/>
      <c r="L118" s="6"/>
      <c r="M118" s="36"/>
      <c r="N118" s="6"/>
      <c r="O118" s="6"/>
      <c r="P118" s="6"/>
      <c r="Q118" s="6"/>
      <c r="R118" s="6"/>
      <c r="S118" s="6"/>
      <c r="T118" s="6"/>
      <c r="U118" s="6"/>
      <c r="V118" s="6"/>
      <c r="W118" s="57">
        <v>11</v>
      </c>
      <c r="X118" s="50">
        <v>6.0200000000000002E-3</v>
      </c>
      <c r="Y118" s="36">
        <v>1.21</v>
      </c>
      <c r="Z118" s="36">
        <v>0.82599999999999996</v>
      </c>
      <c r="AA118" s="7">
        <v>0.8</v>
      </c>
    </row>
    <row r="119" spans="1:27" ht="18" customHeight="1" x14ac:dyDescent="0.15">
      <c r="A119" s="5" t="s">
        <v>1786</v>
      </c>
      <c r="B119" s="6" t="s">
        <v>1684</v>
      </c>
      <c r="C119" s="6" t="s">
        <v>20</v>
      </c>
      <c r="D119" s="6" t="s">
        <v>17</v>
      </c>
      <c r="E119" s="6" t="s">
        <v>189</v>
      </c>
      <c r="F119" s="6"/>
      <c r="G119" s="6"/>
      <c r="H119" s="6"/>
      <c r="I119" s="6"/>
      <c r="J119" s="6"/>
      <c r="K119" s="6"/>
      <c r="L119" s="6"/>
      <c r="M119" s="36"/>
      <c r="N119" s="6"/>
      <c r="O119" s="6"/>
      <c r="P119" s="6"/>
      <c r="Q119" s="6"/>
      <c r="R119" s="6"/>
      <c r="S119" s="6"/>
      <c r="T119" s="6"/>
      <c r="U119" s="6"/>
      <c r="V119" s="6"/>
      <c r="W119" s="57">
        <v>12</v>
      </c>
      <c r="X119" s="50">
        <v>6.5399999999999998E-3</v>
      </c>
      <c r="Y119" s="36">
        <v>1.734</v>
      </c>
      <c r="Z119" s="36">
        <v>0.57699999999999996</v>
      </c>
      <c r="AA119" s="7">
        <v>0.8</v>
      </c>
    </row>
    <row r="120" spans="1:27" ht="109.5" customHeight="1" x14ac:dyDescent="0.15">
      <c r="A120" s="79" t="s">
        <v>1786</v>
      </c>
      <c r="B120" s="74"/>
      <c r="C120" s="74"/>
      <c r="D120" s="74"/>
      <c r="E120" s="74"/>
      <c r="F120" s="74"/>
      <c r="G120" s="80"/>
      <c r="H120" s="6"/>
      <c r="I120" s="6"/>
      <c r="J120" s="6"/>
      <c r="K120" s="6"/>
      <c r="L120" s="6"/>
      <c r="M120" s="36"/>
      <c r="N120" s="6"/>
      <c r="O120" s="6"/>
      <c r="P120" s="6"/>
      <c r="Q120" s="6"/>
      <c r="R120" s="6"/>
      <c r="S120" s="6"/>
      <c r="T120" s="6"/>
      <c r="U120" s="6"/>
      <c r="V120" s="6"/>
      <c r="W120" s="57">
        <v>12</v>
      </c>
      <c r="X120" s="50">
        <v>6.4900000000000001E-3</v>
      </c>
      <c r="Y120" s="36">
        <v>1.325</v>
      </c>
      <c r="Z120" s="36">
        <v>0.754</v>
      </c>
      <c r="AA120" s="7">
        <v>0.8</v>
      </c>
    </row>
    <row r="121" spans="1:27" ht="15" x14ac:dyDescent="0.15">
      <c r="A121" s="5" t="s">
        <v>1786</v>
      </c>
      <c r="B121" s="6" t="s">
        <v>1684</v>
      </c>
      <c r="C121" s="6" t="s">
        <v>28</v>
      </c>
      <c r="D121" s="6" t="s">
        <v>17</v>
      </c>
      <c r="E121" s="6" t="s">
        <v>100</v>
      </c>
      <c r="F121" s="6"/>
      <c r="G121" s="6"/>
      <c r="H121" s="6"/>
      <c r="I121" s="6"/>
      <c r="J121" s="6"/>
      <c r="K121" s="6"/>
      <c r="L121" s="6"/>
      <c r="M121" s="36"/>
      <c r="N121" s="6"/>
      <c r="O121" s="6"/>
      <c r="P121" s="6"/>
      <c r="Q121" s="6"/>
      <c r="R121" s="6"/>
      <c r="S121" s="6"/>
      <c r="T121" s="6"/>
      <c r="U121" s="6"/>
      <c r="V121" s="6"/>
      <c r="W121" s="57">
        <v>13</v>
      </c>
      <c r="X121" s="50">
        <v>7.0099999999999997E-3</v>
      </c>
      <c r="Y121" s="36">
        <v>1.3380000000000001</v>
      </c>
      <c r="Z121" s="36">
        <v>0.748</v>
      </c>
      <c r="AA121" s="7">
        <v>0.8</v>
      </c>
    </row>
    <row r="122" spans="1:27" ht="15" x14ac:dyDescent="0.15">
      <c r="A122" s="5" t="s">
        <v>1786</v>
      </c>
      <c r="B122" s="6" t="s">
        <v>1684</v>
      </c>
      <c r="C122" s="6" t="s">
        <v>28</v>
      </c>
      <c r="D122" s="6" t="s">
        <v>17</v>
      </c>
      <c r="E122" s="6" t="s">
        <v>109</v>
      </c>
      <c r="F122" s="6"/>
      <c r="G122" s="6"/>
      <c r="H122" s="6"/>
      <c r="I122" s="6"/>
      <c r="J122" s="6"/>
      <c r="K122" s="6"/>
      <c r="L122" s="6"/>
      <c r="M122" s="36"/>
      <c r="N122" s="6"/>
      <c r="O122" s="6"/>
      <c r="P122" s="6"/>
      <c r="Q122" s="6"/>
      <c r="R122" s="6"/>
      <c r="S122" s="6"/>
      <c r="T122" s="6"/>
      <c r="U122" s="6"/>
      <c r="V122" s="6"/>
      <c r="W122" s="57">
        <v>13</v>
      </c>
      <c r="X122" s="50">
        <v>7.0099999999999997E-3</v>
      </c>
      <c r="Y122" s="36">
        <v>1.2529999999999999</v>
      </c>
      <c r="Z122" s="36">
        <v>0.79800000000000004</v>
      </c>
      <c r="AA122" s="7">
        <v>0.8</v>
      </c>
    </row>
    <row r="123" spans="1:27" ht="15" x14ac:dyDescent="0.15">
      <c r="A123" s="5" t="s">
        <v>1786</v>
      </c>
      <c r="B123" s="6" t="s">
        <v>1684</v>
      </c>
      <c r="C123" s="6" t="s">
        <v>28</v>
      </c>
      <c r="D123" s="6" t="s">
        <v>17</v>
      </c>
      <c r="E123" s="6" t="s">
        <v>90</v>
      </c>
      <c r="F123" s="6"/>
      <c r="G123" s="6"/>
      <c r="H123" s="6"/>
      <c r="I123" s="6"/>
      <c r="J123" s="6"/>
      <c r="K123" s="6"/>
      <c r="L123" s="6"/>
      <c r="M123" s="36"/>
      <c r="N123" s="6"/>
      <c r="O123" s="6"/>
      <c r="P123" s="6"/>
      <c r="Q123" s="6"/>
      <c r="R123" s="6"/>
      <c r="S123" s="6"/>
      <c r="T123" s="6"/>
      <c r="U123" s="6"/>
      <c r="V123" s="6"/>
      <c r="W123" s="57">
        <v>12</v>
      </c>
      <c r="X123" s="50">
        <v>6.5199999999999998E-3</v>
      </c>
      <c r="Y123" s="36">
        <v>1.337</v>
      </c>
      <c r="Z123" s="36">
        <v>0.748</v>
      </c>
      <c r="AA123" s="7">
        <v>0.8</v>
      </c>
    </row>
    <row r="124" spans="1:27" ht="15" x14ac:dyDescent="0.15">
      <c r="A124" s="5" t="s">
        <v>1786</v>
      </c>
      <c r="B124" s="6" t="s">
        <v>1684</v>
      </c>
      <c r="C124" s="6" t="s">
        <v>28</v>
      </c>
      <c r="D124" s="6" t="s">
        <v>17</v>
      </c>
      <c r="E124" s="6" t="s">
        <v>45</v>
      </c>
      <c r="F124" s="6"/>
      <c r="G124" s="6"/>
      <c r="H124" s="6"/>
      <c r="I124" s="6"/>
      <c r="J124" s="6"/>
      <c r="K124" s="6"/>
      <c r="L124" s="6"/>
      <c r="M124" s="36"/>
      <c r="N124" s="6"/>
      <c r="O124" s="6"/>
      <c r="P124" s="6"/>
      <c r="Q124" s="6"/>
      <c r="R124" s="6"/>
      <c r="S124" s="6"/>
      <c r="T124" s="6"/>
      <c r="U124" s="6"/>
      <c r="V124" s="6"/>
      <c r="W124" s="57">
        <v>12</v>
      </c>
      <c r="X124" s="50">
        <v>6.5199999999999998E-3</v>
      </c>
      <c r="Y124" s="36">
        <v>1.133</v>
      </c>
      <c r="Z124" s="36">
        <v>0.88200000000000001</v>
      </c>
      <c r="AA124" s="7">
        <v>0.8</v>
      </c>
    </row>
    <row r="125" spans="1:27" ht="15" x14ac:dyDescent="0.15">
      <c r="A125" s="5" t="s">
        <v>1786</v>
      </c>
      <c r="B125" s="6" t="s">
        <v>1684</v>
      </c>
      <c r="C125" s="6" t="s">
        <v>28</v>
      </c>
      <c r="D125" s="6" t="s">
        <v>17</v>
      </c>
      <c r="E125" s="6" t="s">
        <v>70</v>
      </c>
      <c r="F125" s="6"/>
      <c r="G125" s="6"/>
      <c r="H125" s="6"/>
      <c r="I125" s="6"/>
      <c r="J125" s="6"/>
      <c r="K125" s="6"/>
      <c r="L125" s="6"/>
      <c r="M125" s="36"/>
      <c r="N125" s="6"/>
      <c r="O125" s="6"/>
      <c r="P125" s="6"/>
      <c r="Q125" s="6"/>
      <c r="R125" s="6"/>
      <c r="S125" s="6"/>
      <c r="T125" s="6"/>
      <c r="U125" s="6"/>
      <c r="V125" s="6"/>
      <c r="W125" s="57">
        <v>12</v>
      </c>
      <c r="X125" s="50">
        <v>6.5199999999999998E-3</v>
      </c>
      <c r="Y125" s="36">
        <v>1.28</v>
      </c>
      <c r="Z125" s="36">
        <v>0.78100000000000003</v>
      </c>
      <c r="AA125" s="7">
        <v>0.8</v>
      </c>
    </row>
    <row r="126" spans="1:27" ht="15" x14ac:dyDescent="0.15">
      <c r="A126" s="5" t="s">
        <v>1786</v>
      </c>
      <c r="B126" s="6" t="s">
        <v>1684</v>
      </c>
      <c r="C126" s="6" t="s">
        <v>28</v>
      </c>
      <c r="D126" s="6" t="s">
        <v>17</v>
      </c>
      <c r="E126" s="6" t="s">
        <v>80</v>
      </c>
      <c r="F126" s="6"/>
      <c r="G126" s="6"/>
      <c r="H126" s="6"/>
      <c r="I126" s="6"/>
      <c r="J126" s="6"/>
      <c r="K126" s="6"/>
      <c r="L126" s="6"/>
      <c r="M126" s="36"/>
      <c r="N126" s="6"/>
      <c r="O126" s="6"/>
      <c r="P126" s="6"/>
      <c r="Q126" s="6"/>
      <c r="R126" s="6"/>
      <c r="S126" s="6"/>
      <c r="T126" s="6"/>
      <c r="U126" s="6"/>
      <c r="V126" s="6"/>
      <c r="W126" s="57">
        <v>13</v>
      </c>
      <c r="X126" s="50">
        <v>7.0099999999999997E-3</v>
      </c>
      <c r="Y126" s="36">
        <v>1.3180000000000001</v>
      </c>
      <c r="Z126" s="36">
        <v>0.75900000000000001</v>
      </c>
      <c r="AA126" s="7">
        <v>0.8</v>
      </c>
    </row>
    <row r="127" spans="1:27" ht="15" x14ac:dyDescent="0.15">
      <c r="A127" s="5" t="s">
        <v>1786</v>
      </c>
      <c r="B127" s="6" t="s">
        <v>1684</v>
      </c>
      <c r="C127" s="6" t="s">
        <v>28</v>
      </c>
      <c r="D127" s="6" t="s">
        <v>17</v>
      </c>
      <c r="E127" s="6" t="s">
        <v>158</v>
      </c>
      <c r="F127" s="6"/>
      <c r="G127" s="6"/>
      <c r="H127" s="6"/>
      <c r="I127" s="6"/>
      <c r="J127" s="6"/>
      <c r="K127" s="6"/>
      <c r="L127" s="6"/>
      <c r="M127" s="36"/>
      <c r="N127" s="6"/>
      <c r="O127" s="6"/>
      <c r="P127" s="6"/>
      <c r="Q127" s="6"/>
      <c r="R127" s="6"/>
      <c r="S127" s="6"/>
      <c r="T127" s="6"/>
      <c r="U127" s="6"/>
      <c r="V127" s="6"/>
      <c r="W127" s="57">
        <v>13</v>
      </c>
      <c r="X127" s="50">
        <v>7.0099999999999997E-3</v>
      </c>
      <c r="Y127" s="36">
        <v>1.3839999999999999</v>
      </c>
      <c r="Z127" s="36">
        <v>0.72199999999999998</v>
      </c>
      <c r="AA127" s="7">
        <v>0.8</v>
      </c>
    </row>
    <row r="128" spans="1:27" ht="15" x14ac:dyDescent="0.15">
      <c r="A128" s="5" t="s">
        <v>1786</v>
      </c>
      <c r="B128" s="6" t="s">
        <v>1684</v>
      </c>
      <c r="C128" s="6" t="s">
        <v>28</v>
      </c>
      <c r="D128" s="6" t="s">
        <v>17</v>
      </c>
      <c r="E128" s="6" t="s">
        <v>165</v>
      </c>
      <c r="F128" s="6"/>
      <c r="G128" s="6"/>
      <c r="H128" s="6"/>
      <c r="I128" s="6"/>
      <c r="J128" s="6"/>
      <c r="K128" s="6"/>
      <c r="L128" s="6"/>
      <c r="M128" s="36"/>
      <c r="N128" s="6"/>
      <c r="O128" s="6"/>
      <c r="P128" s="6"/>
      <c r="Q128" s="6"/>
      <c r="R128" s="6"/>
      <c r="S128" s="6"/>
      <c r="T128" s="6"/>
      <c r="U128" s="6"/>
      <c r="V128" s="6"/>
      <c r="W128" s="57">
        <v>13</v>
      </c>
      <c r="X128" s="50">
        <v>7.0099999999999997E-3</v>
      </c>
      <c r="Y128" s="36">
        <v>1.25</v>
      </c>
      <c r="Z128" s="36">
        <v>0.8</v>
      </c>
      <c r="AA128" s="7">
        <v>0.8</v>
      </c>
    </row>
    <row r="129" spans="1:27" ht="15" x14ac:dyDescent="0.15">
      <c r="A129" s="5" t="s">
        <v>1786</v>
      </c>
      <c r="B129" s="6" t="s">
        <v>1684</v>
      </c>
      <c r="C129" s="6" t="s">
        <v>28</v>
      </c>
      <c r="D129" s="6" t="s">
        <v>17</v>
      </c>
      <c r="E129" s="6" t="s">
        <v>34</v>
      </c>
      <c r="F129" s="6"/>
      <c r="G129" s="6"/>
      <c r="H129" s="6"/>
      <c r="I129" s="6"/>
      <c r="J129" s="6"/>
      <c r="K129" s="6"/>
      <c r="L129" s="6"/>
      <c r="M129" s="36"/>
      <c r="N129" s="6"/>
      <c r="O129" s="6"/>
      <c r="P129" s="6"/>
      <c r="Q129" s="6"/>
      <c r="R129" s="6"/>
      <c r="S129" s="6"/>
      <c r="T129" s="6"/>
      <c r="U129" s="6"/>
      <c r="V129" s="6"/>
      <c r="W129" s="57">
        <v>13</v>
      </c>
      <c r="X129" s="50">
        <v>7.0099999999999997E-3</v>
      </c>
      <c r="Y129" s="36">
        <v>1.272</v>
      </c>
      <c r="Z129" s="36">
        <v>0.78600000000000003</v>
      </c>
      <c r="AA129" s="7">
        <v>0.8</v>
      </c>
    </row>
    <row r="130" spans="1:27" ht="15" x14ac:dyDescent="0.15">
      <c r="A130" s="5" t="s">
        <v>1786</v>
      </c>
      <c r="B130" s="6" t="s">
        <v>1684</v>
      </c>
      <c r="C130" s="6" t="s">
        <v>28</v>
      </c>
      <c r="D130" s="6" t="s">
        <v>17</v>
      </c>
      <c r="E130" s="6" t="s">
        <v>181</v>
      </c>
      <c r="F130" s="6"/>
      <c r="G130" s="6"/>
      <c r="H130" s="6"/>
      <c r="I130" s="6"/>
      <c r="J130" s="6"/>
      <c r="K130" s="6"/>
      <c r="L130" s="6"/>
      <c r="M130" s="36"/>
      <c r="N130" s="6"/>
      <c r="O130" s="6"/>
      <c r="P130" s="6"/>
      <c r="Q130" s="6"/>
      <c r="R130" s="6"/>
      <c r="S130" s="6"/>
      <c r="T130" s="6"/>
      <c r="U130" s="6"/>
      <c r="V130" s="6"/>
      <c r="W130" s="57">
        <v>13</v>
      </c>
      <c r="X130" s="50">
        <v>7.0099999999999997E-3</v>
      </c>
      <c r="Y130" s="36">
        <v>1.2809999999999999</v>
      </c>
      <c r="Z130" s="36">
        <v>0.78100000000000003</v>
      </c>
      <c r="AA130" s="7">
        <v>0.8</v>
      </c>
    </row>
    <row r="131" spans="1:27" ht="15" x14ac:dyDescent="0.15">
      <c r="A131" s="5" t="s">
        <v>1786</v>
      </c>
      <c r="B131" s="6" t="s">
        <v>1684</v>
      </c>
      <c r="C131" s="6" t="s">
        <v>28</v>
      </c>
      <c r="D131" s="6" t="s">
        <v>17</v>
      </c>
      <c r="E131" s="6" t="s">
        <v>141</v>
      </c>
      <c r="F131" s="6"/>
      <c r="G131" s="6"/>
      <c r="H131" s="6"/>
      <c r="I131" s="6"/>
      <c r="J131" s="6"/>
      <c r="K131" s="6"/>
      <c r="L131" s="6"/>
      <c r="M131" s="36"/>
      <c r="N131" s="6"/>
      <c r="O131" s="6"/>
      <c r="P131" s="6"/>
      <c r="Q131" s="6"/>
      <c r="R131" s="6"/>
      <c r="S131" s="6"/>
      <c r="T131" s="6"/>
      <c r="U131" s="6"/>
      <c r="V131" s="6"/>
      <c r="W131" s="57">
        <v>13</v>
      </c>
      <c r="X131" s="50">
        <v>7.0099999999999997E-3</v>
      </c>
      <c r="Y131" s="36">
        <v>1.1910000000000001</v>
      </c>
      <c r="Z131" s="36">
        <v>0.83899999999999997</v>
      </c>
      <c r="AA131" s="7">
        <v>0.8</v>
      </c>
    </row>
    <row r="132" spans="1:27" ht="15" x14ac:dyDescent="0.15">
      <c r="A132" s="5" t="s">
        <v>1786</v>
      </c>
      <c r="B132" s="6" t="s">
        <v>1684</v>
      </c>
      <c r="C132" s="6" t="s">
        <v>28</v>
      </c>
      <c r="D132" s="6" t="s">
        <v>17</v>
      </c>
      <c r="E132" s="6" t="s">
        <v>119</v>
      </c>
      <c r="F132" s="6"/>
      <c r="G132" s="6"/>
      <c r="H132" s="6"/>
      <c r="I132" s="6"/>
      <c r="J132" s="6"/>
      <c r="K132" s="6"/>
      <c r="L132" s="6"/>
      <c r="M132" s="36"/>
      <c r="N132" s="6"/>
      <c r="O132" s="6"/>
      <c r="P132" s="6"/>
      <c r="Q132" s="6"/>
      <c r="R132" s="6"/>
      <c r="S132" s="6"/>
      <c r="T132" s="6"/>
      <c r="U132" s="6"/>
      <c r="V132" s="6"/>
      <c r="W132" s="57">
        <v>12</v>
      </c>
      <c r="X132" s="50">
        <v>6.5399999999999998E-3</v>
      </c>
      <c r="Y132" s="36">
        <v>1.9319999999999999</v>
      </c>
      <c r="Z132" s="36">
        <v>0.51800000000000002</v>
      </c>
      <c r="AA132" s="7">
        <v>0.8</v>
      </c>
    </row>
    <row r="133" spans="1:27" ht="15" x14ac:dyDescent="0.15">
      <c r="A133" s="5" t="s">
        <v>1786</v>
      </c>
      <c r="B133" s="6" t="s">
        <v>1684</v>
      </c>
      <c r="C133" s="6" t="s">
        <v>28</v>
      </c>
      <c r="D133" s="6" t="s">
        <v>17</v>
      </c>
      <c r="E133" s="6" t="s">
        <v>135</v>
      </c>
      <c r="F133" s="6"/>
      <c r="G133" s="6"/>
      <c r="H133" s="6"/>
      <c r="I133" s="6"/>
      <c r="J133" s="6"/>
      <c r="K133" s="6"/>
      <c r="L133" s="6"/>
      <c r="M133" s="36"/>
      <c r="N133" s="6"/>
      <c r="O133" s="6"/>
      <c r="P133" s="6"/>
      <c r="Q133" s="6"/>
      <c r="R133" s="6"/>
      <c r="S133" s="6"/>
      <c r="T133" s="6"/>
      <c r="U133" s="6"/>
      <c r="V133" s="6"/>
      <c r="W133" s="57">
        <v>2</v>
      </c>
      <c r="X133" s="50">
        <v>9.7999999999999997E-4</v>
      </c>
      <c r="Y133" s="36">
        <v>1.64</v>
      </c>
      <c r="Z133" s="36">
        <v>0.61</v>
      </c>
      <c r="AA133" s="7">
        <v>0.8</v>
      </c>
    </row>
    <row r="134" spans="1:27" ht="15" x14ac:dyDescent="0.15">
      <c r="A134" s="5" t="s">
        <v>1786</v>
      </c>
      <c r="B134" s="6" t="s">
        <v>1684</v>
      </c>
      <c r="C134" s="6" t="s">
        <v>28</v>
      </c>
      <c r="D134" s="6" t="s">
        <v>17</v>
      </c>
      <c r="E134" s="6" t="s">
        <v>150</v>
      </c>
      <c r="F134" s="6"/>
      <c r="G134" s="6"/>
      <c r="H134" s="6"/>
      <c r="I134" s="6"/>
      <c r="J134" s="6"/>
      <c r="K134" s="6"/>
      <c r="L134" s="6"/>
      <c r="M134" s="36"/>
      <c r="N134" s="6"/>
      <c r="O134" s="6"/>
      <c r="P134" s="6"/>
      <c r="Q134" s="6"/>
      <c r="R134" s="6"/>
      <c r="S134" s="6"/>
      <c r="T134" s="6"/>
      <c r="U134" s="6"/>
      <c r="V134" s="6"/>
      <c r="W134" s="57">
        <v>13</v>
      </c>
      <c r="X134" s="50">
        <v>7.0099999999999997E-3</v>
      </c>
      <c r="Y134" s="36">
        <v>1.208</v>
      </c>
      <c r="Z134" s="36">
        <v>0.82799999999999996</v>
      </c>
      <c r="AA134" s="7">
        <v>0.8</v>
      </c>
    </row>
    <row r="135" spans="1:27" ht="15" x14ac:dyDescent="0.15">
      <c r="A135" s="5" t="s">
        <v>1786</v>
      </c>
      <c r="B135" s="6" t="s">
        <v>1684</v>
      </c>
      <c r="C135" s="6" t="s">
        <v>28</v>
      </c>
      <c r="D135" s="6" t="s">
        <v>17</v>
      </c>
      <c r="E135" s="6" t="s">
        <v>173</v>
      </c>
      <c r="F135" s="6"/>
      <c r="G135" s="6"/>
      <c r="H135" s="6"/>
      <c r="I135" s="6"/>
      <c r="J135" s="6"/>
      <c r="K135" s="6"/>
      <c r="L135" s="6"/>
      <c r="M135" s="36"/>
      <c r="N135" s="6"/>
      <c r="O135" s="6"/>
      <c r="P135" s="6"/>
      <c r="Q135" s="6"/>
      <c r="R135" s="6"/>
      <c r="S135" s="6"/>
      <c r="T135" s="6"/>
      <c r="U135" s="6"/>
      <c r="V135" s="6"/>
      <c r="W135" s="57">
        <v>11</v>
      </c>
      <c r="X135" s="50">
        <v>6.0200000000000002E-3</v>
      </c>
      <c r="Y135" s="36">
        <v>1.2230000000000001</v>
      </c>
      <c r="Z135" s="36">
        <v>0.81799999999999995</v>
      </c>
      <c r="AA135" s="7">
        <v>0.8</v>
      </c>
    </row>
    <row r="137" spans="1:27" ht="111.75" customHeight="1" x14ac:dyDescent="0.15">
      <c r="A137" s="75" t="s">
        <v>1787</v>
      </c>
      <c r="B137" s="75"/>
      <c r="C137" s="75"/>
      <c r="D137" s="75"/>
      <c r="E137" s="75"/>
      <c r="F137" s="75"/>
      <c r="G137" s="75"/>
    </row>
  </sheetData>
  <mergeCells count="3">
    <mergeCell ref="A120:G120"/>
    <mergeCell ref="A1:AA1"/>
    <mergeCell ref="A137:G137"/>
  </mergeCells>
  <phoneticPr fontId="5" type="noConversion"/>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V38"/>
  <sheetViews>
    <sheetView workbookViewId="0">
      <selection activeCell="I37" sqref="I37"/>
    </sheetView>
  </sheetViews>
  <sheetFormatPr defaultRowHeight="13.5" x14ac:dyDescent="0.15"/>
  <cols>
    <col min="1" max="1" width="11" customWidth="1"/>
    <col min="2" max="2" width="28.5" customWidth="1"/>
    <col min="3" max="3" width="16" customWidth="1"/>
    <col min="4" max="4" width="7" customWidth="1"/>
    <col min="5" max="5" width="30" customWidth="1"/>
    <col min="6" max="6" width="15.125" customWidth="1"/>
    <col min="7" max="7" width="12.125" customWidth="1"/>
    <col min="8" max="8" width="13" customWidth="1"/>
    <col min="9" max="9" width="15" customWidth="1"/>
    <col min="10" max="10" width="17.625" customWidth="1"/>
    <col min="11" max="11" width="15.375" customWidth="1"/>
    <col min="12" max="12" width="13.25" customWidth="1"/>
    <col min="13" max="13" width="13.5" customWidth="1"/>
    <col min="14" max="14" width="16" customWidth="1"/>
    <col min="15" max="15" width="13" customWidth="1"/>
    <col min="16" max="16" width="17.75" customWidth="1"/>
    <col min="17" max="17" width="13.375" customWidth="1"/>
    <col min="18" max="18" width="12.5" customWidth="1"/>
    <col min="19" max="19" width="11.875" customWidth="1"/>
    <col min="20" max="20" width="12" customWidth="1"/>
    <col min="21" max="21" width="19.25" customWidth="1"/>
    <col min="22" max="22" width="12" customWidth="1"/>
  </cols>
  <sheetData>
    <row r="1" spans="1:22" ht="18" customHeight="1" x14ac:dyDescent="0.15">
      <c r="A1" s="76" t="s">
        <v>1788</v>
      </c>
      <c r="B1" s="74"/>
      <c r="C1" s="74"/>
      <c r="D1" s="74"/>
      <c r="E1" s="74"/>
      <c r="F1" s="74"/>
      <c r="G1" s="74"/>
      <c r="H1" s="74"/>
      <c r="I1" s="74"/>
      <c r="J1" s="74"/>
      <c r="K1" s="74"/>
      <c r="L1" s="74"/>
      <c r="M1" s="74"/>
      <c r="N1" s="74"/>
      <c r="O1" s="74"/>
      <c r="P1" s="74"/>
      <c r="Q1" s="74"/>
      <c r="R1" s="74"/>
      <c r="S1" s="74"/>
      <c r="T1" s="74"/>
    </row>
    <row r="2" spans="1:22" ht="18" customHeight="1" x14ac:dyDescent="0.15"/>
    <row r="3" spans="1:22" ht="18" customHeight="1" x14ac:dyDescent="0.15">
      <c r="A3" s="22" t="s">
        <v>6</v>
      </c>
      <c r="B3" s="20" t="s">
        <v>2</v>
      </c>
      <c r="C3" s="20" t="s">
        <v>3</v>
      </c>
      <c r="D3" s="20" t="s">
        <v>1678</v>
      </c>
      <c r="E3" s="20" t="s">
        <v>1603</v>
      </c>
      <c r="F3" s="20" t="s">
        <v>1789</v>
      </c>
      <c r="G3" s="20" t="s">
        <v>1790</v>
      </c>
      <c r="H3" s="20" t="s">
        <v>1791</v>
      </c>
      <c r="I3" s="20" t="s">
        <v>1792</v>
      </c>
      <c r="J3" s="20" t="s">
        <v>1669</v>
      </c>
      <c r="K3" s="20" t="s">
        <v>1793</v>
      </c>
      <c r="L3" s="20" t="s">
        <v>1794</v>
      </c>
      <c r="M3" s="20" t="s">
        <v>1795</v>
      </c>
      <c r="N3" s="20" t="s">
        <v>1796</v>
      </c>
      <c r="O3" s="20" t="s">
        <v>1797</v>
      </c>
      <c r="P3" s="20" t="s">
        <v>1798</v>
      </c>
      <c r="Q3" s="20" t="s">
        <v>1799</v>
      </c>
      <c r="R3" s="20" t="s">
        <v>1800</v>
      </c>
      <c r="S3" s="20" t="s">
        <v>1801</v>
      </c>
      <c r="T3" s="20" t="s">
        <v>368</v>
      </c>
      <c r="U3" s="20" t="s">
        <v>1802</v>
      </c>
      <c r="V3" s="20" t="s">
        <v>1803</v>
      </c>
    </row>
    <row r="4" spans="1:22" ht="18" customHeight="1" x14ac:dyDescent="0.15">
      <c r="A4" s="5" t="s">
        <v>20</v>
      </c>
      <c r="B4" s="6" t="s">
        <v>34</v>
      </c>
      <c r="C4" s="6" t="s">
        <v>35</v>
      </c>
      <c r="D4" s="6">
        <v>3</v>
      </c>
      <c r="E4" s="6" t="s">
        <v>731</v>
      </c>
      <c r="F4" s="50">
        <v>2.0961415764276601E-2</v>
      </c>
      <c r="G4" s="50">
        <v>8.4180163262431607E-2</v>
      </c>
      <c r="H4" s="50">
        <v>0.80335568050984896</v>
      </c>
      <c r="I4" s="50">
        <v>-0.59291015069077402</v>
      </c>
      <c r="J4" s="50">
        <v>0.453447031117161</v>
      </c>
      <c r="K4" s="50">
        <v>3.0895909990106801E-2</v>
      </c>
      <c r="L4" s="50">
        <v>0.12607932105779501</v>
      </c>
      <c r="M4" s="50">
        <v>0.80641665836927801</v>
      </c>
      <c r="N4" s="50">
        <v>0.86844870901306903</v>
      </c>
      <c r="O4" s="50">
        <v>0.87361804656671804</v>
      </c>
      <c r="P4" s="50">
        <v>-0.226793519626412</v>
      </c>
      <c r="Q4" s="50">
        <v>0.82058430300921303</v>
      </c>
      <c r="R4" s="50">
        <v>1.04260236312408E-2</v>
      </c>
      <c r="S4" s="50">
        <v>6.5286423347825197E-3</v>
      </c>
      <c r="T4" s="50">
        <v>0.28991928432869402</v>
      </c>
      <c r="U4" s="50">
        <v>1.4636872257349201E-3</v>
      </c>
      <c r="V4" s="50">
        <v>1.73121863473899E-3</v>
      </c>
    </row>
    <row r="5" spans="1:22" ht="18" customHeight="1" x14ac:dyDescent="0.15">
      <c r="A5" s="5" t="s">
        <v>20</v>
      </c>
      <c r="B5" s="6" t="s">
        <v>55</v>
      </c>
      <c r="C5" s="6" t="s">
        <v>46</v>
      </c>
      <c r="D5" s="6">
        <v>34</v>
      </c>
      <c r="E5" s="6" t="s">
        <v>731</v>
      </c>
      <c r="F5" s="50">
        <v>-1.89106755932376E-2</v>
      </c>
      <c r="G5" s="50">
        <v>1.7958200756940299E-2</v>
      </c>
      <c r="H5" s="50">
        <v>0.29232337774639</v>
      </c>
      <c r="I5" s="50">
        <v>-3.4994262928928398E-2</v>
      </c>
      <c r="J5" s="50">
        <v>0.51418368308149798</v>
      </c>
      <c r="K5" s="50">
        <v>-2.1986060501126201E-2</v>
      </c>
      <c r="L5" s="50">
        <v>2.11361677515307E-2</v>
      </c>
      <c r="M5" s="50">
        <v>0.29824218297648297</v>
      </c>
      <c r="N5" s="50">
        <v>0.60211976717573701</v>
      </c>
      <c r="O5" s="50">
        <v>0.652296414440381</v>
      </c>
      <c r="P5" s="50">
        <v>10.2637395801569</v>
      </c>
      <c r="Q5" s="50">
        <v>1.02652698844048E-24</v>
      </c>
      <c r="R5" s="50">
        <v>2.5130524975050899E-2</v>
      </c>
      <c r="S5" s="50">
        <v>6.5286423347825197E-3</v>
      </c>
      <c r="T5" s="50">
        <v>9.4980936929436599E-2</v>
      </c>
      <c r="U5" s="50">
        <v>1.1039260431380999E-4</v>
      </c>
      <c r="V5" s="50">
        <v>1.6018595558341599E-3</v>
      </c>
    </row>
    <row r="6" spans="1:22" ht="18" customHeight="1" x14ac:dyDescent="0.15">
      <c r="A6" s="5" t="s">
        <v>20</v>
      </c>
      <c r="B6" s="6" t="s">
        <v>59</v>
      </c>
      <c r="C6" s="6" t="s">
        <v>60</v>
      </c>
      <c r="D6" s="6">
        <v>10</v>
      </c>
      <c r="E6" s="6" t="s">
        <v>731</v>
      </c>
      <c r="F6" s="50">
        <v>3.0414616641897398E-2</v>
      </c>
      <c r="G6" s="50">
        <v>8.6130151130513297E-2</v>
      </c>
      <c r="H6" s="50">
        <v>0.72399554062887395</v>
      </c>
      <c r="I6" s="50">
        <v>-0.66387424901088798</v>
      </c>
      <c r="J6" s="50">
        <v>0.21698101193838801</v>
      </c>
      <c r="K6" s="50">
        <v>4.5550426711344898E-2</v>
      </c>
      <c r="L6" s="50">
        <v>0.12789511573102599</v>
      </c>
      <c r="M6" s="50">
        <v>0.72172483095004303</v>
      </c>
      <c r="N6" s="50">
        <v>0.84201230277505101</v>
      </c>
      <c r="O6" s="50">
        <v>0.81962207042771595</v>
      </c>
      <c r="P6" s="50">
        <v>-0.331399818958384</v>
      </c>
      <c r="Q6" s="50">
        <v>0.74034250162567405</v>
      </c>
      <c r="R6" s="50">
        <v>1.19721249249922E-2</v>
      </c>
      <c r="S6" s="50">
        <v>6.5286423347825197E-3</v>
      </c>
      <c r="T6" s="50">
        <v>9.9533101489667306E-2</v>
      </c>
      <c r="U6" s="50">
        <v>4.4620761963484003E-4</v>
      </c>
      <c r="V6" s="50">
        <v>6.6574486969457197E-3</v>
      </c>
    </row>
    <row r="7" spans="1:22" ht="18" customHeight="1" x14ac:dyDescent="0.15">
      <c r="A7" s="5" t="s">
        <v>20</v>
      </c>
      <c r="B7" s="6" t="s">
        <v>70</v>
      </c>
      <c r="C7" s="6" t="s">
        <v>71</v>
      </c>
      <c r="D7" s="6">
        <v>70</v>
      </c>
      <c r="E7" s="6" t="s">
        <v>731</v>
      </c>
      <c r="F7" s="50">
        <v>0.12816322734826299</v>
      </c>
      <c r="G7" s="50">
        <v>2.75533962656602E-2</v>
      </c>
      <c r="H7" s="50">
        <v>3.2961022416399999E-6</v>
      </c>
      <c r="I7" s="50">
        <v>-0.416730602609517</v>
      </c>
      <c r="J7" s="50">
        <v>8.9646571935195901E-2</v>
      </c>
      <c r="K7" s="50">
        <v>0.16746846801005899</v>
      </c>
      <c r="L7" s="50">
        <v>3.6033565637464703E-2</v>
      </c>
      <c r="M7" s="50">
        <v>3.3587042242499999E-6</v>
      </c>
      <c r="N7" s="50">
        <v>2.35109295698E-5</v>
      </c>
      <c r="O7" s="50">
        <v>4.3663154915340001E-5</v>
      </c>
      <c r="P7" s="50">
        <v>-4.1085626626831004</v>
      </c>
      <c r="Q7" s="50">
        <v>3.9812918658110003E-5</v>
      </c>
      <c r="R7" s="50">
        <v>3.4768956352986297E-2</v>
      </c>
      <c r="S7" s="50">
        <v>6.5286423347825197E-3</v>
      </c>
      <c r="T7" s="50">
        <v>0.36256697995807002</v>
      </c>
      <c r="U7" s="50">
        <v>3.13040693259279E-3</v>
      </c>
      <c r="V7" s="50">
        <v>8.1609951925411192E-3</v>
      </c>
    </row>
    <row r="8" spans="1:22" ht="18" customHeight="1" x14ac:dyDescent="0.15">
      <c r="A8" s="5" t="s">
        <v>20</v>
      </c>
      <c r="B8" s="6" t="s">
        <v>1804</v>
      </c>
      <c r="C8" s="6" t="s">
        <v>81</v>
      </c>
      <c r="D8" s="6">
        <v>26</v>
      </c>
      <c r="E8" s="6" t="s">
        <v>731</v>
      </c>
      <c r="F8" s="50">
        <v>2.7099560776028701E-2</v>
      </c>
      <c r="G8" s="50">
        <v>3.2744141677603103E-2</v>
      </c>
      <c r="H8" s="50">
        <v>0.40788825984824401</v>
      </c>
      <c r="I8" s="50">
        <v>-2.4889899570458202E-2</v>
      </c>
      <c r="J8" s="50">
        <v>0.86349716369676499</v>
      </c>
      <c r="K8" s="50">
        <v>3.9383160536844403E-2</v>
      </c>
      <c r="L8" s="50">
        <v>4.6708438165914197E-2</v>
      </c>
      <c r="M8" s="50">
        <v>0.39913329348187099</v>
      </c>
      <c r="N8" s="50">
        <v>0.65885664457255899</v>
      </c>
      <c r="O8" s="50">
        <v>0.78659415729580995</v>
      </c>
      <c r="P8" s="50">
        <v>-0.94551899669510298</v>
      </c>
      <c r="Q8" s="50">
        <v>0.34439397708385799</v>
      </c>
      <c r="R8" s="50">
        <v>9.4671676483813499E-2</v>
      </c>
      <c r="S8" s="50">
        <v>6.5286423347825197E-3</v>
      </c>
      <c r="T8" s="50">
        <v>0.31920544852393601</v>
      </c>
      <c r="U8" s="50">
        <v>-3.21706910979219E-3</v>
      </c>
      <c r="V8" s="50">
        <v>7.7004382763818597E-3</v>
      </c>
    </row>
    <row r="9" spans="1:22" ht="18" customHeight="1" x14ac:dyDescent="0.15">
      <c r="A9" s="5" t="s">
        <v>20</v>
      </c>
      <c r="B9" s="6" t="s">
        <v>90</v>
      </c>
      <c r="C9" s="6" t="s">
        <v>91</v>
      </c>
      <c r="D9" s="6">
        <v>2</v>
      </c>
      <c r="E9" s="6" t="s">
        <v>731</v>
      </c>
      <c r="F9" s="50">
        <v>-1.4595101454838E-2</v>
      </c>
      <c r="G9" s="50">
        <v>9.3210723074267504E-2</v>
      </c>
      <c r="H9" s="50">
        <v>0.87557445845145698</v>
      </c>
      <c r="I9" s="50"/>
      <c r="J9" s="50"/>
      <c r="K9" s="50">
        <v>-2.7794877314906E-2</v>
      </c>
      <c r="L9" s="50">
        <v>0.17382532227525099</v>
      </c>
      <c r="M9" s="50">
        <v>0.87295890461301795</v>
      </c>
      <c r="N9" s="50">
        <v>0.87295890461301795</v>
      </c>
      <c r="O9" s="50">
        <v>0.90787726079753905</v>
      </c>
      <c r="P9" s="50">
        <v>0.161876110364568</v>
      </c>
      <c r="Q9" s="50">
        <v>0.87140341584432301</v>
      </c>
      <c r="R9" s="50">
        <v>0.20355067665277801</v>
      </c>
      <c r="S9" s="50">
        <v>6.5286423347825197E-3</v>
      </c>
      <c r="T9" s="50">
        <v>-3.79258683092197E-2</v>
      </c>
      <c r="U9" s="50">
        <v>1.89627106346255E-3</v>
      </c>
      <c r="V9" s="50">
        <v>6.7117266819020204E-3</v>
      </c>
    </row>
    <row r="10" spans="1:22" ht="18" customHeight="1" x14ac:dyDescent="0.15">
      <c r="A10" s="5" t="s">
        <v>20</v>
      </c>
      <c r="B10" s="6" t="s">
        <v>100</v>
      </c>
      <c r="C10" s="6" t="s">
        <v>1805</v>
      </c>
      <c r="D10" s="6">
        <v>65</v>
      </c>
      <c r="E10" s="6" t="s">
        <v>731</v>
      </c>
      <c r="F10" s="50">
        <v>1.5793794950605601E-2</v>
      </c>
      <c r="G10" s="50">
        <v>1.94707716634521E-2</v>
      </c>
      <c r="H10" s="50">
        <v>0.41727721970257903</v>
      </c>
      <c r="I10" s="50">
        <v>-5.6318637319160703E-2</v>
      </c>
      <c r="J10" s="50">
        <v>0.65256502747690703</v>
      </c>
      <c r="K10" s="50">
        <v>2.06807553656576E-2</v>
      </c>
      <c r="L10" s="50">
        <v>2.5842017279042E-2</v>
      </c>
      <c r="M10" s="50">
        <v>0.42355070008235901</v>
      </c>
      <c r="N10" s="50">
        <v>0.65885664457255899</v>
      </c>
      <c r="O10" s="50">
        <v>0.78659415729580995</v>
      </c>
      <c r="P10" s="50">
        <v>-0.77371905132988394</v>
      </c>
      <c r="Q10" s="50">
        <v>0.43909695128474402</v>
      </c>
      <c r="R10" s="50">
        <v>7.1816442353725002E-2</v>
      </c>
      <c r="S10" s="50">
        <v>6.5286423347825197E-3</v>
      </c>
      <c r="T10" s="50">
        <v>0.19279226224391399</v>
      </c>
      <c r="U10" s="50">
        <v>6.3683109315805996E-4</v>
      </c>
      <c r="V10" s="50">
        <v>8.2953989256102801E-3</v>
      </c>
    </row>
    <row r="11" spans="1:22" ht="18" customHeight="1" x14ac:dyDescent="0.15">
      <c r="A11" s="5" t="s">
        <v>20</v>
      </c>
      <c r="B11" s="6" t="s">
        <v>109</v>
      </c>
      <c r="C11" s="6" t="s">
        <v>110</v>
      </c>
      <c r="D11" s="6">
        <v>9</v>
      </c>
      <c r="E11" s="6" t="s">
        <v>731</v>
      </c>
      <c r="F11" s="50">
        <v>-6.2123996914349902E-2</v>
      </c>
      <c r="G11" s="50">
        <v>5.8742553238003301E-2</v>
      </c>
      <c r="H11" s="50">
        <v>0.29025436061412901</v>
      </c>
      <c r="I11" s="50">
        <v>-0.46771894069515701</v>
      </c>
      <c r="J11" s="50">
        <v>0.69224428362593704</v>
      </c>
      <c r="K11" s="50">
        <v>-9.4167521366035803E-2</v>
      </c>
      <c r="L11" s="50">
        <v>9.1056733693955297E-2</v>
      </c>
      <c r="M11" s="50">
        <v>0.301059883587868</v>
      </c>
      <c r="N11" s="50">
        <v>0.60211976717573701</v>
      </c>
      <c r="O11" s="50">
        <v>0.652296414440381</v>
      </c>
      <c r="P11" s="50">
        <v>1.02790193253788</v>
      </c>
      <c r="Q11" s="50">
        <v>0.30399596042081301</v>
      </c>
      <c r="R11" s="50">
        <v>2.7588119261018201E-2</v>
      </c>
      <c r="S11" s="50">
        <v>6.5286423347825197E-3</v>
      </c>
      <c r="T11" s="50">
        <v>0.35213240329958501</v>
      </c>
      <c r="U11" s="50">
        <v>-2.7728638754104E-3</v>
      </c>
      <c r="V11" s="50">
        <v>6.1406381112345801E-3</v>
      </c>
    </row>
    <row r="12" spans="1:22" ht="18" customHeight="1" x14ac:dyDescent="0.15">
      <c r="A12" s="5" t="s">
        <v>20</v>
      </c>
      <c r="B12" s="6" t="s">
        <v>119</v>
      </c>
      <c r="C12" s="6" t="s">
        <v>1806</v>
      </c>
      <c r="D12" s="6"/>
      <c r="E12" s="6" t="s">
        <v>1807</v>
      </c>
      <c r="F12" s="50"/>
      <c r="G12" s="50"/>
      <c r="H12" s="50"/>
      <c r="I12" s="50"/>
      <c r="J12" s="50"/>
      <c r="K12" s="50"/>
      <c r="L12" s="50"/>
      <c r="M12" s="50"/>
      <c r="N12" s="50"/>
      <c r="O12" s="50"/>
      <c r="P12" s="50"/>
      <c r="Q12" s="50"/>
      <c r="R12" s="50"/>
      <c r="S12" s="50"/>
      <c r="T12" s="50"/>
      <c r="U12" s="50"/>
      <c r="V12" s="50"/>
    </row>
    <row r="13" spans="1:22" ht="18" customHeight="1" x14ac:dyDescent="0.15">
      <c r="A13" s="5" t="s">
        <v>20</v>
      </c>
      <c r="B13" s="6" t="s">
        <v>135</v>
      </c>
      <c r="C13" s="6" t="s">
        <v>129</v>
      </c>
      <c r="D13" s="6">
        <v>2</v>
      </c>
      <c r="E13" s="6" t="s">
        <v>731</v>
      </c>
      <c r="F13" s="50">
        <v>5.5193555284519601E-2</v>
      </c>
      <c r="G13" s="50">
        <v>8.3676808772170902E-2</v>
      </c>
      <c r="H13" s="50">
        <v>0.50950800577265098</v>
      </c>
      <c r="I13" s="50"/>
      <c r="J13" s="50"/>
      <c r="K13" s="50">
        <v>0.108276643845164</v>
      </c>
      <c r="L13" s="50">
        <v>0.15965702419463099</v>
      </c>
      <c r="M13" s="50">
        <v>0.49765581208002002</v>
      </c>
      <c r="N13" s="50">
        <v>0.696718136912028</v>
      </c>
      <c r="O13" s="50">
        <v>0.81962207042771595</v>
      </c>
      <c r="P13" s="50">
        <v>-0.69029131962359702</v>
      </c>
      <c r="Q13" s="50">
        <v>0.49001100553861898</v>
      </c>
      <c r="R13" s="50">
        <v>0.13870835143759699</v>
      </c>
      <c r="S13" s="50">
        <v>6.5286423347825197E-3</v>
      </c>
      <c r="T13" s="50">
        <v>0.42308010562119502</v>
      </c>
      <c r="U13" s="50">
        <v>-7.5524276485048397E-3</v>
      </c>
      <c r="V13" s="50">
        <v>8.1591710544326092E-3</v>
      </c>
    </row>
    <row r="14" spans="1:22" ht="18" customHeight="1" x14ac:dyDescent="0.15">
      <c r="A14" s="5" t="s">
        <v>20</v>
      </c>
      <c r="B14" s="6" t="s">
        <v>141</v>
      </c>
      <c r="C14" s="6" t="s">
        <v>142</v>
      </c>
      <c r="D14" s="6">
        <v>19</v>
      </c>
      <c r="E14" s="6" t="s">
        <v>731</v>
      </c>
      <c r="F14" s="50">
        <v>3.3912456278732202E-3</v>
      </c>
      <c r="G14" s="50">
        <v>8.1732871648717304E-3</v>
      </c>
      <c r="H14" s="50">
        <v>0.67820178335811998</v>
      </c>
      <c r="I14" s="50">
        <v>6.4752818020746603E-2</v>
      </c>
      <c r="J14" s="50">
        <v>0.13263833410901399</v>
      </c>
      <c r="K14" s="50">
        <v>4.1707400803529396E-3</v>
      </c>
      <c r="L14" s="50">
        <v>1.02205174304298E-2</v>
      </c>
      <c r="M14" s="50">
        <v>0.68321843893047796</v>
      </c>
      <c r="N14" s="50">
        <v>0.84201230277505101</v>
      </c>
      <c r="O14" s="50">
        <v>0.81962207042771595</v>
      </c>
      <c r="P14" s="50">
        <v>-0.52851715129258103</v>
      </c>
      <c r="Q14" s="50">
        <v>0.59714044608507</v>
      </c>
      <c r="R14" s="50">
        <v>0.21877219300312301</v>
      </c>
      <c r="S14" s="50">
        <v>6.5286423347825197E-3</v>
      </c>
      <c r="T14" s="50">
        <v>-5.8069402322338697E-2</v>
      </c>
      <c r="U14" s="50">
        <v>4.2846651012101001E-4</v>
      </c>
      <c r="V14" s="50">
        <v>1.23897061976433E-3</v>
      </c>
    </row>
    <row r="15" spans="1:22" ht="18" customHeight="1" x14ac:dyDescent="0.15">
      <c r="A15" s="5" t="s">
        <v>20</v>
      </c>
      <c r="B15" s="6" t="s">
        <v>1808</v>
      </c>
      <c r="C15" s="6" t="s">
        <v>151</v>
      </c>
      <c r="D15" s="6">
        <v>88</v>
      </c>
      <c r="E15" s="6" t="s">
        <v>731</v>
      </c>
      <c r="F15" s="50">
        <v>0.15295392259885399</v>
      </c>
      <c r="G15" s="50">
        <v>3.3015863049796298E-2</v>
      </c>
      <c r="H15" s="50">
        <v>3.6085692333699998E-6</v>
      </c>
      <c r="I15" s="50">
        <v>0.254776541899294</v>
      </c>
      <c r="J15" s="50">
        <v>0.70755120266770499</v>
      </c>
      <c r="K15" s="50">
        <v>0.196530455896995</v>
      </c>
      <c r="L15" s="50">
        <v>4.2216359267223197E-2</v>
      </c>
      <c r="M15" s="50">
        <v>3.2348555571100001E-6</v>
      </c>
      <c r="N15" s="50">
        <v>2.35109295698E-5</v>
      </c>
      <c r="O15" s="50">
        <v>4.3663154915340001E-5</v>
      </c>
      <c r="P15" s="50">
        <v>-3.7207057817100599</v>
      </c>
      <c r="Q15" s="50">
        <v>1.9866678402359999E-4</v>
      </c>
      <c r="R15" s="50">
        <v>2.8204446518209501E-2</v>
      </c>
      <c r="S15" s="50">
        <v>6.5286423347825197E-3</v>
      </c>
      <c r="T15" s="50">
        <v>0.435102420407596</v>
      </c>
      <c r="U15" s="50">
        <v>4.0495317445947802E-3</v>
      </c>
      <c r="V15" s="50">
        <v>8.9253360069475006E-3</v>
      </c>
    </row>
    <row r="16" spans="1:22" ht="18" customHeight="1" x14ac:dyDescent="0.15">
      <c r="A16" s="5" t="s">
        <v>20</v>
      </c>
      <c r="B16" s="6" t="s">
        <v>158</v>
      </c>
      <c r="C16" s="6" t="s">
        <v>1809</v>
      </c>
      <c r="D16" s="6">
        <v>211</v>
      </c>
      <c r="E16" s="6" t="s">
        <v>731</v>
      </c>
      <c r="F16" s="50">
        <v>8.3667327808804696E-3</v>
      </c>
      <c r="G16" s="50">
        <v>5.5960163754364897E-3</v>
      </c>
      <c r="H16" s="50">
        <v>0.134882344793503</v>
      </c>
      <c r="I16" s="50">
        <v>9.5523752032580806E-3</v>
      </c>
      <c r="J16" s="50">
        <v>0.96104118334427202</v>
      </c>
      <c r="K16" s="50">
        <v>1.0203491221158999E-2</v>
      </c>
      <c r="L16" s="50">
        <v>6.8260585315649304E-3</v>
      </c>
      <c r="M16" s="50">
        <v>0.13497051184202</v>
      </c>
      <c r="N16" s="50">
        <v>0.37791743315765502</v>
      </c>
      <c r="O16" s="50">
        <v>0.36845554038273898</v>
      </c>
      <c r="P16" s="50">
        <v>-2.1033062064163</v>
      </c>
      <c r="Q16" s="50">
        <v>3.5439011273555199E-2</v>
      </c>
      <c r="R16" s="50">
        <v>0.37695942345800798</v>
      </c>
      <c r="S16" s="50">
        <v>6.5286423347825197E-3</v>
      </c>
      <c r="T16" s="50">
        <v>0.14442375802575499</v>
      </c>
      <c r="U16" s="50">
        <v>-1.4044913980983001E-3</v>
      </c>
      <c r="V16" s="50">
        <v>8.4207392267854602E-3</v>
      </c>
    </row>
    <row r="17" spans="1:22" ht="18" customHeight="1" x14ac:dyDescent="0.15">
      <c r="A17" s="5" t="s">
        <v>20</v>
      </c>
      <c r="B17" s="6" t="s">
        <v>165</v>
      </c>
      <c r="C17" s="6" t="s">
        <v>166</v>
      </c>
      <c r="D17" s="6"/>
      <c r="E17" s="6" t="s">
        <v>1810</v>
      </c>
      <c r="F17" s="50"/>
      <c r="G17" s="50"/>
      <c r="H17" s="50"/>
      <c r="I17" s="50"/>
      <c r="J17" s="50"/>
      <c r="K17" s="50"/>
      <c r="L17" s="50"/>
      <c r="M17" s="50"/>
      <c r="N17" s="50"/>
      <c r="O17" s="50"/>
      <c r="P17" s="50"/>
      <c r="Q17" s="50"/>
      <c r="R17" s="50"/>
      <c r="S17" s="50"/>
      <c r="T17" s="50"/>
      <c r="U17" s="50"/>
      <c r="V17" s="50"/>
    </row>
    <row r="18" spans="1:22" ht="18" customHeight="1" x14ac:dyDescent="0.15">
      <c r="A18" s="5" t="s">
        <v>20</v>
      </c>
      <c r="B18" s="6" t="s">
        <v>173</v>
      </c>
      <c r="C18" s="6" t="s">
        <v>174</v>
      </c>
      <c r="D18" s="6">
        <v>5</v>
      </c>
      <c r="E18" s="6" t="s">
        <v>731</v>
      </c>
      <c r="F18" s="50">
        <v>0.26905648536354598</v>
      </c>
      <c r="G18" s="50">
        <v>0.10556437244855101</v>
      </c>
      <c r="H18" s="50">
        <v>1.08111850507624E-2</v>
      </c>
      <c r="I18" s="50">
        <v>-0.69485873287257305</v>
      </c>
      <c r="J18" s="50">
        <v>0.59732091703806001</v>
      </c>
      <c r="K18" s="50">
        <v>0.44417169664934197</v>
      </c>
      <c r="L18" s="50">
        <v>0.17432214110800401</v>
      </c>
      <c r="M18" s="50">
        <v>1.0834446446702801E-2</v>
      </c>
      <c r="N18" s="50">
        <v>5.05607500846132E-2</v>
      </c>
      <c r="O18" s="50">
        <v>5.6339121522854703E-2</v>
      </c>
      <c r="P18" s="50">
        <v>-2.5654699696487699</v>
      </c>
      <c r="Q18" s="50">
        <v>1.0303614002378199E-2</v>
      </c>
      <c r="R18" s="50">
        <v>1.3422001962474501E-2</v>
      </c>
      <c r="S18" s="50">
        <v>6.5286423347825197E-3</v>
      </c>
      <c r="T18" s="50">
        <v>0.37989735758820797</v>
      </c>
      <c r="U18" s="50">
        <v>-1.8071745864850399E-3</v>
      </c>
      <c r="V18" s="50">
        <v>5.7797194857441602E-3</v>
      </c>
    </row>
    <row r="19" spans="1:22" ht="18" customHeight="1" x14ac:dyDescent="0.15">
      <c r="A19" s="5" t="s">
        <v>20</v>
      </c>
      <c r="B19" s="6" t="s">
        <v>181</v>
      </c>
      <c r="C19" s="6" t="s">
        <v>182</v>
      </c>
      <c r="D19" s="6">
        <v>3</v>
      </c>
      <c r="E19" s="6" t="s">
        <v>731</v>
      </c>
      <c r="F19" s="50">
        <v>0.236649790163903</v>
      </c>
      <c r="G19" s="50">
        <v>0.101792619958619</v>
      </c>
      <c r="H19" s="50">
        <v>2.0081444467795102E-2</v>
      </c>
      <c r="I19" s="50">
        <v>-6.5967070706158104</v>
      </c>
      <c r="J19" s="50">
        <v>0.45630243345875998</v>
      </c>
      <c r="K19" s="50">
        <v>0.408297588935988</v>
      </c>
      <c r="L19" s="50">
        <v>0.175358060101137</v>
      </c>
      <c r="M19" s="50">
        <v>1.98927246490203E-2</v>
      </c>
      <c r="N19" s="50">
        <v>6.9624536271571197E-2</v>
      </c>
      <c r="O19" s="50">
        <v>8.62018068124214E-2</v>
      </c>
      <c r="P19" s="50">
        <v>-2.2509096606587802</v>
      </c>
      <c r="Q19" s="50">
        <v>2.4391259746564201E-2</v>
      </c>
      <c r="R19" s="50">
        <v>1.9350204583467898E-2</v>
      </c>
      <c r="S19" s="50">
        <v>6.5286423347825197E-3</v>
      </c>
      <c r="T19" s="50">
        <v>0.37879909654487198</v>
      </c>
      <c r="U19" s="50">
        <v>1.0693975502447199E-3</v>
      </c>
      <c r="V19" s="50">
        <v>4.9223232378554698E-3</v>
      </c>
    </row>
    <row r="20" spans="1:22" ht="18" customHeight="1" x14ac:dyDescent="0.15">
      <c r="A20" s="5" t="s">
        <v>20</v>
      </c>
      <c r="B20" s="6" t="s">
        <v>189</v>
      </c>
      <c r="C20" s="6" t="s">
        <v>190</v>
      </c>
      <c r="D20" s="6"/>
      <c r="E20" s="6" t="s">
        <v>1810</v>
      </c>
      <c r="F20" s="50"/>
      <c r="G20" s="50"/>
      <c r="H20" s="50"/>
      <c r="I20" s="50"/>
      <c r="J20" s="50"/>
      <c r="K20" s="50"/>
      <c r="L20" s="50"/>
      <c r="M20" s="50"/>
      <c r="N20" s="50"/>
      <c r="O20" s="50"/>
      <c r="P20" s="50"/>
      <c r="Q20" s="50"/>
      <c r="R20" s="50"/>
      <c r="S20" s="50"/>
      <c r="T20" s="50"/>
      <c r="U20" s="50"/>
      <c r="V20" s="50"/>
    </row>
    <row r="21" spans="1:22" ht="18" customHeight="1" x14ac:dyDescent="0.15">
      <c r="A21" s="5" t="s">
        <v>28</v>
      </c>
      <c r="B21" s="6" t="s">
        <v>34</v>
      </c>
      <c r="C21" s="6" t="s">
        <v>41</v>
      </c>
      <c r="D21" s="6">
        <v>2</v>
      </c>
      <c r="E21" s="6" t="s">
        <v>731</v>
      </c>
      <c r="F21" s="50">
        <v>-4.8314925911070297E-2</v>
      </c>
      <c r="G21" s="50">
        <v>9.3093936941880603E-2</v>
      </c>
      <c r="H21" s="50">
        <v>0.60376693885893196</v>
      </c>
      <c r="I21" s="50"/>
      <c r="J21" s="50"/>
      <c r="K21" s="50">
        <v>-7.8873766105933205E-2</v>
      </c>
      <c r="L21" s="50">
        <v>0.14909320868609699</v>
      </c>
      <c r="M21" s="50">
        <v>0.59678935725015503</v>
      </c>
      <c r="N21" s="50">
        <v>0.79096395607709702</v>
      </c>
      <c r="O21" s="50">
        <v>0.81962207042771595</v>
      </c>
      <c r="P21" s="50">
        <v>0.53993726638783901</v>
      </c>
      <c r="Q21" s="50">
        <v>0.58924029652171095</v>
      </c>
      <c r="R21" s="50">
        <v>1.3555418063420701E-2</v>
      </c>
      <c r="S21" s="50">
        <v>6.5286423347825197E-3</v>
      </c>
      <c r="T21" s="50">
        <v>0.19211644498143499</v>
      </c>
      <c r="U21" s="50">
        <v>2.3810041983647599E-3</v>
      </c>
      <c r="V21" s="50">
        <v>2.7758466106676998E-3</v>
      </c>
    </row>
    <row r="22" spans="1:22" ht="18" customHeight="1" x14ac:dyDescent="0.15">
      <c r="A22" s="5" t="s">
        <v>28</v>
      </c>
      <c r="B22" s="6" t="s">
        <v>55</v>
      </c>
      <c r="C22" s="6" t="s">
        <v>53</v>
      </c>
      <c r="D22" s="6">
        <v>60</v>
      </c>
      <c r="E22" s="6" t="s">
        <v>731</v>
      </c>
      <c r="F22" s="50">
        <v>-2.7129482985369199E-2</v>
      </c>
      <c r="G22" s="50">
        <v>1.8788572561732698E-2</v>
      </c>
      <c r="H22" s="50">
        <v>0.14875717842356501</v>
      </c>
      <c r="I22" s="50">
        <v>5.6443791132115102E-3</v>
      </c>
      <c r="J22" s="50">
        <v>0.490481062364023</v>
      </c>
      <c r="K22" s="50">
        <v>-3.0677251595291499E-2</v>
      </c>
      <c r="L22" s="50">
        <v>2.0876841397459701E-2</v>
      </c>
      <c r="M22" s="50">
        <v>0.141713669377977</v>
      </c>
      <c r="N22" s="50">
        <v>0.34011280650714398</v>
      </c>
      <c r="O22" s="50">
        <v>0.36845554038273898</v>
      </c>
      <c r="P22" s="50">
        <v>2.5340144363751702</v>
      </c>
      <c r="Q22" s="50">
        <v>1.12764085995258E-2</v>
      </c>
      <c r="R22" s="50">
        <v>1.89113721517409E-2</v>
      </c>
      <c r="S22" s="50">
        <v>6.5286423347825197E-3</v>
      </c>
      <c r="T22" s="50">
        <v>-0.116046801370048</v>
      </c>
      <c r="U22" s="50">
        <v>5.2116637027308796E-3</v>
      </c>
      <c r="V22" s="50">
        <v>8.6598167267627995E-4</v>
      </c>
    </row>
    <row r="23" spans="1:22" ht="18" customHeight="1" x14ac:dyDescent="0.15">
      <c r="A23" s="5" t="s">
        <v>28</v>
      </c>
      <c r="B23" s="6" t="s">
        <v>59</v>
      </c>
      <c r="C23" s="6" t="s">
        <v>65</v>
      </c>
      <c r="D23" s="6">
        <v>10</v>
      </c>
      <c r="E23" s="6" t="s">
        <v>731</v>
      </c>
      <c r="F23" s="50">
        <v>3.1459350134479799E-2</v>
      </c>
      <c r="G23" s="50">
        <v>2.0650529907631499E-2</v>
      </c>
      <c r="H23" s="50">
        <v>0.12765463171757899</v>
      </c>
      <c r="I23" s="50">
        <v>-0.15680405346522899</v>
      </c>
      <c r="J23" s="50">
        <v>0.25233035487727801</v>
      </c>
      <c r="K23" s="50">
        <v>4.8082050317302297E-2</v>
      </c>
      <c r="L23" s="50">
        <v>3.0424759367801601E-2</v>
      </c>
      <c r="M23" s="50">
        <v>0.114024614953291</v>
      </c>
      <c r="N23" s="50">
        <v>0.34011280650714398</v>
      </c>
      <c r="O23" s="50">
        <v>0.36845554038273898</v>
      </c>
      <c r="P23" s="50">
        <v>-1.5458118869391</v>
      </c>
      <c r="Q23" s="50">
        <v>0.122150005388034</v>
      </c>
      <c r="R23" s="50">
        <v>0.17842401055364299</v>
      </c>
      <c r="S23" s="50">
        <v>6.5286423347825197E-3</v>
      </c>
      <c r="T23" s="50">
        <v>9.0322533995931098E-2</v>
      </c>
      <c r="U23" s="50">
        <v>-4.7918734183923896E-3</v>
      </c>
      <c r="V23" s="50">
        <v>5.5172528797865304E-3</v>
      </c>
    </row>
    <row r="24" spans="1:22" ht="18" customHeight="1" x14ac:dyDescent="0.15">
      <c r="A24" s="5" t="s">
        <v>28</v>
      </c>
      <c r="B24" s="6" t="s">
        <v>70</v>
      </c>
      <c r="C24" s="6" t="s">
        <v>75</v>
      </c>
      <c r="D24" s="6"/>
      <c r="E24" s="6" t="s">
        <v>1807</v>
      </c>
      <c r="F24" s="50"/>
      <c r="G24" s="50"/>
      <c r="H24" s="50"/>
      <c r="I24" s="50"/>
      <c r="J24" s="50"/>
      <c r="K24" s="50"/>
      <c r="L24" s="50"/>
      <c r="M24" s="50"/>
      <c r="N24" s="50"/>
      <c r="O24" s="50"/>
      <c r="P24" s="50"/>
      <c r="Q24" s="50"/>
      <c r="R24" s="50"/>
      <c r="S24" s="50"/>
      <c r="T24" s="50"/>
      <c r="U24" s="50"/>
      <c r="V24" s="50"/>
    </row>
    <row r="25" spans="1:22" ht="18" customHeight="1" x14ac:dyDescent="0.15">
      <c r="A25" s="5" t="s">
        <v>28</v>
      </c>
      <c r="B25" s="6" t="s">
        <v>1804</v>
      </c>
      <c r="C25" s="6" t="s">
        <v>85</v>
      </c>
      <c r="D25" s="6">
        <v>11</v>
      </c>
      <c r="E25" s="6" t="s">
        <v>731</v>
      </c>
      <c r="F25" s="50">
        <v>9.9479907899161901E-3</v>
      </c>
      <c r="G25" s="50">
        <v>2.79092209560147E-2</v>
      </c>
      <c r="H25" s="50">
        <v>0.72151032498811996</v>
      </c>
      <c r="I25" s="50">
        <v>-0.117361441822821</v>
      </c>
      <c r="J25" s="50">
        <v>0.62384794601119498</v>
      </c>
      <c r="K25" s="50">
        <v>1.48259809276394E-2</v>
      </c>
      <c r="L25" s="50">
        <v>4.2153119507079201E-2</v>
      </c>
      <c r="M25" s="50">
        <v>0.72505029307067204</v>
      </c>
      <c r="N25" s="50">
        <v>0.79096395607709702</v>
      </c>
      <c r="O25" s="50">
        <v>0.81962207042771595</v>
      </c>
      <c r="P25" s="50">
        <v>-0.332777434607885</v>
      </c>
      <c r="Q25" s="50">
        <v>0.73930229292829097</v>
      </c>
      <c r="R25" s="50">
        <v>0.25903130146572301</v>
      </c>
      <c r="S25" s="50">
        <v>6.5286423347825197E-3</v>
      </c>
      <c r="T25" s="50">
        <v>0.27662978886594802</v>
      </c>
      <c r="U25" s="50">
        <v>1.59008923823524E-3</v>
      </c>
      <c r="V25" s="50">
        <v>6.7531844436923699E-3</v>
      </c>
    </row>
    <row r="26" spans="1:22" ht="18" customHeight="1" x14ac:dyDescent="0.15">
      <c r="A26" s="5" t="s">
        <v>28</v>
      </c>
      <c r="B26" s="6" t="s">
        <v>90</v>
      </c>
      <c r="C26" s="6" t="s">
        <v>95</v>
      </c>
      <c r="D26" s="6">
        <v>4</v>
      </c>
      <c r="E26" s="6" t="s">
        <v>731</v>
      </c>
      <c r="F26" s="50">
        <v>-5.1293844962082003E-3</v>
      </c>
      <c r="G26" s="50">
        <v>4.3575353185689503E-2</v>
      </c>
      <c r="H26" s="50">
        <v>0.90629508504214196</v>
      </c>
      <c r="I26" s="50">
        <v>0.712586459178564</v>
      </c>
      <c r="J26" s="50">
        <v>0.711010334137547</v>
      </c>
      <c r="K26" s="50">
        <v>-8.5245697482455602E-3</v>
      </c>
      <c r="L26" s="50">
        <v>7.4022865470771304E-2</v>
      </c>
      <c r="M26" s="50">
        <v>0.90831726912100497</v>
      </c>
      <c r="N26" s="50">
        <v>0.90831726912100497</v>
      </c>
      <c r="O26" s="50">
        <v>0.90831726912100497</v>
      </c>
      <c r="P26" s="50">
        <v>0.109768877866649</v>
      </c>
      <c r="Q26" s="50">
        <v>0.91259267372061303</v>
      </c>
      <c r="R26" s="50">
        <v>0.200226046858032</v>
      </c>
      <c r="S26" s="50">
        <v>6.5286423347825197E-3</v>
      </c>
      <c r="T26" s="50">
        <v>4.0025097558974701E-3</v>
      </c>
      <c r="U26" s="50">
        <v>-9.3090918657147003E-4</v>
      </c>
      <c r="V26" s="50">
        <v>6.6122169384079102E-3</v>
      </c>
    </row>
    <row r="27" spans="1:22" ht="18" customHeight="1" x14ac:dyDescent="0.15">
      <c r="A27" s="5" t="s">
        <v>28</v>
      </c>
      <c r="B27" s="6" t="s">
        <v>100</v>
      </c>
      <c r="C27" s="6" t="s">
        <v>106</v>
      </c>
      <c r="D27" s="6">
        <v>66</v>
      </c>
      <c r="E27" s="6" t="s">
        <v>731</v>
      </c>
      <c r="F27" s="50">
        <v>3.3588697026358701E-3</v>
      </c>
      <c r="G27" s="50">
        <v>6.8346062219575903E-3</v>
      </c>
      <c r="H27" s="50">
        <v>0.62310795168654898</v>
      </c>
      <c r="I27" s="50">
        <v>-1.7008725949632601E-2</v>
      </c>
      <c r="J27" s="50">
        <v>0.71800686290288795</v>
      </c>
      <c r="K27" s="50">
        <v>4.44991102960887E-3</v>
      </c>
      <c r="L27" s="50">
        <v>8.9256114825641605E-3</v>
      </c>
      <c r="M27" s="50">
        <v>0.61809269273640799</v>
      </c>
      <c r="N27" s="50">
        <v>0.79096395607709702</v>
      </c>
      <c r="O27" s="50">
        <v>0.81962207042771595</v>
      </c>
      <c r="P27" s="50">
        <v>-0.44713431085233002</v>
      </c>
      <c r="Q27" s="50">
        <v>0.65477808704498597</v>
      </c>
      <c r="R27" s="50">
        <v>0.57297235002255098</v>
      </c>
      <c r="S27" s="50">
        <v>6.5286423347825197E-3</v>
      </c>
      <c r="T27" s="50">
        <v>0.19433437590783301</v>
      </c>
      <c r="U27" s="50">
        <v>-1.5526298090435999E-4</v>
      </c>
      <c r="V27" s="50">
        <v>8.2125517042168205E-3</v>
      </c>
    </row>
    <row r="28" spans="1:22" ht="18" customHeight="1" x14ac:dyDescent="0.15">
      <c r="A28" s="5" t="s">
        <v>28</v>
      </c>
      <c r="B28" s="6" t="s">
        <v>109</v>
      </c>
      <c r="C28" s="6" t="s">
        <v>115</v>
      </c>
      <c r="D28" s="6"/>
      <c r="E28" s="6" t="s">
        <v>1810</v>
      </c>
      <c r="F28" s="50"/>
      <c r="G28" s="50"/>
      <c r="H28" s="50"/>
      <c r="I28" s="50"/>
      <c r="J28" s="50"/>
      <c r="K28" s="50"/>
      <c r="L28" s="50"/>
      <c r="M28" s="50"/>
      <c r="N28" s="50"/>
      <c r="O28" s="50"/>
      <c r="P28" s="50"/>
      <c r="Q28" s="50"/>
      <c r="R28" s="50"/>
      <c r="S28" s="50"/>
      <c r="T28" s="50"/>
      <c r="U28" s="50"/>
      <c r="V28" s="50"/>
    </row>
    <row r="29" spans="1:22" ht="18" customHeight="1" x14ac:dyDescent="0.15">
      <c r="A29" s="5" t="s">
        <v>28</v>
      </c>
      <c r="B29" s="6" t="s">
        <v>119</v>
      </c>
      <c r="C29" s="6" t="s">
        <v>124</v>
      </c>
      <c r="D29" s="6"/>
      <c r="E29" s="6" t="s">
        <v>1807</v>
      </c>
      <c r="F29" s="50"/>
      <c r="G29" s="50"/>
      <c r="H29" s="50"/>
      <c r="I29" s="50"/>
      <c r="J29" s="50"/>
      <c r="K29" s="50"/>
      <c r="L29" s="50"/>
      <c r="M29" s="50"/>
      <c r="N29" s="50"/>
      <c r="O29" s="50"/>
      <c r="P29" s="50"/>
      <c r="Q29" s="50"/>
      <c r="R29" s="50"/>
      <c r="S29" s="50"/>
      <c r="T29" s="50"/>
      <c r="U29" s="50"/>
      <c r="V29" s="50"/>
    </row>
    <row r="30" spans="1:22" ht="18" customHeight="1" x14ac:dyDescent="0.15">
      <c r="A30" s="5" t="s">
        <v>28</v>
      </c>
      <c r="B30" s="6" t="s">
        <v>135</v>
      </c>
      <c r="C30" s="6" t="s">
        <v>136</v>
      </c>
      <c r="D30" s="6">
        <v>2</v>
      </c>
      <c r="E30" s="6" t="s">
        <v>731</v>
      </c>
      <c r="F30" s="50">
        <v>0.23597095885567801</v>
      </c>
      <c r="G30" s="50">
        <v>0.14452092195216901</v>
      </c>
      <c r="H30" s="50">
        <v>0.102515146903059</v>
      </c>
      <c r="I30" s="50"/>
      <c r="J30" s="50"/>
      <c r="K30" s="50">
        <v>0.43880015127230099</v>
      </c>
      <c r="L30" s="50">
        <v>0.26543960640111303</v>
      </c>
      <c r="M30" s="50">
        <v>9.8309027745127703E-2</v>
      </c>
      <c r="N30" s="50">
        <v>0.34011280650714398</v>
      </c>
      <c r="O30" s="50">
        <v>0.365147817339046</v>
      </c>
      <c r="P30" s="50">
        <v>-1.6435746610606801</v>
      </c>
      <c r="Q30" s="50">
        <v>0.100264091549211</v>
      </c>
      <c r="R30" s="50">
        <v>1.3526984263292401E-2</v>
      </c>
      <c r="S30" s="50">
        <v>6.5286423347825197E-3</v>
      </c>
      <c r="T30" s="50">
        <v>0.367345238851286</v>
      </c>
      <c r="U30" s="50">
        <v>-7.0732684826017101E-3</v>
      </c>
      <c r="V30" s="50">
        <v>5.8854256420378601E-3</v>
      </c>
    </row>
    <row r="31" spans="1:22" ht="18" customHeight="1" x14ac:dyDescent="0.15">
      <c r="A31" s="5" t="s">
        <v>28</v>
      </c>
      <c r="B31" s="6" t="s">
        <v>141</v>
      </c>
      <c r="C31" s="6" t="s">
        <v>1811</v>
      </c>
      <c r="D31" s="6">
        <v>27</v>
      </c>
      <c r="E31" s="6" t="s">
        <v>731</v>
      </c>
      <c r="F31" s="50">
        <v>-1.2904537645988E-2</v>
      </c>
      <c r="G31" s="50">
        <v>3.2061556017699902E-2</v>
      </c>
      <c r="H31" s="50">
        <v>0.68732156533364097</v>
      </c>
      <c r="I31" s="50">
        <v>0.22194920073414701</v>
      </c>
      <c r="J31" s="50">
        <v>6.6755853373524507E-2</v>
      </c>
      <c r="K31" s="50">
        <v>-1.53015056072861E-2</v>
      </c>
      <c r="L31" s="50">
        <v>3.8233828616683098E-2</v>
      </c>
      <c r="M31" s="50">
        <v>0.68900290816410403</v>
      </c>
      <c r="N31" s="50">
        <v>0.79096395607709702</v>
      </c>
      <c r="O31" s="50">
        <v>0.81962207042771595</v>
      </c>
      <c r="P31" s="50">
        <v>0.31172201396779198</v>
      </c>
      <c r="Q31" s="50">
        <v>0.755251796277295</v>
      </c>
      <c r="R31" s="50">
        <v>1.6197738014497899E-2</v>
      </c>
      <c r="S31" s="50">
        <v>6.5286423347825197E-3</v>
      </c>
      <c r="T31" s="50">
        <v>-3.4225125315929402E-3</v>
      </c>
      <c r="U31" s="50">
        <v>-1.11309105579149E-3</v>
      </c>
      <c r="V31" s="50">
        <v>1.38117007721884E-3</v>
      </c>
    </row>
    <row r="32" spans="1:22" ht="18" customHeight="1" x14ac:dyDescent="0.15">
      <c r="A32" s="5" t="s">
        <v>28</v>
      </c>
      <c r="B32" s="6" t="s">
        <v>1808</v>
      </c>
      <c r="C32" s="6" t="s">
        <v>155</v>
      </c>
      <c r="D32" s="6">
        <v>2</v>
      </c>
      <c r="E32" s="6" t="s">
        <v>731</v>
      </c>
      <c r="F32" s="50">
        <v>-3.4829457869560203E-2</v>
      </c>
      <c r="G32" s="50">
        <v>8.6219491898417294E-2</v>
      </c>
      <c r="H32" s="50">
        <v>0.68624015561766005</v>
      </c>
      <c r="I32" s="50"/>
      <c r="J32" s="50"/>
      <c r="K32" s="50">
        <v>-5.5730537721630301E-2</v>
      </c>
      <c r="L32" s="50">
        <v>0.13833195730043299</v>
      </c>
      <c r="M32" s="50">
        <v>0.68703991534273301</v>
      </c>
      <c r="N32" s="50">
        <v>0.79096395607709702</v>
      </c>
      <c r="O32" s="50">
        <v>0.81962207042771595</v>
      </c>
      <c r="P32" s="50">
        <v>0.39588824960269497</v>
      </c>
      <c r="Q32" s="50">
        <v>0.69218746985507895</v>
      </c>
      <c r="R32" s="50">
        <v>1.4198297808672E-2</v>
      </c>
      <c r="S32" s="50">
        <v>6.5286423347825197E-3</v>
      </c>
      <c r="T32" s="50">
        <v>0.48219408984873502</v>
      </c>
      <c r="U32" s="50">
        <v>-1.9623400291198E-4</v>
      </c>
      <c r="V32" s="50">
        <v>1.42295344024267E-3</v>
      </c>
    </row>
    <row r="33" spans="1:22" ht="18" customHeight="1" x14ac:dyDescent="0.15">
      <c r="A33" s="5" t="s">
        <v>28</v>
      </c>
      <c r="B33" s="6" t="s">
        <v>158</v>
      </c>
      <c r="C33" s="6" t="s">
        <v>163</v>
      </c>
      <c r="D33" s="6">
        <v>2</v>
      </c>
      <c r="E33" s="6" t="s">
        <v>731</v>
      </c>
      <c r="F33" s="50">
        <v>3.24037367366787E-2</v>
      </c>
      <c r="G33" s="50">
        <v>7.8063330490206598E-2</v>
      </c>
      <c r="H33" s="50">
        <v>0.678071997910491</v>
      </c>
      <c r="I33" s="50"/>
      <c r="J33" s="50"/>
      <c r="K33" s="50">
        <v>6.04724746986052E-2</v>
      </c>
      <c r="L33" s="50">
        <v>0.14020561859855499</v>
      </c>
      <c r="M33" s="50">
        <v>0.66624096130038601</v>
      </c>
      <c r="N33" s="50">
        <v>0.79096395607709702</v>
      </c>
      <c r="O33" s="50">
        <v>0.81962207042771595</v>
      </c>
      <c r="P33" s="50">
        <v>-0.44778987096953898</v>
      </c>
      <c r="Q33" s="50">
        <v>0.65430485422718399</v>
      </c>
      <c r="R33" s="50">
        <v>0.141586504096476</v>
      </c>
      <c r="S33" s="50">
        <v>6.5286423347825197E-3</v>
      </c>
      <c r="T33" s="50">
        <v>0.40403221623117502</v>
      </c>
      <c r="U33" s="50">
        <v>-8.7238951803504904E-3</v>
      </c>
      <c r="V33" s="50">
        <v>4.4506008142779401E-3</v>
      </c>
    </row>
    <row r="34" spans="1:22" ht="18" customHeight="1" x14ac:dyDescent="0.15">
      <c r="A34" s="5" t="s">
        <v>28</v>
      </c>
      <c r="B34" s="6" t="s">
        <v>165</v>
      </c>
      <c r="C34" s="6" t="s">
        <v>169</v>
      </c>
      <c r="D34" s="6"/>
      <c r="E34" s="6" t="s">
        <v>1810</v>
      </c>
      <c r="F34" s="50"/>
      <c r="G34" s="50"/>
      <c r="H34" s="50"/>
      <c r="I34" s="50"/>
      <c r="J34" s="50"/>
      <c r="K34" s="50"/>
      <c r="L34" s="50"/>
      <c r="M34" s="50"/>
      <c r="N34" s="50"/>
      <c r="O34" s="50"/>
      <c r="P34" s="50"/>
      <c r="Q34" s="50"/>
      <c r="R34" s="50"/>
      <c r="S34" s="50"/>
      <c r="T34" s="50"/>
      <c r="U34" s="50"/>
      <c r="V34" s="50"/>
    </row>
    <row r="35" spans="1:22" ht="18" customHeight="1" x14ac:dyDescent="0.15">
      <c r="A35" s="5" t="s">
        <v>28</v>
      </c>
      <c r="B35" s="6" t="s">
        <v>173</v>
      </c>
      <c r="C35" s="6" t="s">
        <v>180</v>
      </c>
      <c r="D35" s="6">
        <v>3</v>
      </c>
      <c r="E35" s="6" t="s">
        <v>731</v>
      </c>
      <c r="F35" s="50">
        <v>0.32998556379560301</v>
      </c>
      <c r="G35" s="50">
        <v>0.102857567349663</v>
      </c>
      <c r="H35" s="50">
        <v>1.3357798767555599E-3</v>
      </c>
      <c r="I35" s="50">
        <v>0.79353182255291899</v>
      </c>
      <c r="J35" s="50">
        <v>0.83485963413305897</v>
      </c>
      <c r="K35" s="50">
        <v>0.57879269372458797</v>
      </c>
      <c r="L35" s="50">
        <v>0.17985542979934999</v>
      </c>
      <c r="M35" s="50">
        <v>1.290429818786E-3</v>
      </c>
      <c r="N35" s="50">
        <v>1.5485157825432E-2</v>
      </c>
      <c r="O35" s="50">
        <v>1.11837250961453E-2</v>
      </c>
      <c r="P35" s="50">
        <v>-3.0990115352435499</v>
      </c>
      <c r="Q35" s="50">
        <v>1.94167460135117E-3</v>
      </c>
      <c r="R35" s="50">
        <v>2.08122739274486E-2</v>
      </c>
      <c r="S35" s="50">
        <v>6.5286423347825197E-3</v>
      </c>
      <c r="T35" s="50">
        <v>0.390099921197679</v>
      </c>
      <c r="U35" s="50">
        <v>-1.90753003762869E-3</v>
      </c>
      <c r="V35" s="50">
        <v>5.8803204315041298E-3</v>
      </c>
    </row>
    <row r="36" spans="1:22" ht="18" customHeight="1" x14ac:dyDescent="0.15">
      <c r="A36" s="23" t="s">
        <v>28</v>
      </c>
      <c r="B36" s="27" t="s">
        <v>181</v>
      </c>
      <c r="C36" s="27" t="s">
        <v>185</v>
      </c>
      <c r="D36" s="27">
        <v>4</v>
      </c>
      <c r="E36" s="27" t="s">
        <v>731</v>
      </c>
      <c r="F36" s="52">
        <v>0.247753353531458</v>
      </c>
      <c r="G36" s="52">
        <v>8.5948085108112401E-2</v>
      </c>
      <c r="H36" s="52">
        <v>3.9441661503687598E-3</v>
      </c>
      <c r="I36" s="52">
        <v>-0.26998149455710702</v>
      </c>
      <c r="J36" s="52">
        <v>0.90669637298486305</v>
      </c>
      <c r="K36" s="52">
        <v>0.41029313323523398</v>
      </c>
      <c r="L36" s="52">
        <v>0.142319026121282</v>
      </c>
      <c r="M36" s="52">
        <v>3.9401833270723803E-3</v>
      </c>
      <c r="N36" s="52">
        <v>2.3641099962434301E-2</v>
      </c>
      <c r="O36" s="52">
        <v>2.56111916259705E-2</v>
      </c>
      <c r="P36" s="52">
        <v>-2.79711986532116</v>
      </c>
      <c r="Q36" s="52">
        <v>5.1560400740214996E-3</v>
      </c>
      <c r="R36" s="52">
        <v>2.1066639256155002E-2</v>
      </c>
      <c r="S36" s="52">
        <v>6.5286423347825197E-3</v>
      </c>
      <c r="T36" s="52">
        <v>0.37178464444412601</v>
      </c>
      <c r="U36" s="52">
        <v>1.4088428661385101E-3</v>
      </c>
      <c r="V36" s="52">
        <v>4.7453171713228203E-3</v>
      </c>
    </row>
    <row r="37" spans="1:22" ht="18" customHeight="1" x14ac:dyDescent="0.15"/>
    <row r="38" spans="1:22" ht="108" customHeight="1" x14ac:dyDescent="0.15">
      <c r="A38" s="75" t="s">
        <v>1812</v>
      </c>
      <c r="B38" s="74"/>
      <c r="C38" s="74"/>
      <c r="D38" s="74"/>
      <c r="E38" s="74"/>
      <c r="F38" s="74"/>
      <c r="G38" s="74"/>
      <c r="H38" s="74"/>
    </row>
  </sheetData>
  <mergeCells count="2">
    <mergeCell ref="A1:T1"/>
    <mergeCell ref="A38:H38"/>
  </mergeCells>
  <phoneticPr fontId="5" type="noConversion"/>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Q98"/>
  <sheetViews>
    <sheetView topLeftCell="A58" workbookViewId="0">
      <selection activeCell="D92" sqref="D92"/>
    </sheetView>
  </sheetViews>
  <sheetFormatPr defaultRowHeight="13.5" x14ac:dyDescent="0.15"/>
  <cols>
    <col min="1" max="1" width="24" customWidth="1"/>
    <col min="2" max="2" width="39.125" customWidth="1"/>
    <col min="3" max="3" width="11" customWidth="1"/>
    <col min="4" max="4" width="30" customWidth="1"/>
    <col min="5" max="5" width="20.125" customWidth="1"/>
    <col min="6" max="6" width="19.75" customWidth="1"/>
    <col min="7" max="7" width="36.75" customWidth="1"/>
    <col min="8" max="8" width="8" customWidth="1"/>
    <col min="9" max="9" width="13.125" customWidth="1"/>
    <col min="10" max="10" width="11.375" customWidth="1"/>
    <col min="11" max="11" width="11" customWidth="1"/>
    <col min="12" max="12" width="8.625" customWidth="1"/>
    <col min="13" max="13" width="9.875" customWidth="1"/>
    <col min="14" max="14" width="19.25" customWidth="1"/>
    <col min="15" max="15" width="18.625" customWidth="1"/>
    <col min="16" max="16" width="47" customWidth="1"/>
    <col min="17" max="17" width="11.625" customWidth="1"/>
    <col min="18" max="20" width="10.25" customWidth="1"/>
    <col min="21" max="21" width="27.25" customWidth="1"/>
  </cols>
  <sheetData>
    <row r="1" spans="1:17" ht="18" customHeight="1" x14ac:dyDescent="0.15">
      <c r="A1" s="76" t="s">
        <v>1813</v>
      </c>
      <c r="B1" s="74"/>
      <c r="C1" s="74"/>
      <c r="D1" s="74"/>
      <c r="E1" s="74"/>
      <c r="F1" s="74"/>
      <c r="G1" s="74"/>
      <c r="H1" s="74"/>
      <c r="I1" s="74"/>
      <c r="J1" s="74"/>
      <c r="K1" s="74"/>
      <c r="L1" s="74"/>
      <c r="M1" s="74"/>
      <c r="N1" s="74"/>
      <c r="O1" s="74"/>
      <c r="P1" s="74"/>
      <c r="Q1" s="74"/>
    </row>
    <row r="2" spans="1:17" ht="18" customHeight="1" x14ac:dyDescent="0.15"/>
    <row r="3" spans="1:17" ht="18" customHeight="1" x14ac:dyDescent="0.15">
      <c r="A3" s="22" t="s">
        <v>410</v>
      </c>
      <c r="B3" s="20" t="s">
        <v>395</v>
      </c>
      <c r="C3" s="20" t="s">
        <v>6</v>
      </c>
      <c r="D3" s="20" t="s">
        <v>429</v>
      </c>
      <c r="E3" s="20" t="s">
        <v>1660</v>
      </c>
      <c r="F3" s="20" t="s">
        <v>1814</v>
      </c>
      <c r="G3" s="20" t="s">
        <v>1815</v>
      </c>
      <c r="H3" s="20" t="s">
        <v>583</v>
      </c>
      <c r="I3" s="20" t="s">
        <v>1816</v>
      </c>
      <c r="J3" s="20" t="s">
        <v>1817</v>
      </c>
      <c r="K3" s="20" t="s">
        <v>1818</v>
      </c>
      <c r="L3" s="26" t="s">
        <v>370</v>
      </c>
      <c r="M3" s="20" t="s">
        <v>1819</v>
      </c>
      <c r="N3" s="20" t="s">
        <v>1820</v>
      </c>
      <c r="O3" s="20" t="s">
        <v>1821</v>
      </c>
      <c r="P3" s="20" t="s">
        <v>1822</v>
      </c>
    </row>
    <row r="4" spans="1:17" ht="18" customHeight="1" x14ac:dyDescent="0.15">
      <c r="A4" s="5" t="s">
        <v>1823</v>
      </c>
      <c r="B4" s="6" t="s">
        <v>1824</v>
      </c>
      <c r="C4" s="6" t="s">
        <v>20</v>
      </c>
      <c r="D4" s="6" t="s">
        <v>17</v>
      </c>
      <c r="E4" s="6" t="s">
        <v>181</v>
      </c>
      <c r="F4" s="6" t="s">
        <v>182</v>
      </c>
      <c r="G4" s="6" t="s">
        <v>1825</v>
      </c>
      <c r="H4" s="6">
        <v>110</v>
      </c>
      <c r="I4" s="50">
        <v>1.1290279427161301</v>
      </c>
      <c r="J4" s="50">
        <v>1.0733045410540101</v>
      </c>
      <c r="K4" s="50">
        <v>1.1876443699586301</v>
      </c>
      <c r="L4" s="50">
        <v>2.6091062004200002E-6</v>
      </c>
      <c r="M4" s="50">
        <v>0.28892981461032002</v>
      </c>
      <c r="N4" s="50">
        <v>15.0289151190486</v>
      </c>
      <c r="O4" s="43">
        <v>5.0081246244780901</v>
      </c>
      <c r="P4" s="6" t="s">
        <v>1826</v>
      </c>
    </row>
    <row r="5" spans="1:17" ht="18" customHeight="1" x14ac:dyDescent="0.15">
      <c r="A5" s="5" t="s">
        <v>1823</v>
      </c>
      <c r="B5" s="6" t="s">
        <v>1827</v>
      </c>
      <c r="C5" s="6" t="s">
        <v>20</v>
      </c>
      <c r="D5" s="6" t="s">
        <v>316</v>
      </c>
      <c r="E5" s="6" t="s">
        <v>181</v>
      </c>
      <c r="F5" s="6" t="s">
        <v>182</v>
      </c>
      <c r="G5" s="6" t="s">
        <v>1825</v>
      </c>
      <c r="H5" s="6">
        <v>38</v>
      </c>
      <c r="I5" s="50">
        <v>1.13266713958848</v>
      </c>
      <c r="J5" s="50">
        <v>1.0691751848148201</v>
      </c>
      <c r="K5" s="50">
        <v>1.19992950390608</v>
      </c>
      <c r="L5" s="50">
        <v>2.310314268033E-5</v>
      </c>
      <c r="M5" s="50">
        <v>2.8091527651271202E-2</v>
      </c>
      <c r="N5" s="50">
        <v>21.180765956492099</v>
      </c>
      <c r="O5" s="43">
        <v>7.8713635542982203</v>
      </c>
      <c r="P5" s="6" t="s">
        <v>1828</v>
      </c>
    </row>
    <row r="6" spans="1:17" ht="18" customHeight="1" x14ac:dyDescent="0.15">
      <c r="A6" s="5" t="s">
        <v>1823</v>
      </c>
      <c r="B6" s="6" t="s">
        <v>1829</v>
      </c>
      <c r="C6" s="6" t="s">
        <v>20</v>
      </c>
      <c r="D6" s="6" t="s">
        <v>17</v>
      </c>
      <c r="E6" s="6" t="s">
        <v>181</v>
      </c>
      <c r="F6" s="6" t="s">
        <v>182</v>
      </c>
      <c r="G6" s="6" t="s">
        <v>1825</v>
      </c>
      <c r="H6" s="6">
        <v>160</v>
      </c>
      <c r="I6" s="50">
        <v>1.09714551103294</v>
      </c>
      <c r="J6" s="50">
        <v>1.04907014719267</v>
      </c>
      <c r="K6" s="50">
        <v>1.14742400744215</v>
      </c>
      <c r="L6" s="50">
        <v>5.0037389992620001E-5</v>
      </c>
      <c r="M6" s="50">
        <v>0.50694884556101105</v>
      </c>
      <c r="N6" s="50">
        <v>13.574517496914201</v>
      </c>
      <c r="O6" s="43">
        <v>3.9274288831468298</v>
      </c>
      <c r="P6" s="6" t="s">
        <v>1830</v>
      </c>
    </row>
    <row r="7" spans="1:17" ht="18" customHeight="1" x14ac:dyDescent="0.15">
      <c r="A7" s="5" t="s">
        <v>1823</v>
      </c>
      <c r="B7" s="6" t="s">
        <v>1831</v>
      </c>
      <c r="C7" s="6" t="s">
        <v>28</v>
      </c>
      <c r="D7" s="6" t="s">
        <v>17</v>
      </c>
      <c r="E7" s="6" t="s">
        <v>181</v>
      </c>
      <c r="F7" s="6" t="s">
        <v>185</v>
      </c>
      <c r="G7" s="6" t="s">
        <v>1825</v>
      </c>
      <c r="H7" s="6">
        <v>150</v>
      </c>
      <c r="I7" s="50">
        <v>1.0519880729526601</v>
      </c>
      <c r="J7" s="50">
        <v>1.0247351199058199</v>
      </c>
      <c r="K7" s="50">
        <v>1.07996582154456</v>
      </c>
      <c r="L7" s="50">
        <v>1.5396659559541E-4</v>
      </c>
      <c r="M7" s="50">
        <v>0.24158310079744399</v>
      </c>
      <c r="N7" s="50">
        <v>13.677796296260199</v>
      </c>
      <c r="O7" s="43">
        <v>4.2504402961741397</v>
      </c>
      <c r="P7" s="6" t="s">
        <v>1832</v>
      </c>
    </row>
    <row r="8" spans="1:17" ht="18" customHeight="1" x14ac:dyDescent="0.15">
      <c r="A8" s="5" t="s">
        <v>1823</v>
      </c>
      <c r="B8" s="6" t="s">
        <v>1833</v>
      </c>
      <c r="C8" s="6" t="s">
        <v>20</v>
      </c>
      <c r="D8" s="6" t="s">
        <v>17</v>
      </c>
      <c r="E8" s="6" t="s">
        <v>181</v>
      </c>
      <c r="F8" s="6" t="s">
        <v>182</v>
      </c>
      <c r="G8" s="6" t="s">
        <v>1834</v>
      </c>
      <c r="H8" s="6">
        <v>37</v>
      </c>
      <c r="I8" s="50">
        <v>1.1368597309766899</v>
      </c>
      <c r="J8" s="50">
        <v>1.05506936679413</v>
      </c>
      <c r="K8" s="50">
        <v>1.2249905917025601</v>
      </c>
      <c r="L8" s="50">
        <v>7.5926227978951005E-4</v>
      </c>
      <c r="M8" s="50">
        <v>3.50620727552566E-2</v>
      </c>
      <c r="N8" s="50">
        <v>21.301572622492198</v>
      </c>
      <c r="O8" s="43">
        <v>4.6239579218780502</v>
      </c>
      <c r="P8" s="6" t="s">
        <v>1835</v>
      </c>
    </row>
    <row r="9" spans="1:17" ht="18" customHeight="1" x14ac:dyDescent="0.15">
      <c r="A9" s="5" t="s">
        <v>1823</v>
      </c>
      <c r="B9" s="6" t="s">
        <v>1836</v>
      </c>
      <c r="C9" s="6" t="s">
        <v>20</v>
      </c>
      <c r="D9" s="6" t="s">
        <v>17</v>
      </c>
      <c r="E9" s="6" t="s">
        <v>181</v>
      </c>
      <c r="F9" s="6" t="s">
        <v>182</v>
      </c>
      <c r="G9" s="6" t="s">
        <v>1825</v>
      </c>
      <c r="H9" s="6">
        <v>41</v>
      </c>
      <c r="I9" s="50">
        <v>1.1263780707803901</v>
      </c>
      <c r="J9" s="50">
        <v>1.05071265412146</v>
      </c>
      <c r="K9" s="50">
        <v>1.20749241322861</v>
      </c>
      <c r="L9" s="50">
        <v>7.9562292235609E-4</v>
      </c>
      <c r="M9" s="50">
        <v>7.1709519320836607E-2</v>
      </c>
      <c r="N9" s="50">
        <v>21.6954192192173</v>
      </c>
      <c r="O9" s="43">
        <v>7.6150768370773401</v>
      </c>
      <c r="P9" s="6" t="s">
        <v>1837</v>
      </c>
    </row>
    <row r="10" spans="1:17" ht="18" customHeight="1" x14ac:dyDescent="0.15">
      <c r="A10" s="5" t="s">
        <v>1823</v>
      </c>
      <c r="B10" s="6" t="s">
        <v>1838</v>
      </c>
      <c r="C10" s="6" t="s">
        <v>20</v>
      </c>
      <c r="D10" s="6" t="s">
        <v>17</v>
      </c>
      <c r="E10" s="6" t="s">
        <v>181</v>
      </c>
      <c r="F10" s="6" t="s">
        <v>182</v>
      </c>
      <c r="G10" s="6" t="s">
        <v>1825</v>
      </c>
      <c r="H10" s="6">
        <v>9</v>
      </c>
      <c r="I10" s="50">
        <v>1.25115165708125</v>
      </c>
      <c r="J10" s="50">
        <v>1.0947926954665701</v>
      </c>
      <c r="K10" s="50">
        <v>1.42984190111904</v>
      </c>
      <c r="L10" s="50">
        <v>1.00312237753762E-3</v>
      </c>
      <c r="M10" s="50">
        <v>0.70960213600076305</v>
      </c>
      <c r="N10" s="50">
        <v>40.7489477389597</v>
      </c>
      <c r="O10" s="43">
        <v>6.3051812047932296</v>
      </c>
      <c r="P10" s="6" t="s">
        <v>1839</v>
      </c>
    </row>
    <row r="11" spans="1:17" ht="18" customHeight="1" x14ac:dyDescent="0.15">
      <c r="A11" s="5" t="s">
        <v>1823</v>
      </c>
      <c r="B11" s="6" t="s">
        <v>1840</v>
      </c>
      <c r="C11" s="6" t="s">
        <v>20</v>
      </c>
      <c r="D11" s="6" t="s">
        <v>17</v>
      </c>
      <c r="E11" s="6" t="s">
        <v>181</v>
      </c>
      <c r="F11" s="6" t="s">
        <v>182</v>
      </c>
      <c r="G11" s="6" t="s">
        <v>1841</v>
      </c>
      <c r="H11" s="6">
        <v>41</v>
      </c>
      <c r="I11" s="50">
        <v>1.1235612730370399</v>
      </c>
      <c r="J11" s="50">
        <v>1.0479280840783001</v>
      </c>
      <c r="K11" s="50">
        <v>1.20465321375459</v>
      </c>
      <c r="L11" s="50">
        <v>1.05035238226882E-3</v>
      </c>
      <c r="M11" s="50">
        <v>7.1509549847445494E-2</v>
      </c>
      <c r="N11" s="50">
        <v>22.252988483665199</v>
      </c>
      <c r="O11" s="43">
        <v>7.2379473563329997</v>
      </c>
      <c r="P11" s="6" t="s">
        <v>1842</v>
      </c>
    </row>
    <row r="12" spans="1:17" ht="18" customHeight="1" x14ac:dyDescent="0.15">
      <c r="A12" s="5" t="s">
        <v>1823</v>
      </c>
      <c r="B12" s="6" t="s">
        <v>1843</v>
      </c>
      <c r="C12" s="6" t="s">
        <v>20</v>
      </c>
      <c r="D12" s="6" t="s">
        <v>17</v>
      </c>
      <c r="E12" s="6" t="s">
        <v>181</v>
      </c>
      <c r="F12" s="6" t="s">
        <v>182</v>
      </c>
      <c r="G12" s="6" t="s">
        <v>268</v>
      </c>
      <c r="H12" s="6">
        <v>42</v>
      </c>
      <c r="I12" s="50">
        <v>1.12154129311163</v>
      </c>
      <c r="J12" s="50">
        <v>1.0468210849450601</v>
      </c>
      <c r="K12" s="50">
        <v>1.20159489548353</v>
      </c>
      <c r="L12" s="50">
        <v>1.1109285296917301E-3</v>
      </c>
      <c r="M12" s="50">
        <v>6.1238874472605703E-2</v>
      </c>
      <c r="N12" s="50">
        <v>21.108629666713799</v>
      </c>
      <c r="O12" s="43">
        <v>7.6375250319969199</v>
      </c>
      <c r="P12" s="6" t="s">
        <v>1844</v>
      </c>
    </row>
    <row r="13" spans="1:17" ht="18" customHeight="1" x14ac:dyDescent="0.15">
      <c r="A13" s="5" t="s">
        <v>1823</v>
      </c>
      <c r="B13" s="6" t="s">
        <v>1845</v>
      </c>
      <c r="C13" s="6" t="s">
        <v>20</v>
      </c>
      <c r="D13" s="6" t="s">
        <v>17</v>
      </c>
      <c r="E13" s="6" t="s">
        <v>181</v>
      </c>
      <c r="F13" s="6" t="s">
        <v>182</v>
      </c>
      <c r="G13" s="6" t="s">
        <v>1825</v>
      </c>
      <c r="H13" s="6">
        <v>42</v>
      </c>
      <c r="I13" s="50">
        <v>1.1189501707107701</v>
      </c>
      <c r="J13" s="50">
        <v>1.0445731154573199</v>
      </c>
      <c r="K13" s="50">
        <v>1.1986231179092901</v>
      </c>
      <c r="L13" s="50">
        <v>1.3617230375330899E-3</v>
      </c>
      <c r="M13" s="50">
        <v>5.8255832357488803E-2</v>
      </c>
      <c r="N13" s="50">
        <v>21.679343086894601</v>
      </c>
      <c r="O13" s="43">
        <v>7.4034603068664602</v>
      </c>
      <c r="P13" s="6" t="s">
        <v>1846</v>
      </c>
    </row>
    <row r="14" spans="1:17" ht="18" customHeight="1" x14ac:dyDescent="0.15">
      <c r="A14" s="5" t="s">
        <v>1823</v>
      </c>
      <c r="B14" s="6" t="s">
        <v>1847</v>
      </c>
      <c r="C14" s="6" t="s">
        <v>28</v>
      </c>
      <c r="D14" s="6" t="s">
        <v>17</v>
      </c>
      <c r="E14" s="6" t="s">
        <v>181</v>
      </c>
      <c r="F14" s="6" t="s">
        <v>185</v>
      </c>
      <c r="G14" s="6" t="s">
        <v>1841</v>
      </c>
      <c r="H14" s="6">
        <v>37</v>
      </c>
      <c r="I14" s="50">
        <v>1.07310404656795</v>
      </c>
      <c r="J14" s="50">
        <v>1.0270923924375499</v>
      </c>
      <c r="K14" s="50">
        <v>1.1211769293973499</v>
      </c>
      <c r="L14" s="50">
        <v>1.6017981806704001E-3</v>
      </c>
      <c r="M14" s="50">
        <v>0.35755953122134998</v>
      </c>
      <c r="N14" s="50">
        <v>21.942358252975499</v>
      </c>
      <c r="O14" s="43">
        <v>7.9480624256736698</v>
      </c>
      <c r="P14" s="6" t="s">
        <v>1848</v>
      </c>
    </row>
    <row r="15" spans="1:17" ht="18" customHeight="1" x14ac:dyDescent="0.15">
      <c r="A15" s="5" t="s">
        <v>1823</v>
      </c>
      <c r="B15" s="6" t="s">
        <v>1849</v>
      </c>
      <c r="C15" s="6" t="s">
        <v>20</v>
      </c>
      <c r="D15" s="6" t="s">
        <v>17</v>
      </c>
      <c r="E15" s="6" t="s">
        <v>181</v>
      </c>
      <c r="F15" s="6" t="s">
        <v>182</v>
      </c>
      <c r="G15" s="6" t="s">
        <v>1825</v>
      </c>
      <c r="H15" s="6">
        <v>5</v>
      </c>
      <c r="I15" s="50">
        <v>1.34761855113312</v>
      </c>
      <c r="J15" s="50">
        <v>1.11944611911259</v>
      </c>
      <c r="K15" s="50">
        <v>1.6222984995452701</v>
      </c>
      <c r="L15" s="50">
        <v>1.6205821229396801E-3</v>
      </c>
      <c r="M15" s="50">
        <v>0.85150303572434904</v>
      </c>
      <c r="N15" s="50">
        <v>60.370139939599198</v>
      </c>
      <c r="O15" s="43">
        <v>13.1455118679865</v>
      </c>
      <c r="P15" s="6" t="s">
        <v>1850</v>
      </c>
    </row>
    <row r="16" spans="1:17" ht="18" customHeight="1" x14ac:dyDescent="0.15">
      <c r="A16" s="5" t="s">
        <v>1823</v>
      </c>
      <c r="B16" s="6" t="s">
        <v>1851</v>
      </c>
      <c r="C16" s="6" t="s">
        <v>28</v>
      </c>
      <c r="D16" s="6" t="s">
        <v>17</v>
      </c>
      <c r="E16" s="6" t="s">
        <v>181</v>
      </c>
      <c r="F16" s="6" t="s">
        <v>185</v>
      </c>
      <c r="G16" s="6" t="s">
        <v>1825</v>
      </c>
      <c r="H16" s="6">
        <v>37</v>
      </c>
      <c r="I16" s="50">
        <v>1.07273989090708</v>
      </c>
      <c r="J16" s="50">
        <v>1.0268662277621601</v>
      </c>
      <c r="K16" s="50">
        <v>1.12066288911965</v>
      </c>
      <c r="L16" s="50">
        <v>1.6385084330893501E-3</v>
      </c>
      <c r="M16" s="50">
        <v>0.402102720378814</v>
      </c>
      <c r="N16" s="50">
        <v>21.366919981789099</v>
      </c>
      <c r="O16" s="43">
        <v>8.6030883055585701</v>
      </c>
      <c r="P16" s="6" t="s">
        <v>1852</v>
      </c>
    </row>
    <row r="17" spans="1:16" ht="18" customHeight="1" x14ac:dyDescent="0.15">
      <c r="A17" s="5" t="s">
        <v>1823</v>
      </c>
      <c r="B17" s="6" t="s">
        <v>1853</v>
      </c>
      <c r="C17" s="6" t="s">
        <v>28</v>
      </c>
      <c r="D17" s="6" t="s">
        <v>17</v>
      </c>
      <c r="E17" s="6" t="s">
        <v>181</v>
      </c>
      <c r="F17" s="6" t="s">
        <v>185</v>
      </c>
      <c r="G17" s="6" t="s">
        <v>1825</v>
      </c>
      <c r="H17" s="6">
        <v>41</v>
      </c>
      <c r="I17" s="50">
        <v>1.07076109118507</v>
      </c>
      <c r="J17" s="50">
        <v>1.02565956953437</v>
      </c>
      <c r="K17" s="50">
        <v>1.11784587055172</v>
      </c>
      <c r="L17" s="50">
        <v>1.84608354224342E-3</v>
      </c>
      <c r="M17" s="50">
        <v>0.47543585056330601</v>
      </c>
      <c r="N17" s="50">
        <v>19.708508839160899</v>
      </c>
      <c r="O17" s="43">
        <v>8.8997860044874901</v>
      </c>
      <c r="P17" s="6" t="s">
        <v>1854</v>
      </c>
    </row>
    <row r="18" spans="1:16" ht="18" customHeight="1" x14ac:dyDescent="0.15">
      <c r="A18" s="5" t="s">
        <v>1823</v>
      </c>
      <c r="B18" s="6" t="s">
        <v>1855</v>
      </c>
      <c r="C18" s="6" t="s">
        <v>28</v>
      </c>
      <c r="D18" s="6" t="s">
        <v>17</v>
      </c>
      <c r="E18" s="6" t="s">
        <v>181</v>
      </c>
      <c r="F18" s="6" t="s">
        <v>185</v>
      </c>
      <c r="G18" s="6" t="s">
        <v>1825</v>
      </c>
      <c r="H18" s="6">
        <v>38</v>
      </c>
      <c r="I18" s="50">
        <v>1.07057322916481</v>
      </c>
      <c r="J18" s="50">
        <v>1.02489318099328</v>
      </c>
      <c r="K18" s="50">
        <v>1.1182892620025</v>
      </c>
      <c r="L18" s="50">
        <v>2.1752319485481499E-3</v>
      </c>
      <c r="M18" s="50">
        <v>0.37491170351728897</v>
      </c>
      <c r="N18" s="50">
        <v>20.850109861608001</v>
      </c>
      <c r="O18" s="43">
        <v>9.0122508893020594</v>
      </c>
      <c r="P18" s="6" t="s">
        <v>1856</v>
      </c>
    </row>
    <row r="19" spans="1:16" ht="18" customHeight="1" x14ac:dyDescent="0.15">
      <c r="A19" s="5" t="s">
        <v>1823</v>
      </c>
      <c r="B19" s="6" t="s">
        <v>1857</v>
      </c>
      <c r="C19" s="6" t="s">
        <v>28</v>
      </c>
      <c r="D19" s="6" t="s">
        <v>17</v>
      </c>
      <c r="E19" s="6" t="s">
        <v>181</v>
      </c>
      <c r="F19" s="6" t="s">
        <v>185</v>
      </c>
      <c r="G19" s="6" t="s">
        <v>1825</v>
      </c>
      <c r="H19" s="6">
        <v>42</v>
      </c>
      <c r="I19" s="50">
        <v>1.06714515174795</v>
      </c>
      <c r="J19" s="50">
        <v>1.0227588444321301</v>
      </c>
      <c r="K19" s="50">
        <v>1.1134577628917499</v>
      </c>
      <c r="L19" s="50">
        <v>2.7155492785398499E-3</v>
      </c>
      <c r="M19" s="50">
        <v>0.47874806270430897</v>
      </c>
      <c r="N19" s="50">
        <v>19.789324384195702</v>
      </c>
      <c r="O19" s="43">
        <v>8.6899516475695204</v>
      </c>
      <c r="P19" s="6" t="s">
        <v>1858</v>
      </c>
    </row>
    <row r="20" spans="1:16" ht="18" customHeight="1" x14ac:dyDescent="0.15">
      <c r="A20" s="5" t="s">
        <v>1823</v>
      </c>
      <c r="B20" s="6" t="s">
        <v>1859</v>
      </c>
      <c r="C20" s="6" t="s">
        <v>28</v>
      </c>
      <c r="D20" s="6" t="s">
        <v>17</v>
      </c>
      <c r="E20" s="6" t="s">
        <v>181</v>
      </c>
      <c r="F20" s="6" t="s">
        <v>185</v>
      </c>
      <c r="G20" s="6" t="s">
        <v>1825</v>
      </c>
      <c r="H20" s="6">
        <v>40</v>
      </c>
      <c r="I20" s="50">
        <v>1.06716470351506</v>
      </c>
      <c r="J20" s="50">
        <v>1.0227218876775701</v>
      </c>
      <c r="K20" s="50">
        <v>1.1135388008703899</v>
      </c>
      <c r="L20" s="50">
        <v>2.7423497304871801E-3</v>
      </c>
      <c r="M20" s="50">
        <v>0.44806620364225402</v>
      </c>
      <c r="N20" s="50">
        <v>20.798587058011901</v>
      </c>
      <c r="O20" s="43">
        <v>8.1749931042087098</v>
      </c>
      <c r="P20" s="6" t="s">
        <v>1860</v>
      </c>
    </row>
    <row r="21" spans="1:16" ht="18" customHeight="1" x14ac:dyDescent="0.15">
      <c r="A21" s="5" t="s">
        <v>1823</v>
      </c>
      <c r="B21" s="6" t="s">
        <v>1861</v>
      </c>
      <c r="C21" s="6" t="s">
        <v>20</v>
      </c>
      <c r="D21" s="6" t="s">
        <v>290</v>
      </c>
      <c r="E21" s="6" t="s">
        <v>181</v>
      </c>
      <c r="F21" s="6" t="s">
        <v>182</v>
      </c>
      <c r="G21" s="6" t="s">
        <v>1825</v>
      </c>
      <c r="H21" s="6">
        <v>41</v>
      </c>
      <c r="I21" s="50">
        <v>1.0436856815625699</v>
      </c>
      <c r="J21" s="50">
        <v>1.01440457850327</v>
      </c>
      <c r="K21" s="50">
        <v>1.0738119927513801</v>
      </c>
      <c r="L21" s="50">
        <v>3.2288654065699301E-3</v>
      </c>
      <c r="M21" s="50">
        <v>2.4611881194480101E-3</v>
      </c>
      <c r="N21" s="50">
        <v>21.6954192192173</v>
      </c>
      <c r="O21" s="43">
        <v>7.6150768370773401</v>
      </c>
      <c r="P21" s="6" t="s">
        <v>1862</v>
      </c>
    </row>
    <row r="22" spans="1:16" ht="18" customHeight="1" x14ac:dyDescent="0.15">
      <c r="A22" s="5" t="s">
        <v>1823</v>
      </c>
      <c r="B22" s="6" t="s">
        <v>1863</v>
      </c>
      <c r="C22" s="6" t="s">
        <v>20</v>
      </c>
      <c r="D22" s="6" t="s">
        <v>17</v>
      </c>
      <c r="E22" s="6" t="s">
        <v>181</v>
      </c>
      <c r="F22" s="6" t="s">
        <v>182</v>
      </c>
      <c r="G22" s="6" t="s">
        <v>1864</v>
      </c>
      <c r="H22" s="6">
        <v>29</v>
      </c>
      <c r="I22" s="50">
        <v>1.1474464269950599</v>
      </c>
      <c r="J22" s="50">
        <v>1.04632929216425</v>
      </c>
      <c r="K22" s="50">
        <v>1.2583355093695101</v>
      </c>
      <c r="L22" s="50">
        <v>3.4755662852429801E-3</v>
      </c>
      <c r="M22" s="50">
        <v>6.2835942993594704E-3</v>
      </c>
      <c r="N22" s="50">
        <v>20.508141364799702</v>
      </c>
      <c r="O22" s="43">
        <v>1.5017916890243901</v>
      </c>
      <c r="P22" s="6" t="s">
        <v>1865</v>
      </c>
    </row>
    <row r="23" spans="1:16" ht="18" customHeight="1" x14ac:dyDescent="0.15">
      <c r="A23" s="5" t="s">
        <v>1823</v>
      </c>
      <c r="B23" s="6" t="s">
        <v>1866</v>
      </c>
      <c r="C23" s="6" t="s">
        <v>28</v>
      </c>
      <c r="D23" s="6" t="s">
        <v>17</v>
      </c>
      <c r="E23" s="6" t="s">
        <v>181</v>
      </c>
      <c r="F23" s="6" t="s">
        <v>185</v>
      </c>
      <c r="G23" s="6" t="s">
        <v>1825</v>
      </c>
      <c r="H23" s="6">
        <v>25</v>
      </c>
      <c r="I23" s="50">
        <v>1.0791720130278499</v>
      </c>
      <c r="J23" s="50">
        <v>1.02531320423016</v>
      </c>
      <c r="K23" s="50">
        <v>1.13585997810007</v>
      </c>
      <c r="L23" s="50">
        <v>3.5337590048201001E-3</v>
      </c>
      <c r="M23" s="50">
        <v>0.34668425434547101</v>
      </c>
      <c r="N23" s="50">
        <v>23.909352364876501</v>
      </c>
      <c r="O23" s="43">
        <v>7.5177066642382799</v>
      </c>
      <c r="P23" s="6" t="s">
        <v>1867</v>
      </c>
    </row>
    <row r="24" spans="1:16" ht="18" customHeight="1" x14ac:dyDescent="0.15">
      <c r="A24" s="5" t="s">
        <v>1823</v>
      </c>
      <c r="B24" s="6" t="s">
        <v>1868</v>
      </c>
      <c r="C24" s="6" t="s">
        <v>28</v>
      </c>
      <c r="D24" s="6" t="s">
        <v>17</v>
      </c>
      <c r="E24" s="6" t="s">
        <v>181</v>
      </c>
      <c r="F24" s="6" t="s">
        <v>185</v>
      </c>
      <c r="G24" s="6" t="s">
        <v>1825</v>
      </c>
      <c r="H24" s="6">
        <v>44</v>
      </c>
      <c r="I24" s="50">
        <v>1.0633770545141901</v>
      </c>
      <c r="J24" s="50">
        <v>1.0195618590959299</v>
      </c>
      <c r="K24" s="50">
        <v>1.1090751875221601</v>
      </c>
      <c r="L24" s="50">
        <v>4.2041491230838399E-3</v>
      </c>
      <c r="M24" s="50">
        <v>0.31896661187861702</v>
      </c>
      <c r="N24" s="50">
        <v>19.1880437710678</v>
      </c>
      <c r="O24" s="43">
        <v>8.4491951504429199</v>
      </c>
      <c r="P24" s="6" t="s">
        <v>1869</v>
      </c>
    </row>
    <row r="25" spans="1:16" ht="18" customHeight="1" x14ac:dyDescent="0.15">
      <c r="A25" s="5" t="s">
        <v>1823</v>
      </c>
      <c r="B25" s="6" t="s">
        <v>1870</v>
      </c>
      <c r="C25" s="6" t="s">
        <v>28</v>
      </c>
      <c r="D25" s="6" t="s">
        <v>17</v>
      </c>
      <c r="E25" s="6" t="s">
        <v>181</v>
      </c>
      <c r="F25" s="6" t="s">
        <v>185</v>
      </c>
      <c r="G25" s="6" t="s">
        <v>1825</v>
      </c>
      <c r="H25" s="6">
        <v>46</v>
      </c>
      <c r="I25" s="50">
        <v>1.06018519565236</v>
      </c>
      <c r="J25" s="50">
        <v>1.01707646788527</v>
      </c>
      <c r="K25" s="50">
        <v>1.10512108437379</v>
      </c>
      <c r="L25" s="50">
        <v>5.7894028056884698E-3</v>
      </c>
      <c r="M25" s="50">
        <v>0.29651784676192899</v>
      </c>
      <c r="N25" s="50">
        <v>18.8652301807656</v>
      </c>
      <c r="O25" s="43">
        <v>9.1824709418429205</v>
      </c>
      <c r="P25" s="6" t="s">
        <v>1871</v>
      </c>
    </row>
    <row r="26" spans="1:16" ht="18" customHeight="1" x14ac:dyDescent="0.15">
      <c r="A26" s="5" t="s">
        <v>1823</v>
      </c>
      <c r="B26" s="6" t="s">
        <v>1872</v>
      </c>
      <c r="C26" s="6" t="s">
        <v>20</v>
      </c>
      <c r="D26" s="6" t="s">
        <v>17</v>
      </c>
      <c r="E26" s="6" t="s">
        <v>181</v>
      </c>
      <c r="F26" s="6" t="s">
        <v>182</v>
      </c>
      <c r="G26" s="6" t="s">
        <v>1825</v>
      </c>
      <c r="H26" s="6">
        <v>47</v>
      </c>
      <c r="I26" s="50">
        <v>1.0973266602757401</v>
      </c>
      <c r="J26" s="50">
        <v>1.0267892382986401</v>
      </c>
      <c r="K26" s="50">
        <v>1.17270979714114</v>
      </c>
      <c r="L26" s="50">
        <v>6.1460187537183703E-3</v>
      </c>
      <c r="M26" s="50">
        <v>5.8179240301903301E-2</v>
      </c>
      <c r="N26" s="50">
        <v>20.626280599819101</v>
      </c>
      <c r="O26" s="43">
        <v>7.1184040939140498</v>
      </c>
      <c r="P26" s="6" t="s">
        <v>1873</v>
      </c>
    </row>
    <row r="27" spans="1:16" ht="18" customHeight="1" x14ac:dyDescent="0.15">
      <c r="A27" s="5" t="s">
        <v>1823</v>
      </c>
      <c r="B27" s="6" t="s">
        <v>1874</v>
      </c>
      <c r="C27" s="6" t="s">
        <v>28</v>
      </c>
      <c r="D27" s="6" t="s">
        <v>17</v>
      </c>
      <c r="E27" s="6" t="s">
        <v>181</v>
      </c>
      <c r="F27" s="6" t="s">
        <v>185</v>
      </c>
      <c r="G27" s="6" t="s">
        <v>1825</v>
      </c>
      <c r="H27" s="6">
        <v>47</v>
      </c>
      <c r="I27" s="50">
        <v>1.05861680076509</v>
      </c>
      <c r="J27" s="50">
        <v>1.0163130538013601</v>
      </c>
      <c r="K27" s="50">
        <v>1.1026814293789</v>
      </c>
      <c r="L27" s="50">
        <v>6.1872119607068897E-3</v>
      </c>
      <c r="M27" s="50">
        <v>0.26939520159885699</v>
      </c>
      <c r="N27" s="50">
        <v>19.268829437280999</v>
      </c>
      <c r="O27" s="43">
        <v>8.1734857130289704</v>
      </c>
      <c r="P27" s="6" t="s">
        <v>1875</v>
      </c>
    </row>
    <row r="28" spans="1:16" ht="18" customHeight="1" x14ac:dyDescent="0.15">
      <c r="A28" s="5" t="s">
        <v>1823</v>
      </c>
      <c r="B28" s="6" t="s">
        <v>1876</v>
      </c>
      <c r="C28" s="6" t="s">
        <v>20</v>
      </c>
      <c r="D28" s="6" t="s">
        <v>17</v>
      </c>
      <c r="E28" s="6" t="s">
        <v>181</v>
      </c>
      <c r="F28" s="6" t="s">
        <v>182</v>
      </c>
      <c r="G28" s="6" t="s">
        <v>1825</v>
      </c>
      <c r="H28" s="6">
        <v>48</v>
      </c>
      <c r="I28" s="50">
        <v>1.09582298592403</v>
      </c>
      <c r="J28" s="50">
        <v>1.0257744021542099</v>
      </c>
      <c r="K28" s="50">
        <v>1.1706550816218599</v>
      </c>
      <c r="L28" s="50">
        <v>6.6263314171766301E-3</v>
      </c>
      <c r="M28" s="50">
        <v>6.6176109236188996E-2</v>
      </c>
      <c r="N28" s="50">
        <v>20.627728839987999</v>
      </c>
      <c r="O28" s="43">
        <v>6.8281173269056703</v>
      </c>
      <c r="P28" s="6" t="s">
        <v>1877</v>
      </c>
    </row>
    <row r="29" spans="1:16" ht="18" customHeight="1" x14ac:dyDescent="0.15">
      <c r="A29" s="5" t="s">
        <v>1823</v>
      </c>
      <c r="B29" s="6" t="s">
        <v>1878</v>
      </c>
      <c r="C29" s="6" t="s">
        <v>20</v>
      </c>
      <c r="D29" s="6" t="s">
        <v>17</v>
      </c>
      <c r="E29" s="6" t="s">
        <v>181</v>
      </c>
      <c r="F29" s="6" t="s">
        <v>182</v>
      </c>
      <c r="G29" s="6" t="s">
        <v>1825</v>
      </c>
      <c r="H29" s="6">
        <v>48</v>
      </c>
      <c r="I29" s="50">
        <v>1.09377620082059</v>
      </c>
      <c r="J29" s="50">
        <v>1.0237763617126601</v>
      </c>
      <c r="K29" s="50">
        <v>1.1685622194677101</v>
      </c>
      <c r="L29" s="50">
        <v>7.8987736056062297E-3</v>
      </c>
      <c r="M29" s="50">
        <v>5.9809525839419501E-2</v>
      </c>
      <c r="N29" s="50">
        <v>20.572631865744999</v>
      </c>
      <c r="O29" s="43">
        <v>6.9832532512354399</v>
      </c>
      <c r="P29" s="6" t="s">
        <v>1879</v>
      </c>
    </row>
    <row r="30" spans="1:16" ht="18" customHeight="1" x14ac:dyDescent="0.15">
      <c r="A30" s="5" t="s">
        <v>1823</v>
      </c>
      <c r="B30" s="6" t="s">
        <v>1880</v>
      </c>
      <c r="C30" s="6" t="s">
        <v>20</v>
      </c>
      <c r="D30" s="6" t="s">
        <v>17</v>
      </c>
      <c r="E30" s="6" t="s">
        <v>181</v>
      </c>
      <c r="F30" s="6" t="s">
        <v>339</v>
      </c>
      <c r="G30" s="6" t="s">
        <v>1825</v>
      </c>
      <c r="H30" s="6">
        <v>39</v>
      </c>
      <c r="I30" s="50">
        <v>1.1024510308956901</v>
      </c>
      <c r="J30" s="50">
        <v>1.02539327074831</v>
      </c>
      <c r="K30" s="50">
        <v>1.18529964082562</v>
      </c>
      <c r="L30" s="50">
        <v>8.3322911552669594E-3</v>
      </c>
      <c r="M30" s="50">
        <v>8.6201999847867306E-2</v>
      </c>
      <c r="N30" s="50">
        <v>22.0570646151156</v>
      </c>
      <c r="O30" s="43">
        <v>8.4512397381152606</v>
      </c>
      <c r="P30" s="6" t="s">
        <v>1881</v>
      </c>
    </row>
    <row r="31" spans="1:16" ht="18" customHeight="1" x14ac:dyDescent="0.15">
      <c r="A31" s="5" t="s">
        <v>1823</v>
      </c>
      <c r="B31" s="6" t="s">
        <v>1882</v>
      </c>
      <c r="C31" s="6" t="s">
        <v>20</v>
      </c>
      <c r="D31" s="6" t="s">
        <v>17</v>
      </c>
      <c r="E31" s="6" t="s">
        <v>181</v>
      </c>
      <c r="F31" s="6" t="s">
        <v>182</v>
      </c>
      <c r="G31" s="6" t="s">
        <v>1883</v>
      </c>
      <c r="H31" s="6">
        <v>39</v>
      </c>
      <c r="I31" s="50">
        <v>1.1074590366025401</v>
      </c>
      <c r="J31" s="50">
        <v>1.0262267240768499</v>
      </c>
      <c r="K31" s="50">
        <v>1.19512139859337</v>
      </c>
      <c r="L31" s="50">
        <v>8.6373881700902398E-3</v>
      </c>
      <c r="M31" s="50">
        <v>8.6160977481574502E-2</v>
      </c>
      <c r="N31" s="50">
        <v>19.113783722275301</v>
      </c>
      <c r="O31" s="43">
        <v>1.71298719883503</v>
      </c>
      <c r="P31" s="6" t="s">
        <v>1884</v>
      </c>
    </row>
    <row r="32" spans="1:16" ht="18" customHeight="1" x14ac:dyDescent="0.15">
      <c r="A32" s="5" t="s">
        <v>1823</v>
      </c>
      <c r="B32" s="6" t="s">
        <v>1885</v>
      </c>
      <c r="C32" s="6" t="s">
        <v>20</v>
      </c>
      <c r="D32" s="6" t="s">
        <v>17</v>
      </c>
      <c r="E32" s="6" t="s">
        <v>181</v>
      </c>
      <c r="F32" s="6" t="s">
        <v>182</v>
      </c>
      <c r="G32" s="6" t="s">
        <v>1825</v>
      </c>
      <c r="H32" s="6">
        <v>50</v>
      </c>
      <c r="I32" s="50">
        <v>1.09049376815863</v>
      </c>
      <c r="J32" s="50">
        <v>1.0213861090443299</v>
      </c>
      <c r="K32" s="50">
        <v>1.16427729715794</v>
      </c>
      <c r="L32" s="50">
        <v>9.5006111451048092E-3</v>
      </c>
      <c r="M32" s="50">
        <v>6.4815671200501704E-2</v>
      </c>
      <c r="N32" s="50">
        <v>20.043389378757201</v>
      </c>
      <c r="O32" s="43">
        <v>6.8668350043933497</v>
      </c>
      <c r="P32" s="6" t="s">
        <v>1886</v>
      </c>
    </row>
    <row r="33" spans="1:16" ht="18" customHeight="1" x14ac:dyDescent="0.15">
      <c r="A33" s="5" t="s">
        <v>1823</v>
      </c>
      <c r="B33" s="6" t="s">
        <v>1887</v>
      </c>
      <c r="C33" s="6" t="s">
        <v>28</v>
      </c>
      <c r="D33" s="6" t="s">
        <v>17</v>
      </c>
      <c r="E33" s="6" t="s">
        <v>181</v>
      </c>
      <c r="F33" s="6" t="s">
        <v>185</v>
      </c>
      <c r="G33" s="6" t="s">
        <v>1825</v>
      </c>
      <c r="H33" s="6">
        <v>10</v>
      </c>
      <c r="I33" s="50">
        <v>1.0951307747797201</v>
      </c>
      <c r="J33" s="50">
        <v>1.02009164283864</v>
      </c>
      <c r="K33" s="50">
        <v>1.1756898728552101</v>
      </c>
      <c r="L33" s="50">
        <v>1.2097454435450201E-2</v>
      </c>
      <c r="M33" s="50">
        <v>0.23726295735726799</v>
      </c>
      <c r="N33" s="50">
        <v>39.428331611416901</v>
      </c>
      <c r="O33" s="43">
        <v>4.7589582144355402</v>
      </c>
      <c r="P33" s="6" t="s">
        <v>1888</v>
      </c>
    </row>
    <row r="34" spans="1:16" ht="18" customHeight="1" x14ac:dyDescent="0.15">
      <c r="A34" s="5" t="s">
        <v>1823</v>
      </c>
      <c r="B34" s="6" t="s">
        <v>1889</v>
      </c>
      <c r="C34" s="6" t="s">
        <v>20</v>
      </c>
      <c r="D34" s="6" t="s">
        <v>17</v>
      </c>
      <c r="E34" s="6" t="s">
        <v>181</v>
      </c>
      <c r="F34" s="6" t="s">
        <v>182</v>
      </c>
      <c r="G34" s="6"/>
      <c r="H34" s="6">
        <v>53</v>
      </c>
      <c r="I34" s="50">
        <v>1.07732714093315</v>
      </c>
      <c r="J34" s="50">
        <v>1.0161121565258999</v>
      </c>
      <c r="K34" s="50">
        <v>1.1422299803590801</v>
      </c>
      <c r="L34" s="50">
        <v>1.2576942675302599E-2</v>
      </c>
      <c r="M34" s="50">
        <v>4.6373979211803203E-2</v>
      </c>
      <c r="N34" s="50">
        <v>23.810854408508298</v>
      </c>
      <c r="O34" s="43">
        <v>23.810854408508298</v>
      </c>
      <c r="P34" s="6" t="s">
        <v>1890</v>
      </c>
    </row>
    <row r="35" spans="1:16" ht="18" customHeight="1" x14ac:dyDescent="0.15">
      <c r="A35" s="5" t="s">
        <v>1823</v>
      </c>
      <c r="B35" s="6" t="s">
        <v>1891</v>
      </c>
      <c r="C35" s="6" t="s">
        <v>20</v>
      </c>
      <c r="D35" s="6" t="s">
        <v>17</v>
      </c>
      <c r="E35" s="6" t="s">
        <v>181</v>
      </c>
      <c r="F35" s="6" t="s">
        <v>182</v>
      </c>
      <c r="G35" s="6" t="s">
        <v>216</v>
      </c>
      <c r="H35" s="6">
        <v>51</v>
      </c>
      <c r="I35" s="50">
        <v>1.0778575117821401</v>
      </c>
      <c r="J35" s="50">
        <v>1.01570617127713</v>
      </c>
      <c r="K35" s="50">
        <v>1.1438119099388699</v>
      </c>
      <c r="L35" s="50">
        <v>1.3349777151314799E-2</v>
      </c>
      <c r="M35" s="50">
        <v>3.5651794417214798E-2</v>
      </c>
      <c r="N35" s="50">
        <v>24.257130824913901</v>
      </c>
      <c r="O35" s="43">
        <v>9.0904664993379303</v>
      </c>
      <c r="P35" s="6" t="s">
        <v>1892</v>
      </c>
    </row>
    <row r="36" spans="1:16" ht="18" customHeight="1" x14ac:dyDescent="0.15">
      <c r="A36" s="5" t="s">
        <v>1823</v>
      </c>
      <c r="B36" s="6" t="s">
        <v>1893</v>
      </c>
      <c r="C36" s="6" t="s">
        <v>20</v>
      </c>
      <c r="D36" s="6" t="s">
        <v>17</v>
      </c>
      <c r="E36" s="6" t="s">
        <v>181</v>
      </c>
      <c r="F36" s="6" t="s">
        <v>182</v>
      </c>
      <c r="G36" s="6" t="s">
        <v>1825</v>
      </c>
      <c r="H36" s="6">
        <v>14</v>
      </c>
      <c r="I36" s="50">
        <v>1.14730860713176</v>
      </c>
      <c r="J36" s="50">
        <v>1.02894513514127</v>
      </c>
      <c r="K36" s="50">
        <v>1.2792878794435301</v>
      </c>
      <c r="L36" s="50">
        <v>1.33746590811041E-2</v>
      </c>
      <c r="M36" s="50">
        <v>0.206324298859317</v>
      </c>
      <c r="N36" s="50">
        <v>29.841197583399001</v>
      </c>
      <c r="O36" s="43">
        <v>6.75677584841337</v>
      </c>
      <c r="P36" s="6" t="s">
        <v>1894</v>
      </c>
    </row>
    <row r="37" spans="1:16" ht="18" customHeight="1" x14ac:dyDescent="0.15">
      <c r="A37" s="5" t="s">
        <v>1823</v>
      </c>
      <c r="B37" s="6" t="s">
        <v>1895</v>
      </c>
      <c r="C37" s="6" t="s">
        <v>28</v>
      </c>
      <c r="D37" s="6" t="s">
        <v>17</v>
      </c>
      <c r="E37" s="6" t="s">
        <v>181</v>
      </c>
      <c r="F37" s="6" t="s">
        <v>185</v>
      </c>
      <c r="G37" s="6" t="s">
        <v>1825</v>
      </c>
      <c r="H37" s="6">
        <v>4</v>
      </c>
      <c r="I37" s="50">
        <v>1.2088301538294</v>
      </c>
      <c r="J37" s="50">
        <v>1.0388941989171301</v>
      </c>
      <c r="K37" s="50">
        <v>1.4065631922195001</v>
      </c>
      <c r="L37" s="50">
        <v>1.4141096404298399E-2</v>
      </c>
      <c r="M37" s="50">
        <v>0.21944233321130599</v>
      </c>
      <c r="N37" s="50">
        <v>59.853049212380803</v>
      </c>
      <c r="O37" s="43">
        <v>10.2765840533346</v>
      </c>
      <c r="P37" s="6" t="s">
        <v>1896</v>
      </c>
    </row>
    <row r="38" spans="1:16" ht="18" customHeight="1" x14ac:dyDescent="0.15">
      <c r="A38" s="5" t="s">
        <v>1823</v>
      </c>
      <c r="B38" s="6" t="s">
        <v>1897</v>
      </c>
      <c r="C38" s="6" t="s">
        <v>20</v>
      </c>
      <c r="D38" s="6" t="s">
        <v>17</v>
      </c>
      <c r="E38" s="6" t="s">
        <v>181</v>
      </c>
      <c r="F38" s="6" t="s">
        <v>182</v>
      </c>
      <c r="G38" s="6" t="s">
        <v>1825</v>
      </c>
      <c r="H38" s="6">
        <v>52</v>
      </c>
      <c r="I38" s="50">
        <v>1.0805100709236799</v>
      </c>
      <c r="J38" s="50">
        <v>1.01275070331506</v>
      </c>
      <c r="K38" s="50">
        <v>1.15280296478283</v>
      </c>
      <c r="L38" s="50">
        <v>1.9106344438758398E-2</v>
      </c>
      <c r="M38" s="50">
        <v>1.7057700622049601E-2</v>
      </c>
      <c r="N38" s="50">
        <v>19.735965036349199</v>
      </c>
      <c r="O38" s="43">
        <v>6.7445465866498102</v>
      </c>
      <c r="P38" s="6" t="s">
        <v>1898</v>
      </c>
    </row>
    <row r="39" spans="1:16" ht="18" customHeight="1" x14ac:dyDescent="0.15">
      <c r="A39" s="5" t="s">
        <v>1823</v>
      </c>
      <c r="B39" s="6" t="s">
        <v>1899</v>
      </c>
      <c r="C39" s="6" t="s">
        <v>28</v>
      </c>
      <c r="D39" s="6" t="s">
        <v>17</v>
      </c>
      <c r="E39" s="6" t="s">
        <v>181</v>
      </c>
      <c r="F39" s="6" t="s">
        <v>185</v>
      </c>
      <c r="G39" s="6" t="s">
        <v>1825</v>
      </c>
      <c r="H39" s="6">
        <v>18</v>
      </c>
      <c r="I39" s="50">
        <v>1.0727189283002001</v>
      </c>
      <c r="J39" s="50">
        <v>1.01155127506914</v>
      </c>
      <c r="K39" s="50">
        <v>1.1375853379799199</v>
      </c>
      <c r="L39" s="50">
        <v>1.91082043751644E-2</v>
      </c>
      <c r="M39" s="50">
        <v>0.58058148800243004</v>
      </c>
      <c r="N39" s="50">
        <v>26.677448962300101</v>
      </c>
      <c r="O39" s="43">
        <v>7.7000111980604</v>
      </c>
      <c r="P39" s="6" t="s">
        <v>1900</v>
      </c>
    </row>
    <row r="40" spans="1:16" ht="18" customHeight="1" x14ac:dyDescent="0.15">
      <c r="A40" s="5" t="s">
        <v>1823</v>
      </c>
      <c r="B40" s="6" t="s">
        <v>1901</v>
      </c>
      <c r="C40" s="6" t="s">
        <v>20</v>
      </c>
      <c r="D40" s="6" t="s">
        <v>17</v>
      </c>
      <c r="E40" s="6" t="s">
        <v>181</v>
      </c>
      <c r="F40" s="6" t="s">
        <v>182</v>
      </c>
      <c r="G40" s="6" t="s">
        <v>1825</v>
      </c>
      <c r="H40" s="6">
        <v>53</v>
      </c>
      <c r="I40" s="50">
        <v>1.0722051276817199</v>
      </c>
      <c r="J40" s="50">
        <v>1.00588312545065</v>
      </c>
      <c r="K40" s="50">
        <v>1.1429000116807</v>
      </c>
      <c r="L40" s="50">
        <v>3.2349871354449798E-2</v>
      </c>
      <c r="M40" s="50">
        <v>2.1395544952684399E-2</v>
      </c>
      <c r="N40" s="50">
        <v>19.998673501312499</v>
      </c>
      <c r="O40" s="43">
        <v>6.8351752407901598</v>
      </c>
      <c r="P40" s="6" t="s">
        <v>1902</v>
      </c>
    </row>
    <row r="41" spans="1:16" ht="18" customHeight="1" x14ac:dyDescent="0.15">
      <c r="A41" s="5" t="s">
        <v>1823</v>
      </c>
      <c r="B41" s="6" t="s">
        <v>1903</v>
      </c>
      <c r="C41" s="6" t="s">
        <v>20</v>
      </c>
      <c r="D41" s="6" t="s">
        <v>17</v>
      </c>
      <c r="E41" s="6" t="s">
        <v>181</v>
      </c>
      <c r="F41" s="6" t="s">
        <v>182</v>
      </c>
      <c r="G41" s="6" t="s">
        <v>1825</v>
      </c>
      <c r="H41" s="6">
        <v>28</v>
      </c>
      <c r="I41" s="50">
        <v>1.0773190992034201</v>
      </c>
      <c r="J41" s="50">
        <v>0.98900848560087595</v>
      </c>
      <c r="K41" s="50">
        <v>1.17351515017925</v>
      </c>
      <c r="L41" s="50">
        <v>8.7874339645796704E-2</v>
      </c>
      <c r="M41" s="50">
        <v>0.70456971341951102</v>
      </c>
      <c r="N41" s="50">
        <v>22.292863453792801</v>
      </c>
      <c r="O41" s="43">
        <v>9.3801957644177492</v>
      </c>
      <c r="P41" s="6" t="s">
        <v>1904</v>
      </c>
    </row>
    <row r="42" spans="1:16" ht="18" customHeight="1" x14ac:dyDescent="0.15">
      <c r="A42" s="5" t="s">
        <v>1823</v>
      </c>
      <c r="B42" s="6" t="s">
        <v>1905</v>
      </c>
      <c r="C42" s="6" t="s">
        <v>28</v>
      </c>
      <c r="D42" s="6" t="s">
        <v>17</v>
      </c>
      <c r="E42" s="6" t="s">
        <v>135</v>
      </c>
      <c r="F42" s="6" t="s">
        <v>136</v>
      </c>
      <c r="G42" s="6" t="s">
        <v>1825</v>
      </c>
      <c r="H42" s="6">
        <v>34</v>
      </c>
      <c r="I42" s="50">
        <v>1.11523739592792</v>
      </c>
      <c r="J42" s="50">
        <v>0.91748823263998702</v>
      </c>
      <c r="K42" s="50">
        <v>1.35560806670763</v>
      </c>
      <c r="L42" s="50">
        <v>0.27341180771707302</v>
      </c>
      <c r="M42" s="50">
        <v>0.520178250947959</v>
      </c>
      <c r="N42" s="50">
        <v>13.130859196114301</v>
      </c>
      <c r="O42" s="43">
        <v>6.0472558478347498</v>
      </c>
      <c r="P42" s="6" t="s">
        <v>1906</v>
      </c>
    </row>
    <row r="43" spans="1:16" ht="18" customHeight="1" x14ac:dyDescent="0.15">
      <c r="A43" s="5" t="s">
        <v>1823</v>
      </c>
      <c r="B43" s="6" t="s">
        <v>1907</v>
      </c>
      <c r="C43" s="6" t="s">
        <v>20</v>
      </c>
      <c r="D43" s="6" t="s">
        <v>17</v>
      </c>
      <c r="E43" s="6" t="s">
        <v>135</v>
      </c>
      <c r="F43" s="6" t="s">
        <v>129</v>
      </c>
      <c r="G43" s="6" t="s">
        <v>1825</v>
      </c>
      <c r="H43" s="6">
        <v>48</v>
      </c>
      <c r="I43" s="50">
        <v>1.0542576870634099</v>
      </c>
      <c r="J43" s="50">
        <v>0.95319510918495498</v>
      </c>
      <c r="K43" s="50">
        <v>1.16603543180438</v>
      </c>
      <c r="L43" s="50">
        <v>0.30410794573738897</v>
      </c>
      <c r="M43" s="50">
        <v>0.44961765172832402</v>
      </c>
      <c r="N43" s="50">
        <v>13.0702375628504</v>
      </c>
      <c r="O43" s="43">
        <v>11.2405158705803</v>
      </c>
      <c r="P43" s="6" t="s">
        <v>1908</v>
      </c>
    </row>
    <row r="44" spans="1:16" ht="18" customHeight="1" x14ac:dyDescent="0.15">
      <c r="A44" s="5" t="s">
        <v>1823</v>
      </c>
      <c r="B44" s="6" t="s">
        <v>1909</v>
      </c>
      <c r="C44" s="6" t="s">
        <v>20</v>
      </c>
      <c r="D44" s="6" t="s">
        <v>17</v>
      </c>
      <c r="E44" s="6" t="s">
        <v>332</v>
      </c>
      <c r="F44" s="6" t="s">
        <v>333</v>
      </c>
      <c r="G44" s="6" t="s">
        <v>1825</v>
      </c>
      <c r="H44" s="6">
        <v>300</v>
      </c>
      <c r="I44" s="50">
        <v>1.07216825543306</v>
      </c>
      <c r="J44" s="50">
        <v>0.92874503332220104</v>
      </c>
      <c r="K44" s="50">
        <v>1.23773988200653</v>
      </c>
      <c r="L44" s="50">
        <v>0.34156460223363599</v>
      </c>
      <c r="M44" s="50">
        <v>1.18597750966316E-2</v>
      </c>
      <c r="N44" s="50">
        <v>26.549269019834099</v>
      </c>
      <c r="O44" s="43">
        <v>9.1556988740029297</v>
      </c>
      <c r="P44" s="6" t="s">
        <v>1910</v>
      </c>
    </row>
    <row r="45" spans="1:16" ht="18" customHeight="1" x14ac:dyDescent="0.15">
      <c r="A45" s="5" t="s">
        <v>1823</v>
      </c>
      <c r="B45" s="6" t="s">
        <v>1911</v>
      </c>
      <c r="C45" s="6" t="s">
        <v>28</v>
      </c>
      <c r="D45" s="6" t="s">
        <v>17</v>
      </c>
      <c r="E45" s="6" t="s">
        <v>34</v>
      </c>
      <c r="F45" s="6" t="s">
        <v>41</v>
      </c>
      <c r="G45" s="6" t="s">
        <v>1825</v>
      </c>
      <c r="H45" s="6">
        <v>30</v>
      </c>
      <c r="I45" s="50">
        <v>1.02524851406728</v>
      </c>
      <c r="J45" s="50">
        <v>0.95955524830496497</v>
      </c>
      <c r="K45" s="50">
        <v>1.09543928549604</v>
      </c>
      <c r="L45" s="50">
        <v>0.46049609722627</v>
      </c>
      <c r="M45" s="50">
        <v>0.30304688118454998</v>
      </c>
      <c r="N45" s="50">
        <v>13.8919516553641</v>
      </c>
      <c r="O45" s="43">
        <v>2.8782241625204699</v>
      </c>
      <c r="P45" s="6" t="s">
        <v>1912</v>
      </c>
    </row>
    <row r="46" spans="1:16" ht="18" customHeight="1" x14ac:dyDescent="0.15">
      <c r="A46" s="5" t="s">
        <v>1823</v>
      </c>
      <c r="B46" s="6" t="s">
        <v>1913</v>
      </c>
      <c r="C46" s="6" t="s">
        <v>20</v>
      </c>
      <c r="D46" s="6" t="s">
        <v>17</v>
      </c>
      <c r="E46" s="6" t="s">
        <v>34</v>
      </c>
      <c r="F46" s="6" t="s">
        <v>35</v>
      </c>
      <c r="G46" s="6" t="s">
        <v>1825</v>
      </c>
      <c r="H46" s="6">
        <v>25</v>
      </c>
      <c r="I46" s="50">
        <v>1.0179886276774599</v>
      </c>
      <c r="J46" s="50">
        <v>0.89292882330787604</v>
      </c>
      <c r="K46" s="50">
        <v>1.1605637751076701</v>
      </c>
      <c r="L46" s="50">
        <v>0.78978200382731201</v>
      </c>
      <c r="M46" s="50">
        <v>0.218955335888251</v>
      </c>
      <c r="N46" s="50">
        <v>10.476475951091301</v>
      </c>
      <c r="O46" s="43">
        <v>1.84331212099755</v>
      </c>
      <c r="P46" s="6" t="s">
        <v>1914</v>
      </c>
    </row>
    <row r="47" spans="1:16" ht="18" customHeight="1" x14ac:dyDescent="0.15">
      <c r="A47" s="5" t="s">
        <v>1823</v>
      </c>
      <c r="B47" s="6" t="s">
        <v>1915</v>
      </c>
      <c r="C47" s="6" t="s">
        <v>20</v>
      </c>
      <c r="D47" s="6" t="s">
        <v>316</v>
      </c>
      <c r="E47" s="6" t="s">
        <v>228</v>
      </c>
      <c r="F47" s="6" t="s">
        <v>229</v>
      </c>
      <c r="G47" s="6"/>
      <c r="H47" s="6">
        <v>20</v>
      </c>
      <c r="I47" s="50">
        <v>1.2194406562990601</v>
      </c>
      <c r="J47" s="50">
        <v>1.1629557451767401</v>
      </c>
      <c r="K47" s="50">
        <v>1.27866904686825</v>
      </c>
      <c r="L47" s="50">
        <v>2.42771061619088E-16</v>
      </c>
      <c r="M47" s="50">
        <v>0.28378171022035997</v>
      </c>
      <c r="N47" s="50">
        <v>96.800126326132698</v>
      </c>
      <c r="O47" s="43">
        <v>96.800126326132698</v>
      </c>
      <c r="P47" s="6"/>
    </row>
    <row r="48" spans="1:16" ht="18" customHeight="1" x14ac:dyDescent="0.15">
      <c r="A48" s="5" t="s">
        <v>1823</v>
      </c>
      <c r="B48" s="6" t="s">
        <v>1916</v>
      </c>
      <c r="C48" s="6" t="s">
        <v>20</v>
      </c>
      <c r="D48" s="6" t="s">
        <v>290</v>
      </c>
      <c r="E48" s="6" t="s">
        <v>228</v>
      </c>
      <c r="F48" s="6" t="s">
        <v>229</v>
      </c>
      <c r="G48" s="6"/>
      <c r="H48" s="6">
        <v>20</v>
      </c>
      <c r="I48" s="50">
        <v>1.20699538387169</v>
      </c>
      <c r="J48" s="50">
        <v>1.1527916670432401</v>
      </c>
      <c r="K48" s="50">
        <v>1.263747733729</v>
      </c>
      <c r="L48" s="50">
        <v>1.01282559387876E-15</v>
      </c>
      <c r="M48" s="50">
        <v>0.42163796067236597</v>
      </c>
      <c r="N48" s="50">
        <v>96.800126326132698</v>
      </c>
      <c r="O48" s="43">
        <v>96.800126326132698</v>
      </c>
      <c r="P48" s="6"/>
    </row>
    <row r="49" spans="1:16" ht="18" customHeight="1" x14ac:dyDescent="0.15">
      <c r="A49" s="5" t="s">
        <v>1823</v>
      </c>
      <c r="B49" s="6" t="s">
        <v>1917</v>
      </c>
      <c r="C49" s="6" t="s">
        <v>20</v>
      </c>
      <c r="D49" s="6" t="s">
        <v>316</v>
      </c>
      <c r="E49" s="6" t="s">
        <v>228</v>
      </c>
      <c r="F49" s="6" t="s">
        <v>229</v>
      </c>
      <c r="G49" s="6" t="s">
        <v>216</v>
      </c>
      <c r="H49" s="6">
        <v>20</v>
      </c>
      <c r="I49" s="50">
        <v>1.2144930194082699</v>
      </c>
      <c r="J49" s="50">
        <v>1.15520211819679</v>
      </c>
      <c r="K49" s="50">
        <v>1.27682703395126</v>
      </c>
      <c r="L49" s="50">
        <v>2.7449999999999999E-14</v>
      </c>
      <c r="M49" s="50">
        <v>0.242755669733141</v>
      </c>
      <c r="N49" s="50">
        <v>93.924743621350103</v>
      </c>
      <c r="O49" s="43">
        <v>14.859424960731401</v>
      </c>
      <c r="P49" s="6"/>
    </row>
    <row r="50" spans="1:16" ht="18" customHeight="1" x14ac:dyDescent="0.15">
      <c r="A50" s="5" t="s">
        <v>1823</v>
      </c>
      <c r="B50" s="6" t="s">
        <v>1918</v>
      </c>
      <c r="C50" s="6" t="s">
        <v>20</v>
      </c>
      <c r="D50" s="6" t="s">
        <v>316</v>
      </c>
      <c r="E50" s="6" t="s">
        <v>328</v>
      </c>
      <c r="F50" s="6" t="s">
        <v>329</v>
      </c>
      <c r="G50" s="6"/>
      <c r="H50" s="6">
        <v>79</v>
      </c>
      <c r="I50" s="50">
        <v>1.2293901729816099</v>
      </c>
      <c r="J50" s="50">
        <v>1.1654442162968801</v>
      </c>
      <c r="K50" s="50">
        <v>1.2968447363582201</v>
      </c>
      <c r="L50" s="50">
        <v>3.5140000000000002E-14</v>
      </c>
      <c r="M50" s="50">
        <v>1.99607252464E-6</v>
      </c>
      <c r="N50" s="50">
        <v>43.4628138624171</v>
      </c>
      <c r="O50" s="43">
        <v>43.4628138624171</v>
      </c>
      <c r="P50" s="6" t="s">
        <v>1919</v>
      </c>
    </row>
    <row r="51" spans="1:16" ht="18" customHeight="1" x14ac:dyDescent="0.15">
      <c r="A51" s="5" t="s">
        <v>1823</v>
      </c>
      <c r="B51" s="6" t="s">
        <v>1920</v>
      </c>
      <c r="C51" s="6" t="s">
        <v>20</v>
      </c>
      <c r="D51" s="6" t="s">
        <v>316</v>
      </c>
      <c r="E51" s="6" t="s">
        <v>328</v>
      </c>
      <c r="F51" s="6" t="s">
        <v>329</v>
      </c>
      <c r="G51" s="6" t="s">
        <v>216</v>
      </c>
      <c r="H51" s="6">
        <v>79</v>
      </c>
      <c r="I51" s="50">
        <v>1.2275293479139999</v>
      </c>
      <c r="J51" s="50">
        <v>1.16329325620055</v>
      </c>
      <c r="K51" s="50">
        <v>1.29531250349687</v>
      </c>
      <c r="L51" s="50">
        <v>7.6799999999999998E-14</v>
      </c>
      <c r="M51" s="50">
        <v>1.5013783335E-6</v>
      </c>
      <c r="N51" s="50">
        <v>43.494382803396199</v>
      </c>
      <c r="O51" s="43">
        <v>30.668979059390999</v>
      </c>
      <c r="P51" s="6" t="s">
        <v>1921</v>
      </c>
    </row>
    <row r="52" spans="1:16" ht="18" customHeight="1" x14ac:dyDescent="0.15">
      <c r="A52" s="5" t="s">
        <v>1823</v>
      </c>
      <c r="B52" s="6" t="s">
        <v>1922</v>
      </c>
      <c r="C52" s="6" t="s">
        <v>20</v>
      </c>
      <c r="D52" s="6" t="s">
        <v>290</v>
      </c>
      <c r="E52" s="6" t="s">
        <v>228</v>
      </c>
      <c r="F52" s="6" t="s">
        <v>229</v>
      </c>
      <c r="G52" s="6" t="s">
        <v>216</v>
      </c>
      <c r="H52" s="6">
        <v>20</v>
      </c>
      <c r="I52" s="50">
        <v>1.1996246555828101</v>
      </c>
      <c r="J52" s="50">
        <v>1.1428399369782301</v>
      </c>
      <c r="K52" s="50">
        <v>1.25923085789885</v>
      </c>
      <c r="L52" s="50">
        <v>1.8871000000000001E-13</v>
      </c>
      <c r="M52" s="50">
        <v>0.39443451631773202</v>
      </c>
      <c r="N52" s="50">
        <v>93.924743621350103</v>
      </c>
      <c r="O52" s="43">
        <v>14.859424960731401</v>
      </c>
      <c r="P52" s="6"/>
    </row>
    <row r="53" spans="1:16" ht="18" customHeight="1" x14ac:dyDescent="0.15">
      <c r="A53" s="5" t="s">
        <v>1823</v>
      </c>
      <c r="B53" s="6" t="s">
        <v>1923</v>
      </c>
      <c r="C53" s="6" t="s">
        <v>20</v>
      </c>
      <c r="D53" s="6" t="s">
        <v>290</v>
      </c>
      <c r="E53" s="6" t="s">
        <v>328</v>
      </c>
      <c r="F53" s="6" t="s">
        <v>329</v>
      </c>
      <c r="G53" s="6"/>
      <c r="H53" s="6">
        <v>79</v>
      </c>
      <c r="I53" s="50">
        <v>1.21071190265244</v>
      </c>
      <c r="J53" s="50">
        <v>1.1496570359785201</v>
      </c>
      <c r="K53" s="50">
        <v>1.27500921174868</v>
      </c>
      <c r="L53" s="50">
        <v>4.4007000000000001E-13</v>
      </c>
      <c r="M53" s="50">
        <v>5.9796132322999996E-7</v>
      </c>
      <c r="N53" s="50">
        <v>43.4628138624171</v>
      </c>
      <c r="O53" s="43">
        <v>43.4628138624171</v>
      </c>
      <c r="P53" s="6"/>
    </row>
    <row r="54" spans="1:16" ht="18" customHeight="1" x14ac:dyDescent="0.15">
      <c r="A54" s="5" t="s">
        <v>1823</v>
      </c>
      <c r="B54" s="6" t="s">
        <v>1924</v>
      </c>
      <c r="C54" s="6" t="s">
        <v>20</v>
      </c>
      <c r="D54" s="6" t="s">
        <v>290</v>
      </c>
      <c r="E54" s="6" t="s">
        <v>328</v>
      </c>
      <c r="F54" s="6" t="s">
        <v>329</v>
      </c>
      <c r="G54" s="6" t="s">
        <v>216</v>
      </c>
      <c r="H54" s="6">
        <v>79</v>
      </c>
      <c r="I54" s="50">
        <v>1.2095008962788301</v>
      </c>
      <c r="J54" s="50">
        <v>1.14813745197122</v>
      </c>
      <c r="K54" s="50">
        <v>1.2741439760437101</v>
      </c>
      <c r="L54" s="50">
        <v>8.0573000000000004E-13</v>
      </c>
      <c r="M54" s="50">
        <v>4.2880207692000001E-7</v>
      </c>
      <c r="N54" s="50">
        <v>43.494382803396199</v>
      </c>
      <c r="O54" s="43">
        <v>30.668979059390999</v>
      </c>
      <c r="P54" s="6"/>
    </row>
    <row r="55" spans="1:16" ht="18" customHeight="1" x14ac:dyDescent="0.15">
      <c r="A55" s="5" t="s">
        <v>1823</v>
      </c>
      <c r="B55" s="6" t="s">
        <v>1925</v>
      </c>
      <c r="C55" s="6" t="s">
        <v>20</v>
      </c>
      <c r="D55" s="6" t="s">
        <v>316</v>
      </c>
      <c r="E55" s="6" t="s">
        <v>328</v>
      </c>
      <c r="F55" s="6" t="s">
        <v>329</v>
      </c>
      <c r="G55" s="6" t="s">
        <v>268</v>
      </c>
      <c r="H55" s="6">
        <v>78</v>
      </c>
      <c r="I55" s="50">
        <v>1.28064638210694</v>
      </c>
      <c r="J55" s="50">
        <v>1.1944869898767301</v>
      </c>
      <c r="K55" s="50">
        <v>1.3730205267223801</v>
      </c>
      <c r="L55" s="50">
        <v>3.3736400000000002E-12</v>
      </c>
      <c r="M55" s="50">
        <v>7.4150445847500003E-6</v>
      </c>
      <c r="N55" s="50">
        <v>25.544050282198601</v>
      </c>
      <c r="O55" s="43">
        <v>12.3765733831313</v>
      </c>
      <c r="P55" s="6" t="s">
        <v>1926</v>
      </c>
    </row>
    <row r="56" spans="1:16" ht="18" customHeight="1" x14ac:dyDescent="0.15">
      <c r="A56" s="5" t="s">
        <v>1823</v>
      </c>
      <c r="B56" s="6" t="s">
        <v>1927</v>
      </c>
      <c r="C56" s="6" t="s">
        <v>20</v>
      </c>
      <c r="D56" s="6" t="s">
        <v>316</v>
      </c>
      <c r="E56" s="6" t="s">
        <v>228</v>
      </c>
      <c r="F56" s="6" t="s">
        <v>229</v>
      </c>
      <c r="G56" s="6" t="s">
        <v>268</v>
      </c>
      <c r="H56" s="6">
        <v>19</v>
      </c>
      <c r="I56" s="50">
        <v>1.2144630788995201</v>
      </c>
      <c r="J56" s="50">
        <v>1.1487483433218599</v>
      </c>
      <c r="K56" s="50">
        <v>1.2839370594825299</v>
      </c>
      <c r="L56" s="50">
        <v>7.5989900000000001E-12</v>
      </c>
      <c r="M56" s="50">
        <v>0.18823900633544299</v>
      </c>
      <c r="N56" s="50">
        <v>76.738724949122698</v>
      </c>
      <c r="O56" s="43">
        <v>13.503301045560001</v>
      </c>
      <c r="P56" s="6"/>
    </row>
    <row r="57" spans="1:16" ht="18" customHeight="1" x14ac:dyDescent="0.15">
      <c r="A57" s="5" t="s">
        <v>1823</v>
      </c>
      <c r="B57" s="6" t="s">
        <v>1928</v>
      </c>
      <c r="C57" s="6" t="s">
        <v>20</v>
      </c>
      <c r="D57" s="6" t="s">
        <v>290</v>
      </c>
      <c r="E57" s="6" t="s">
        <v>328</v>
      </c>
      <c r="F57" s="6" t="s">
        <v>329</v>
      </c>
      <c r="G57" s="6" t="s">
        <v>268</v>
      </c>
      <c r="H57" s="6">
        <v>78</v>
      </c>
      <c r="I57" s="50">
        <v>1.2618777600861</v>
      </c>
      <c r="J57" s="50">
        <v>1.1795495621218599</v>
      </c>
      <c r="K57" s="50">
        <v>1.3499521618536501</v>
      </c>
      <c r="L57" s="50">
        <v>1.40666E-11</v>
      </c>
      <c r="M57" s="50">
        <v>3.7721424202000001E-6</v>
      </c>
      <c r="N57" s="50">
        <v>25.544050282198601</v>
      </c>
      <c r="O57" s="43">
        <v>12.3765733831313</v>
      </c>
      <c r="P57" s="6"/>
    </row>
    <row r="58" spans="1:16" ht="18" customHeight="1" x14ac:dyDescent="0.15">
      <c r="A58" s="5" t="s">
        <v>1823</v>
      </c>
      <c r="B58" s="6" t="s">
        <v>1929</v>
      </c>
      <c r="C58" s="6" t="s">
        <v>20</v>
      </c>
      <c r="D58" s="6" t="s">
        <v>290</v>
      </c>
      <c r="E58" s="6" t="s">
        <v>228</v>
      </c>
      <c r="F58" s="6" t="s">
        <v>229</v>
      </c>
      <c r="G58" s="6" t="s">
        <v>268</v>
      </c>
      <c r="H58" s="6">
        <v>19</v>
      </c>
      <c r="I58" s="50">
        <v>1.1978135606409199</v>
      </c>
      <c r="J58" s="50">
        <v>1.13496990360362</v>
      </c>
      <c r="K58" s="50">
        <v>1.26413689164779</v>
      </c>
      <c r="L58" s="50">
        <v>5.21846E-11</v>
      </c>
      <c r="M58" s="50">
        <v>0.31304023907791401</v>
      </c>
      <c r="N58" s="50">
        <v>76.738724949122698</v>
      </c>
      <c r="O58" s="43">
        <v>13.503301045560001</v>
      </c>
      <c r="P58" s="6"/>
    </row>
    <row r="59" spans="1:16" ht="18" customHeight="1" x14ac:dyDescent="0.15">
      <c r="A59" s="5" t="s">
        <v>1823</v>
      </c>
      <c r="B59" s="6" t="s">
        <v>1930</v>
      </c>
      <c r="C59" s="6" t="s">
        <v>20</v>
      </c>
      <c r="D59" s="6" t="s">
        <v>240</v>
      </c>
      <c r="E59" s="6" t="s">
        <v>328</v>
      </c>
      <c r="F59" s="6" t="s">
        <v>329</v>
      </c>
      <c r="G59" s="6"/>
      <c r="H59" s="6">
        <v>79</v>
      </c>
      <c r="I59" s="50">
        <v>1.2039484411688099</v>
      </c>
      <c r="J59" s="50">
        <v>1.1092619083449</v>
      </c>
      <c r="K59" s="50">
        <v>1.3067174109994999</v>
      </c>
      <c r="L59" s="50">
        <v>8.9445158408599997E-6</v>
      </c>
      <c r="M59" s="50">
        <v>5.151050055464E-5</v>
      </c>
      <c r="N59" s="50">
        <v>43.4628138624171</v>
      </c>
      <c r="O59" s="43">
        <v>43.4628138624171</v>
      </c>
      <c r="P59" s="6"/>
    </row>
    <row r="60" spans="1:16" ht="18" customHeight="1" x14ac:dyDescent="0.15">
      <c r="A60" s="5" t="s">
        <v>1823</v>
      </c>
      <c r="B60" s="6" t="s">
        <v>1931</v>
      </c>
      <c r="C60" s="6" t="s">
        <v>20</v>
      </c>
      <c r="D60" s="6" t="s">
        <v>240</v>
      </c>
      <c r="E60" s="6" t="s">
        <v>328</v>
      </c>
      <c r="F60" s="6" t="s">
        <v>329</v>
      </c>
      <c r="G60" s="6" t="s">
        <v>216</v>
      </c>
      <c r="H60" s="6">
        <v>79</v>
      </c>
      <c r="I60" s="50">
        <v>1.20213710705973</v>
      </c>
      <c r="J60" s="50">
        <v>1.10719014148874</v>
      </c>
      <c r="K60" s="50">
        <v>1.30522623894284</v>
      </c>
      <c r="L60" s="50">
        <v>1.155996679584E-5</v>
      </c>
      <c r="M60" s="50">
        <v>3.9351649898289999E-5</v>
      </c>
      <c r="N60" s="50">
        <v>43.494382803396199</v>
      </c>
      <c r="O60" s="43">
        <v>30.668979059390999</v>
      </c>
      <c r="P60" s="6"/>
    </row>
    <row r="61" spans="1:16" ht="18" customHeight="1" x14ac:dyDescent="0.15">
      <c r="A61" s="5" t="s">
        <v>1823</v>
      </c>
      <c r="B61" s="6" t="s">
        <v>1932</v>
      </c>
      <c r="C61" s="6" t="s">
        <v>20</v>
      </c>
      <c r="D61" s="6" t="s">
        <v>17</v>
      </c>
      <c r="E61" s="6" t="s">
        <v>228</v>
      </c>
      <c r="F61" s="6" t="s">
        <v>229</v>
      </c>
      <c r="G61" s="6"/>
      <c r="H61" s="6">
        <v>20</v>
      </c>
      <c r="I61" s="50">
        <v>1.17583842675154</v>
      </c>
      <c r="J61" s="50">
        <v>1.0502556610287701</v>
      </c>
      <c r="K61" s="50">
        <v>1.3164375657553999</v>
      </c>
      <c r="L61" s="50">
        <v>4.9405052012096804E-3</v>
      </c>
      <c r="M61" s="50">
        <v>5.6676476399980802E-2</v>
      </c>
      <c r="N61" s="50">
        <v>96.800126326132698</v>
      </c>
      <c r="O61" s="43">
        <v>96.800126326132698</v>
      </c>
      <c r="P61" s="6" t="s">
        <v>1933</v>
      </c>
    </row>
    <row r="62" spans="1:16" ht="18" customHeight="1" x14ac:dyDescent="0.15">
      <c r="A62" s="5" t="s">
        <v>1823</v>
      </c>
      <c r="B62" s="6" t="s">
        <v>1934</v>
      </c>
      <c r="C62" s="6" t="s">
        <v>20</v>
      </c>
      <c r="D62" s="6" t="s">
        <v>17</v>
      </c>
      <c r="E62" s="6" t="s">
        <v>328</v>
      </c>
      <c r="F62" s="6" t="s">
        <v>329</v>
      </c>
      <c r="G62" s="6" t="s">
        <v>216</v>
      </c>
      <c r="H62" s="6">
        <v>79</v>
      </c>
      <c r="I62" s="50">
        <v>1.1744020615186801</v>
      </c>
      <c r="J62" s="50">
        <v>1.0336475297007</v>
      </c>
      <c r="K62" s="50">
        <v>1.33432351209575</v>
      </c>
      <c r="L62" s="50">
        <v>1.35840736543932E-2</v>
      </c>
      <c r="M62" s="50">
        <v>2.0228141987175801E-2</v>
      </c>
      <c r="N62" s="50">
        <v>43.494382803396199</v>
      </c>
      <c r="O62" s="43">
        <v>30.668979059390999</v>
      </c>
      <c r="P62" s="6"/>
    </row>
    <row r="63" spans="1:16" ht="18" customHeight="1" x14ac:dyDescent="0.15">
      <c r="A63" s="5" t="s">
        <v>1823</v>
      </c>
      <c r="B63" s="6" t="s">
        <v>1935</v>
      </c>
      <c r="C63" s="6" t="s">
        <v>20</v>
      </c>
      <c r="D63" s="6" t="s">
        <v>17</v>
      </c>
      <c r="E63" s="6" t="s">
        <v>328</v>
      </c>
      <c r="F63" s="6" t="s">
        <v>329</v>
      </c>
      <c r="G63" s="6"/>
      <c r="H63" s="6">
        <v>79</v>
      </c>
      <c r="I63" s="50">
        <v>1.16431542145032</v>
      </c>
      <c r="J63" s="50">
        <v>1.0255756017434901</v>
      </c>
      <c r="K63" s="50">
        <v>1.32182395751464</v>
      </c>
      <c r="L63" s="50">
        <v>1.8767466211639001E-2</v>
      </c>
      <c r="M63" s="50">
        <v>1.9399207136707501E-2</v>
      </c>
      <c r="N63" s="50">
        <v>43.4628138624171</v>
      </c>
      <c r="O63" s="43">
        <v>43.4628138624171</v>
      </c>
      <c r="P63" s="6" t="s">
        <v>1936</v>
      </c>
    </row>
    <row r="64" spans="1:16" ht="18" customHeight="1" x14ac:dyDescent="0.15">
      <c r="A64" s="5" t="s">
        <v>1823</v>
      </c>
      <c r="B64" s="6" t="s">
        <v>1937</v>
      </c>
      <c r="C64" s="6" t="s">
        <v>20</v>
      </c>
      <c r="D64" s="6" t="s">
        <v>17</v>
      </c>
      <c r="E64" s="6" t="s">
        <v>328</v>
      </c>
      <c r="F64" s="6" t="s">
        <v>329</v>
      </c>
      <c r="G64" s="6" t="s">
        <v>268</v>
      </c>
      <c r="H64" s="6">
        <v>78</v>
      </c>
      <c r="I64" s="50">
        <v>1.21473659161762</v>
      </c>
      <c r="J64" s="50">
        <v>1.02956449233164</v>
      </c>
      <c r="K64" s="50">
        <v>1.4332127788061699</v>
      </c>
      <c r="L64" s="50">
        <v>2.1150892475875999E-2</v>
      </c>
      <c r="M64" s="50">
        <v>2.7338855648114599E-2</v>
      </c>
      <c r="N64" s="50">
        <v>25.544050282198601</v>
      </c>
      <c r="O64" s="43">
        <v>12.3765733831313</v>
      </c>
      <c r="P64" s="6"/>
    </row>
    <row r="65" spans="1:16" ht="18" customHeight="1" x14ac:dyDescent="0.15">
      <c r="A65" s="5" t="s">
        <v>1823</v>
      </c>
      <c r="B65" s="6" t="s">
        <v>1938</v>
      </c>
      <c r="C65" s="6" t="s">
        <v>20</v>
      </c>
      <c r="D65" s="6" t="s">
        <v>240</v>
      </c>
      <c r="E65" s="6" t="s">
        <v>228</v>
      </c>
      <c r="F65" s="6" t="s">
        <v>229</v>
      </c>
      <c r="G65" s="6"/>
      <c r="H65" s="6">
        <v>20</v>
      </c>
      <c r="I65" s="50">
        <v>1.0874085334599799</v>
      </c>
      <c r="J65" s="50">
        <v>1.0120587719299901</v>
      </c>
      <c r="K65" s="50">
        <v>1.16836823259448</v>
      </c>
      <c r="L65" s="50">
        <v>2.2186303384339499E-2</v>
      </c>
      <c r="M65" s="50">
        <v>2.6713527502799999E-5</v>
      </c>
      <c r="N65" s="50">
        <v>96.800126326132698</v>
      </c>
      <c r="O65" s="43">
        <v>96.800126326132698</v>
      </c>
      <c r="P65" s="6"/>
    </row>
    <row r="66" spans="1:16" ht="18" customHeight="1" x14ac:dyDescent="0.15">
      <c r="A66" s="5" t="s">
        <v>1823</v>
      </c>
      <c r="B66" s="6" t="s">
        <v>1939</v>
      </c>
      <c r="C66" s="6" t="s">
        <v>20</v>
      </c>
      <c r="D66" s="6" t="s">
        <v>17</v>
      </c>
      <c r="E66" s="6" t="s">
        <v>228</v>
      </c>
      <c r="F66" s="6" t="s">
        <v>229</v>
      </c>
      <c r="G66" s="6" t="s">
        <v>216</v>
      </c>
      <c r="H66" s="6">
        <v>20</v>
      </c>
      <c r="I66" s="50">
        <v>1.11954831893165</v>
      </c>
      <c r="J66" s="50">
        <v>0.99374584335273797</v>
      </c>
      <c r="K66" s="50">
        <v>1.2612766602312999</v>
      </c>
      <c r="L66" s="50">
        <v>6.3333991734823195E-2</v>
      </c>
      <c r="M66" s="50">
        <v>0.180746776212416</v>
      </c>
      <c r="N66" s="50">
        <v>93.924743621350103</v>
      </c>
      <c r="O66" s="43">
        <v>14.859424960731401</v>
      </c>
      <c r="P66" s="6"/>
    </row>
    <row r="67" spans="1:16" ht="18" customHeight="1" x14ac:dyDescent="0.15">
      <c r="A67" s="5" t="s">
        <v>1823</v>
      </c>
      <c r="B67" s="6" t="s">
        <v>1940</v>
      </c>
      <c r="C67" s="6" t="s">
        <v>20</v>
      </c>
      <c r="D67" s="6" t="s">
        <v>17</v>
      </c>
      <c r="E67" s="6" t="s">
        <v>228</v>
      </c>
      <c r="F67" s="6" t="s">
        <v>229</v>
      </c>
      <c r="G67" s="6" t="s">
        <v>268</v>
      </c>
      <c r="H67" s="6">
        <v>19</v>
      </c>
      <c r="I67" s="50">
        <v>1.11494478634464</v>
      </c>
      <c r="J67" s="50">
        <v>0.97657446428932404</v>
      </c>
      <c r="K67" s="50">
        <v>1.27292072653337</v>
      </c>
      <c r="L67" s="50">
        <v>0.107533305195027</v>
      </c>
      <c r="M67" s="50">
        <v>5.3974604011702898E-2</v>
      </c>
      <c r="N67" s="50">
        <v>76.738724949122698</v>
      </c>
      <c r="O67" s="43">
        <v>13.503301045560001</v>
      </c>
      <c r="P67" s="6"/>
    </row>
    <row r="68" spans="1:16" ht="18" customHeight="1" x14ac:dyDescent="0.15">
      <c r="A68" s="5" t="s">
        <v>1823</v>
      </c>
      <c r="B68" s="6" t="s">
        <v>1941</v>
      </c>
      <c r="C68" s="6" t="s">
        <v>20</v>
      </c>
      <c r="D68" s="6" t="s">
        <v>240</v>
      </c>
      <c r="E68" s="6" t="s">
        <v>228</v>
      </c>
      <c r="F68" s="6" t="s">
        <v>229</v>
      </c>
      <c r="G68" s="6" t="s">
        <v>216</v>
      </c>
      <c r="H68" s="6">
        <v>20</v>
      </c>
      <c r="I68" s="50">
        <v>1.0326418115852201</v>
      </c>
      <c r="J68" s="50">
        <v>0.95722803468768203</v>
      </c>
      <c r="K68" s="50">
        <v>1.1139969499346301</v>
      </c>
      <c r="L68" s="50">
        <v>0.40643652291266102</v>
      </c>
      <c r="M68" s="50">
        <v>4.7393646608337898E-3</v>
      </c>
      <c r="N68" s="50">
        <v>93.924743621350103</v>
      </c>
      <c r="O68" s="43">
        <v>14.859424960731401</v>
      </c>
      <c r="P68" s="6"/>
    </row>
    <row r="69" spans="1:16" ht="18" customHeight="1" x14ac:dyDescent="0.15">
      <c r="A69" s="5" t="s">
        <v>1823</v>
      </c>
      <c r="B69" s="6" t="s">
        <v>1942</v>
      </c>
      <c r="C69" s="6" t="s">
        <v>20</v>
      </c>
      <c r="D69" s="6" t="s">
        <v>240</v>
      </c>
      <c r="E69" s="6" t="s">
        <v>328</v>
      </c>
      <c r="F69" s="6" t="s">
        <v>329</v>
      </c>
      <c r="G69" s="6" t="s">
        <v>268</v>
      </c>
      <c r="H69" s="6">
        <v>78</v>
      </c>
      <c r="I69" s="50">
        <v>1.04359702357948</v>
      </c>
      <c r="J69" s="50">
        <v>0.93610184737253899</v>
      </c>
      <c r="K69" s="50">
        <v>1.1634361695587301</v>
      </c>
      <c r="L69" s="50">
        <v>0.44164099932156098</v>
      </c>
      <c r="M69" s="50">
        <v>1.1878987767592599E-3</v>
      </c>
      <c r="N69" s="50">
        <v>25.544050282198601</v>
      </c>
      <c r="O69" s="43">
        <v>12.3765733831313</v>
      </c>
      <c r="P69" s="6"/>
    </row>
    <row r="70" spans="1:16" ht="18" customHeight="1" x14ac:dyDescent="0.15">
      <c r="A70" s="5" t="s">
        <v>1823</v>
      </c>
      <c r="B70" s="6" t="s">
        <v>1943</v>
      </c>
      <c r="C70" s="6" t="s">
        <v>20</v>
      </c>
      <c r="D70" s="6" t="s">
        <v>240</v>
      </c>
      <c r="E70" s="6" t="s">
        <v>228</v>
      </c>
      <c r="F70" s="6" t="s">
        <v>229</v>
      </c>
      <c r="G70" s="6" t="s">
        <v>268</v>
      </c>
      <c r="H70" s="6">
        <v>19</v>
      </c>
      <c r="I70" s="50">
        <v>1.02035578248359</v>
      </c>
      <c r="J70" s="50">
        <v>0.93766130417399696</v>
      </c>
      <c r="K70" s="50">
        <v>1.1103432744991399</v>
      </c>
      <c r="L70" s="50">
        <v>0.64027256913590502</v>
      </c>
      <c r="M70" s="50">
        <v>1.12021651374754E-3</v>
      </c>
      <c r="N70" s="50">
        <v>76.738724949122698</v>
      </c>
      <c r="O70" s="43">
        <v>13.503301045560001</v>
      </c>
      <c r="P70" s="6"/>
    </row>
    <row r="71" spans="1:16" ht="18" customHeight="1" x14ac:dyDescent="0.15">
      <c r="A71" s="5" t="s">
        <v>1823</v>
      </c>
      <c r="B71" s="6" t="s">
        <v>1944</v>
      </c>
      <c r="C71" s="6" t="s">
        <v>20</v>
      </c>
      <c r="D71" s="6" t="s">
        <v>279</v>
      </c>
      <c r="E71" s="6" t="s">
        <v>181</v>
      </c>
      <c r="F71" s="6" t="s">
        <v>182</v>
      </c>
      <c r="G71" s="6" t="s">
        <v>1825</v>
      </c>
      <c r="H71" s="6">
        <v>43</v>
      </c>
      <c r="I71" s="50">
        <v>1.0744977556434001</v>
      </c>
      <c r="J71" s="50">
        <v>1.047849690229</v>
      </c>
      <c r="K71" s="50">
        <v>1.1018235130941201</v>
      </c>
      <c r="L71" s="50">
        <v>2.0478408319999999E-8</v>
      </c>
      <c r="M71" s="50">
        <v>0.101906283088573</v>
      </c>
      <c r="N71" s="50">
        <v>21.2861009440925</v>
      </c>
      <c r="O71" s="43">
        <v>7.2443685680442202</v>
      </c>
      <c r="P71" s="6" t="s">
        <v>1945</v>
      </c>
    </row>
    <row r="72" spans="1:16" ht="18" customHeight="1" x14ac:dyDescent="0.15">
      <c r="A72" s="5" t="s">
        <v>1823</v>
      </c>
      <c r="B72" s="6" t="s">
        <v>1946</v>
      </c>
      <c r="C72" s="6" t="s">
        <v>20</v>
      </c>
      <c r="D72" s="6" t="s">
        <v>316</v>
      </c>
      <c r="E72" s="6" t="s">
        <v>181</v>
      </c>
      <c r="F72" s="6" t="s">
        <v>182</v>
      </c>
      <c r="G72" s="6" t="s">
        <v>1825</v>
      </c>
      <c r="H72" s="6">
        <v>36</v>
      </c>
      <c r="I72" s="50">
        <v>1.02119601464902</v>
      </c>
      <c r="J72" s="50">
        <v>1.0114254168588299</v>
      </c>
      <c r="K72" s="50">
        <v>1.0310609986189401</v>
      </c>
      <c r="L72" s="50">
        <v>1.901795326731E-5</v>
      </c>
      <c r="M72" s="50">
        <v>0.155148355514553</v>
      </c>
      <c r="N72" s="50">
        <v>21.0717767238643</v>
      </c>
      <c r="O72" s="43">
        <v>8.4775302775185502</v>
      </c>
      <c r="P72" s="6" t="s">
        <v>1947</v>
      </c>
    </row>
    <row r="73" spans="1:16" ht="18" customHeight="1" x14ac:dyDescent="0.15">
      <c r="A73" s="5" t="s">
        <v>1823</v>
      </c>
      <c r="B73" s="6" t="s">
        <v>1948</v>
      </c>
      <c r="C73" s="6" t="s">
        <v>20</v>
      </c>
      <c r="D73" s="6" t="s">
        <v>316</v>
      </c>
      <c r="E73" s="6" t="s">
        <v>181</v>
      </c>
      <c r="F73" s="6" t="s">
        <v>182</v>
      </c>
      <c r="G73" s="6" t="s">
        <v>1825</v>
      </c>
      <c r="H73" s="6">
        <v>43</v>
      </c>
      <c r="I73" s="50">
        <v>1.07329727932573</v>
      </c>
      <c r="J73" s="50">
        <v>1.0359024393888401</v>
      </c>
      <c r="K73" s="50">
        <v>1.11204202828951</v>
      </c>
      <c r="L73" s="50">
        <v>9.2478131170699998E-5</v>
      </c>
      <c r="M73" s="50">
        <v>0.131542503649313</v>
      </c>
      <c r="N73" s="50">
        <v>21.2861009440925</v>
      </c>
      <c r="O73" s="43">
        <v>7.2443685680442202</v>
      </c>
      <c r="P73" s="6" t="s">
        <v>1949</v>
      </c>
    </row>
    <row r="74" spans="1:16" ht="18" customHeight="1" x14ac:dyDescent="0.15">
      <c r="A74" s="5" t="s">
        <v>1823</v>
      </c>
      <c r="B74" s="6" t="s">
        <v>1950</v>
      </c>
      <c r="C74" s="6" t="s">
        <v>20</v>
      </c>
      <c r="D74" s="6" t="s">
        <v>290</v>
      </c>
      <c r="E74" s="6" t="s">
        <v>181</v>
      </c>
      <c r="F74" s="6" t="s">
        <v>182</v>
      </c>
      <c r="G74" s="6" t="s">
        <v>1825</v>
      </c>
      <c r="H74" s="6">
        <v>40</v>
      </c>
      <c r="I74" s="50">
        <v>1.06510113155952</v>
      </c>
      <c r="J74" s="50">
        <v>1.0259083393239401</v>
      </c>
      <c r="K74" s="50">
        <v>1.1057912066461399</v>
      </c>
      <c r="L74" s="50">
        <v>9.7651694968704003E-4</v>
      </c>
      <c r="M74" s="50">
        <v>0.44921839068911201</v>
      </c>
      <c r="N74" s="50">
        <v>21.552703580841101</v>
      </c>
      <c r="O74" s="43">
        <v>7.4711881694511302</v>
      </c>
      <c r="P74" s="6" t="s">
        <v>1951</v>
      </c>
    </row>
    <row r="75" spans="1:16" ht="18" customHeight="1" x14ac:dyDescent="0.15">
      <c r="A75" s="5" t="s">
        <v>1823</v>
      </c>
      <c r="B75" s="6" t="s">
        <v>1952</v>
      </c>
      <c r="C75" s="6" t="s">
        <v>28</v>
      </c>
      <c r="D75" s="6" t="s">
        <v>17</v>
      </c>
      <c r="E75" s="6" t="s">
        <v>181</v>
      </c>
      <c r="F75" s="6" t="s">
        <v>185</v>
      </c>
      <c r="G75" s="6" t="s">
        <v>1825</v>
      </c>
      <c r="H75" s="6">
        <v>37</v>
      </c>
      <c r="I75" s="50">
        <v>1.07273989090708</v>
      </c>
      <c r="J75" s="50">
        <v>1.0268662277621601</v>
      </c>
      <c r="K75" s="50">
        <v>1.12066288911965</v>
      </c>
      <c r="L75" s="50">
        <v>1.6385084330893501E-3</v>
      </c>
      <c r="M75" s="50">
        <v>0.402102720378814</v>
      </c>
      <c r="N75" s="50">
        <v>21.366919981789099</v>
      </c>
      <c r="O75" s="43">
        <v>8.6030883055585701</v>
      </c>
      <c r="P75" s="6" t="s">
        <v>1953</v>
      </c>
    </row>
    <row r="76" spans="1:16" ht="18" customHeight="1" x14ac:dyDescent="0.15">
      <c r="A76" s="5" t="s">
        <v>1823</v>
      </c>
      <c r="B76" s="6" t="s">
        <v>1954</v>
      </c>
      <c r="C76" s="6" t="s">
        <v>20</v>
      </c>
      <c r="D76" s="6" t="s">
        <v>240</v>
      </c>
      <c r="E76" s="6" t="s">
        <v>34</v>
      </c>
      <c r="F76" s="6" t="s">
        <v>35</v>
      </c>
      <c r="G76" s="6" t="s">
        <v>1825</v>
      </c>
      <c r="H76" s="6">
        <v>26</v>
      </c>
      <c r="I76" s="50">
        <v>0.81017068315146101</v>
      </c>
      <c r="J76" s="50">
        <v>0.67884258432996503</v>
      </c>
      <c r="K76" s="50">
        <v>0.96690536361381396</v>
      </c>
      <c r="L76" s="50">
        <v>1.9649346055442499E-2</v>
      </c>
      <c r="M76" s="50">
        <v>0.42777861585066101</v>
      </c>
      <c r="N76" s="50">
        <v>12.662737143907099</v>
      </c>
      <c r="O76" s="43">
        <v>2.2518713179107301</v>
      </c>
      <c r="P76" s="6" t="s">
        <v>1955</v>
      </c>
    </row>
    <row r="77" spans="1:16" ht="18" customHeight="1" x14ac:dyDescent="0.15">
      <c r="A77" s="5" t="s">
        <v>1823</v>
      </c>
      <c r="B77" s="6" t="s">
        <v>1956</v>
      </c>
      <c r="C77" s="6" t="s">
        <v>20</v>
      </c>
      <c r="D77" s="6" t="s">
        <v>240</v>
      </c>
      <c r="E77" s="6" t="s">
        <v>181</v>
      </c>
      <c r="F77" s="6" t="s">
        <v>182</v>
      </c>
      <c r="G77" s="6" t="s">
        <v>1825</v>
      </c>
      <c r="H77" s="6">
        <v>39</v>
      </c>
      <c r="I77" s="50">
        <v>1.1329677211649301</v>
      </c>
      <c r="J77" s="50">
        <v>1.01220288329682</v>
      </c>
      <c r="K77" s="50">
        <v>1.2681408820144999</v>
      </c>
      <c r="L77" s="50">
        <v>2.99373586418826E-2</v>
      </c>
      <c r="M77" s="50">
        <v>8.1175572623076193E-3</v>
      </c>
      <c r="N77" s="50">
        <v>21.4886387417029</v>
      </c>
      <c r="O77" s="43">
        <v>7.8842859113530999</v>
      </c>
      <c r="P77" s="6" t="s">
        <v>1957</v>
      </c>
    </row>
    <row r="78" spans="1:16" ht="18" customHeight="1" x14ac:dyDescent="0.15">
      <c r="A78" s="5" t="s">
        <v>1823</v>
      </c>
      <c r="B78" s="6" t="s">
        <v>1958</v>
      </c>
      <c r="C78" s="6" t="s">
        <v>20</v>
      </c>
      <c r="D78" s="6" t="s">
        <v>279</v>
      </c>
      <c r="E78" s="6" t="s">
        <v>135</v>
      </c>
      <c r="F78" s="6" t="s">
        <v>129</v>
      </c>
      <c r="G78" s="6" t="s">
        <v>1825</v>
      </c>
      <c r="H78" s="6">
        <v>48</v>
      </c>
      <c r="I78" s="50">
        <v>1.03598700747826</v>
      </c>
      <c r="J78" s="50">
        <v>0.999027770624906</v>
      </c>
      <c r="K78" s="50">
        <v>1.07431355886374</v>
      </c>
      <c r="L78" s="50">
        <v>5.64534244503445E-2</v>
      </c>
      <c r="M78" s="50">
        <v>0.243102614618248</v>
      </c>
      <c r="N78" s="50">
        <v>13.0702375628504</v>
      </c>
      <c r="O78" s="43">
        <v>11.2405158705803</v>
      </c>
      <c r="P78" s="6" t="s">
        <v>1959</v>
      </c>
    </row>
    <row r="79" spans="1:16" ht="18" customHeight="1" x14ac:dyDescent="0.15">
      <c r="A79" s="5" t="s">
        <v>1823</v>
      </c>
      <c r="B79" s="6" t="s">
        <v>1960</v>
      </c>
      <c r="C79" s="6" t="s">
        <v>20</v>
      </c>
      <c r="D79" s="6" t="s">
        <v>17</v>
      </c>
      <c r="E79" s="6" t="s">
        <v>181</v>
      </c>
      <c r="F79" s="6" t="s">
        <v>1961</v>
      </c>
      <c r="G79" s="6" t="s">
        <v>1825</v>
      </c>
      <c r="H79" s="6">
        <v>41</v>
      </c>
      <c r="I79" s="50">
        <v>1.0927170750200501</v>
      </c>
      <c r="J79" s="50">
        <v>0.99108695988697904</v>
      </c>
      <c r="K79" s="50">
        <v>1.2047687583101101</v>
      </c>
      <c r="L79" s="50">
        <v>7.5036102830778995E-2</v>
      </c>
      <c r="M79" s="50">
        <v>5.3916817266901902E-2</v>
      </c>
      <c r="N79" s="50">
        <v>12.0428660385854</v>
      </c>
      <c r="O79" s="43">
        <v>1.0607518215943299</v>
      </c>
      <c r="P79" s="6" t="s">
        <v>1962</v>
      </c>
    </row>
    <row r="80" spans="1:16" ht="18" customHeight="1" x14ac:dyDescent="0.15">
      <c r="A80" s="5" t="s">
        <v>1823</v>
      </c>
      <c r="B80" s="6" t="s">
        <v>1963</v>
      </c>
      <c r="C80" s="6" t="s">
        <v>20</v>
      </c>
      <c r="D80" s="6" t="s">
        <v>316</v>
      </c>
      <c r="E80" s="6" t="s">
        <v>135</v>
      </c>
      <c r="F80" s="6" t="s">
        <v>129</v>
      </c>
      <c r="G80" s="6" t="s">
        <v>1825</v>
      </c>
      <c r="H80" s="6">
        <v>43</v>
      </c>
      <c r="I80" s="50">
        <v>1.0098963946575801</v>
      </c>
      <c r="J80" s="50">
        <v>0.99573406537378095</v>
      </c>
      <c r="K80" s="50">
        <v>1.0242601548029999</v>
      </c>
      <c r="L80" s="50">
        <v>0.171720608903915</v>
      </c>
      <c r="M80" s="50">
        <v>0.16312462622134799</v>
      </c>
      <c r="N80" s="50">
        <v>12.278846169968901</v>
      </c>
      <c r="O80" s="43">
        <v>10.4770503846437</v>
      </c>
      <c r="P80" s="6" t="s">
        <v>1964</v>
      </c>
    </row>
    <row r="81" spans="1:16" ht="18" customHeight="1" x14ac:dyDescent="0.15">
      <c r="A81" s="5" t="s">
        <v>1823</v>
      </c>
      <c r="B81" s="6" t="s">
        <v>1965</v>
      </c>
      <c r="C81" s="6" t="s">
        <v>20</v>
      </c>
      <c r="D81" s="6" t="s">
        <v>240</v>
      </c>
      <c r="E81" s="6" t="s">
        <v>135</v>
      </c>
      <c r="F81" s="6" t="s">
        <v>129</v>
      </c>
      <c r="G81" s="6" t="s">
        <v>1825</v>
      </c>
      <c r="H81" s="6">
        <v>48</v>
      </c>
      <c r="I81" s="50">
        <v>0.89761457111681697</v>
      </c>
      <c r="J81" s="50">
        <v>0.76704517886230505</v>
      </c>
      <c r="K81" s="50">
        <v>1.0504099895084</v>
      </c>
      <c r="L81" s="50">
        <v>0.17804849171857201</v>
      </c>
      <c r="M81" s="50">
        <v>7.0623158482781501E-2</v>
      </c>
      <c r="N81" s="50">
        <v>13.0702375628504</v>
      </c>
      <c r="O81" s="43">
        <v>11.2405158705803</v>
      </c>
      <c r="P81" s="6" t="s">
        <v>1966</v>
      </c>
    </row>
    <row r="82" spans="1:16" ht="18" customHeight="1" x14ac:dyDescent="0.15">
      <c r="A82" s="5" t="s">
        <v>1823</v>
      </c>
      <c r="B82" s="6" t="s">
        <v>1967</v>
      </c>
      <c r="C82" s="6" t="s">
        <v>20</v>
      </c>
      <c r="D82" s="6" t="s">
        <v>17</v>
      </c>
      <c r="E82" s="6" t="s">
        <v>135</v>
      </c>
      <c r="F82" s="6" t="s">
        <v>129</v>
      </c>
      <c r="G82" s="6" t="s">
        <v>1825</v>
      </c>
      <c r="H82" s="6">
        <v>48</v>
      </c>
      <c r="I82" s="50">
        <v>1.0542576870634099</v>
      </c>
      <c r="J82" s="50">
        <v>0.95319510918495498</v>
      </c>
      <c r="K82" s="50">
        <v>1.16603543180438</v>
      </c>
      <c r="L82" s="50">
        <v>0.30410794573738897</v>
      </c>
      <c r="M82" s="50">
        <v>0.44961765172832402</v>
      </c>
      <c r="N82" s="50">
        <v>13.0702375628504</v>
      </c>
      <c r="O82" s="43">
        <v>11.2405158705803</v>
      </c>
      <c r="P82" s="6" t="s">
        <v>1968</v>
      </c>
    </row>
    <row r="83" spans="1:16" ht="18" customHeight="1" x14ac:dyDescent="0.15">
      <c r="A83" s="5" t="s">
        <v>1823</v>
      </c>
      <c r="B83" s="6" t="s">
        <v>1969</v>
      </c>
      <c r="C83" s="6" t="s">
        <v>20</v>
      </c>
      <c r="D83" s="6" t="s">
        <v>240</v>
      </c>
      <c r="E83" s="6" t="s">
        <v>34</v>
      </c>
      <c r="F83" s="6" t="s">
        <v>35</v>
      </c>
      <c r="G83" s="6" t="s">
        <v>1825</v>
      </c>
      <c r="H83" s="6">
        <v>10</v>
      </c>
      <c r="I83" s="50">
        <v>0.75715427900147703</v>
      </c>
      <c r="J83" s="50">
        <v>0.344496176600884</v>
      </c>
      <c r="K83" s="50">
        <v>1.6641189108883001</v>
      </c>
      <c r="L83" s="50">
        <v>0.48869014842860697</v>
      </c>
      <c r="M83" s="50">
        <v>1.55495634731745E-2</v>
      </c>
      <c r="N83" s="50">
        <v>9.3072465214902405</v>
      </c>
      <c r="O83" s="43">
        <v>1.4772811673092101</v>
      </c>
      <c r="P83" s="6" t="s">
        <v>1970</v>
      </c>
    </row>
    <row r="84" spans="1:16" ht="18" customHeight="1" x14ac:dyDescent="0.15">
      <c r="A84" s="5" t="s">
        <v>1823</v>
      </c>
      <c r="B84" s="6" t="s">
        <v>1971</v>
      </c>
      <c r="C84" s="6" t="s">
        <v>20</v>
      </c>
      <c r="D84" s="6" t="s">
        <v>240</v>
      </c>
      <c r="E84" s="6" t="s">
        <v>135</v>
      </c>
      <c r="F84" s="6" t="s">
        <v>129</v>
      </c>
      <c r="G84" s="6" t="s">
        <v>1825</v>
      </c>
      <c r="H84" s="6">
        <v>27</v>
      </c>
      <c r="I84" s="50">
        <v>1.17519944564741</v>
      </c>
      <c r="J84" s="50">
        <v>0.71884321276496099</v>
      </c>
      <c r="K84" s="50">
        <v>1.9212725564142601</v>
      </c>
      <c r="L84" s="50">
        <v>0.51975999603083001</v>
      </c>
      <c r="M84" s="50">
        <v>0.91554590439333805</v>
      </c>
      <c r="N84" s="50">
        <v>12.345545857790199</v>
      </c>
      <c r="O84" s="43">
        <v>11.8613229988693</v>
      </c>
      <c r="P84" s="6" t="s">
        <v>1972</v>
      </c>
    </row>
    <row r="85" spans="1:16" ht="18" customHeight="1" x14ac:dyDescent="0.15">
      <c r="A85" s="5" t="s">
        <v>1823</v>
      </c>
      <c r="B85" s="6" t="s">
        <v>1973</v>
      </c>
      <c r="C85" s="6" t="s">
        <v>20</v>
      </c>
      <c r="D85" s="6" t="s">
        <v>240</v>
      </c>
      <c r="E85" s="6" t="s">
        <v>181</v>
      </c>
      <c r="F85" s="6" t="s">
        <v>182</v>
      </c>
      <c r="G85" s="6" t="s">
        <v>1825</v>
      </c>
      <c r="H85" s="6">
        <v>19</v>
      </c>
      <c r="I85" s="50">
        <v>1.05711719759472</v>
      </c>
      <c r="J85" s="50">
        <v>0.74530544101437002</v>
      </c>
      <c r="K85" s="50">
        <v>1.4993809355927701</v>
      </c>
      <c r="L85" s="50">
        <v>0.75542492387729598</v>
      </c>
      <c r="M85" s="50">
        <v>8.5590626675104402E-3</v>
      </c>
      <c r="N85" s="50">
        <v>23.292131228386399</v>
      </c>
      <c r="O85" s="43">
        <v>7.40959228892737</v>
      </c>
      <c r="P85" s="6" t="s">
        <v>1974</v>
      </c>
    </row>
    <row r="86" spans="1:16" ht="18" customHeight="1" x14ac:dyDescent="0.15">
      <c r="A86" s="5" t="s">
        <v>1823</v>
      </c>
      <c r="B86" s="6" t="s">
        <v>1975</v>
      </c>
      <c r="C86" s="6" t="s">
        <v>20</v>
      </c>
      <c r="D86" s="6" t="s">
        <v>17</v>
      </c>
      <c r="E86" s="6" t="s">
        <v>34</v>
      </c>
      <c r="F86" s="6" t="s">
        <v>35</v>
      </c>
      <c r="G86" s="6" t="s">
        <v>1825</v>
      </c>
      <c r="H86" s="6">
        <v>25</v>
      </c>
      <c r="I86" s="50">
        <v>1.0179886276774599</v>
      </c>
      <c r="J86" s="50">
        <v>0.89292882330787604</v>
      </c>
      <c r="K86" s="50">
        <v>1.1605637751076701</v>
      </c>
      <c r="L86" s="50">
        <v>0.78978200382731201</v>
      </c>
      <c r="M86" s="50">
        <v>0.218955335888251</v>
      </c>
      <c r="N86" s="50">
        <v>10.476475951091301</v>
      </c>
      <c r="O86" s="43">
        <v>1.84331212099755</v>
      </c>
      <c r="P86" s="6" t="s">
        <v>1976</v>
      </c>
    </row>
    <row r="87" spans="1:16" ht="18" customHeight="1" x14ac:dyDescent="0.15">
      <c r="A87" s="5" t="s">
        <v>1823</v>
      </c>
      <c r="B87" s="6" t="s">
        <v>1977</v>
      </c>
      <c r="C87" s="6" t="s">
        <v>20</v>
      </c>
      <c r="D87" s="6" t="s">
        <v>279</v>
      </c>
      <c r="E87" s="6" t="s">
        <v>34</v>
      </c>
      <c r="F87" s="6" t="s">
        <v>35</v>
      </c>
      <c r="G87" s="6" t="s">
        <v>1825</v>
      </c>
      <c r="H87" s="6">
        <v>26</v>
      </c>
      <c r="I87" s="50">
        <v>1.00505345758404</v>
      </c>
      <c r="J87" s="50">
        <v>0.96269657598393699</v>
      </c>
      <c r="K87" s="50">
        <v>1.0492739641970901</v>
      </c>
      <c r="L87" s="50">
        <v>0.81851488449907905</v>
      </c>
      <c r="M87" s="50">
        <v>0.75355509900725504</v>
      </c>
      <c r="N87" s="50">
        <v>12.662737143907099</v>
      </c>
      <c r="O87" s="43">
        <v>2.2518713179107301</v>
      </c>
      <c r="P87" s="6" t="s">
        <v>1978</v>
      </c>
    </row>
    <row r="88" spans="1:16" ht="18" customHeight="1" x14ac:dyDescent="0.15">
      <c r="A88" s="5" t="s">
        <v>1823</v>
      </c>
      <c r="B88" s="6" t="s">
        <v>1979</v>
      </c>
      <c r="C88" s="6" t="s">
        <v>20</v>
      </c>
      <c r="D88" s="6" t="s">
        <v>316</v>
      </c>
      <c r="E88" s="6" t="s">
        <v>34</v>
      </c>
      <c r="F88" s="6" t="s">
        <v>35</v>
      </c>
      <c r="G88" s="6" t="s">
        <v>1825</v>
      </c>
      <c r="H88" s="6">
        <v>22</v>
      </c>
      <c r="I88" s="50">
        <v>1.00105952883746</v>
      </c>
      <c r="J88" s="50">
        <v>0.98478762236419304</v>
      </c>
      <c r="K88" s="50">
        <v>1.0176003003271701</v>
      </c>
      <c r="L88" s="50">
        <v>0.89921710970709501</v>
      </c>
      <c r="M88" s="50">
        <v>0.426969781156124</v>
      </c>
      <c r="N88" s="50">
        <v>13.132357281137599</v>
      </c>
      <c r="O88" s="43">
        <v>2.59149487685464</v>
      </c>
      <c r="P88" s="6" t="s">
        <v>1980</v>
      </c>
    </row>
    <row r="89" spans="1:16" ht="18" customHeight="1" x14ac:dyDescent="0.15"/>
    <row r="90" spans="1:16" ht="100.5" customHeight="1" x14ac:dyDescent="0.15">
      <c r="A90" s="75" t="s">
        <v>2103</v>
      </c>
      <c r="B90" s="75"/>
      <c r="C90" s="75"/>
      <c r="D90" s="75"/>
      <c r="E90" s="75"/>
      <c r="F90" s="75"/>
    </row>
    <row r="91" spans="1:16" ht="18" customHeight="1" x14ac:dyDescent="0.15"/>
    <row r="92" spans="1:16" ht="18" customHeight="1" x14ac:dyDescent="0.15"/>
    <row r="93" spans="1:16" ht="18" customHeight="1" x14ac:dyDescent="0.15"/>
    <row r="94" spans="1:16" ht="18" customHeight="1" x14ac:dyDescent="0.15"/>
    <row r="95" spans="1:16" ht="18" customHeight="1" x14ac:dyDescent="0.15"/>
    <row r="96" spans="1:16" ht="18" customHeight="1" x14ac:dyDescent="0.15"/>
    <row r="97" spans="1:7" ht="18" customHeight="1" x14ac:dyDescent="0.15"/>
    <row r="98" spans="1:7" ht="81" customHeight="1" x14ac:dyDescent="0.15">
      <c r="A98" s="74"/>
      <c r="B98" s="74"/>
      <c r="C98" s="74"/>
      <c r="D98" s="74"/>
      <c r="E98" s="74"/>
      <c r="F98" s="74"/>
      <c r="G98" s="74"/>
    </row>
  </sheetData>
  <mergeCells count="3">
    <mergeCell ref="A98:G98"/>
    <mergeCell ref="A1:Q1"/>
    <mergeCell ref="A90:F90"/>
  </mergeCells>
  <phoneticPr fontId="5" type="noConversion"/>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V552"/>
  <sheetViews>
    <sheetView topLeftCell="A526" workbookViewId="0">
      <selection activeCell="H10" sqref="H10"/>
    </sheetView>
  </sheetViews>
  <sheetFormatPr defaultRowHeight="13.5" x14ac:dyDescent="0.15"/>
  <cols>
    <col min="1" max="1" width="11.875" customWidth="1"/>
    <col min="2" max="2" width="11.5" customWidth="1"/>
    <col min="3" max="3" width="23.25" customWidth="1"/>
    <col min="4" max="4" width="18.625" customWidth="1"/>
    <col min="5" max="5" width="11" customWidth="1"/>
    <col min="6" max="6" width="22.25" customWidth="1"/>
    <col min="7" max="7" width="15.5" customWidth="1"/>
    <col min="8" max="8" width="10.375" style="59" customWidth="1"/>
    <col min="9" max="9" width="13.25" style="59" customWidth="1"/>
    <col min="10" max="10" width="11.625" style="59" customWidth="1"/>
    <col min="11" max="11" width="10.5" style="59" customWidth="1"/>
    <col min="12" max="12" width="12.5" customWidth="1"/>
    <col min="13" max="13" width="11.875" style="61" customWidth="1"/>
    <col min="14" max="14" width="10.375" style="61" customWidth="1"/>
    <col min="15" max="15" width="15.75" style="61" customWidth="1"/>
    <col min="16" max="16" width="14" style="61" customWidth="1"/>
    <col min="17" max="17" width="20.875" customWidth="1"/>
    <col min="18" max="18" width="16.5" customWidth="1"/>
    <col min="19" max="19" width="9" customWidth="1"/>
    <col min="20" max="20" width="15.875" customWidth="1"/>
    <col min="21" max="21" width="9" customWidth="1"/>
  </cols>
  <sheetData>
    <row r="1" spans="1:22" ht="18" customHeight="1" x14ac:dyDescent="0.15">
      <c r="A1" s="76" t="s">
        <v>1981</v>
      </c>
      <c r="B1" s="74"/>
      <c r="C1" s="74"/>
      <c r="D1" s="74"/>
      <c r="E1" s="74"/>
      <c r="F1" s="74"/>
      <c r="G1" s="74"/>
      <c r="H1" s="78"/>
      <c r="I1" s="78"/>
      <c r="J1" s="78"/>
      <c r="K1" s="78"/>
      <c r="L1" s="74"/>
      <c r="M1" s="81"/>
      <c r="N1" s="81"/>
      <c r="O1" s="81"/>
      <c r="P1" s="81"/>
    </row>
    <row r="2" spans="1:22" ht="18" customHeight="1" x14ac:dyDescent="0.15"/>
    <row r="3" spans="1:22" ht="18" customHeight="1" x14ac:dyDescent="0.15">
      <c r="A3" s="22" t="s">
        <v>1982</v>
      </c>
      <c r="B3" s="20" t="s">
        <v>1983</v>
      </c>
      <c r="C3" s="20" t="s">
        <v>1984</v>
      </c>
      <c r="D3" s="20" t="s">
        <v>1985</v>
      </c>
      <c r="E3" s="20" t="s">
        <v>1986</v>
      </c>
      <c r="F3" s="20" t="s">
        <v>1987</v>
      </c>
      <c r="G3" s="20" t="s">
        <v>1988</v>
      </c>
      <c r="H3" s="60" t="s">
        <v>1989</v>
      </c>
      <c r="I3" s="60" t="s">
        <v>1990</v>
      </c>
      <c r="J3" s="60" t="s">
        <v>1991</v>
      </c>
      <c r="K3" s="60" t="s">
        <v>1992</v>
      </c>
      <c r="L3" s="20" t="s">
        <v>1993</v>
      </c>
      <c r="M3" s="62" t="s">
        <v>1994</v>
      </c>
      <c r="N3" s="62" t="s">
        <v>1995</v>
      </c>
      <c r="O3" s="62" t="s">
        <v>1996</v>
      </c>
      <c r="P3" s="62" t="s">
        <v>1997</v>
      </c>
      <c r="Q3" s="62" t="s">
        <v>1998</v>
      </c>
      <c r="R3" s="62" t="s">
        <v>1999</v>
      </c>
      <c r="S3" s="62" t="s">
        <v>2000</v>
      </c>
      <c r="T3" s="62" t="s">
        <v>2001</v>
      </c>
      <c r="U3" s="62" t="s">
        <v>2002</v>
      </c>
      <c r="V3" t="s">
        <v>2003</v>
      </c>
    </row>
    <row r="4" spans="1:22" ht="18" customHeight="1" x14ac:dyDescent="0.15">
      <c r="A4" s="5" t="s">
        <v>2004</v>
      </c>
      <c r="B4" s="6" t="s">
        <v>2005</v>
      </c>
      <c r="C4" s="6" t="s">
        <v>2006</v>
      </c>
      <c r="D4" s="8" t="s">
        <v>2007</v>
      </c>
      <c r="E4" s="8" t="s">
        <v>2005</v>
      </c>
      <c r="F4" s="43" t="s">
        <v>2008</v>
      </c>
      <c r="G4" s="43" t="s">
        <v>2009</v>
      </c>
      <c r="H4" s="50">
        <v>1.5266999999999999</v>
      </c>
      <c r="I4" s="50"/>
      <c r="J4" s="50"/>
      <c r="K4" s="50"/>
      <c r="L4" s="6">
        <v>417687</v>
      </c>
      <c r="M4" s="57">
        <v>47583</v>
      </c>
      <c r="N4" s="57">
        <v>3123</v>
      </c>
      <c r="O4" s="57">
        <v>346</v>
      </c>
      <c r="P4" s="57">
        <v>27779</v>
      </c>
      <c r="Q4" s="57">
        <v>47237</v>
      </c>
      <c r="R4" s="57">
        <v>5790036.9000000004</v>
      </c>
      <c r="S4" s="57">
        <v>1.5266999999999999</v>
      </c>
      <c r="T4" s="57"/>
      <c r="U4" s="57"/>
    </row>
    <row r="5" spans="1:22" ht="18" customHeight="1" x14ac:dyDescent="0.15">
      <c r="A5" s="5" t="s">
        <v>2004</v>
      </c>
      <c r="B5" s="6" t="s">
        <v>2005</v>
      </c>
      <c r="C5" s="6" t="s">
        <v>2010</v>
      </c>
      <c r="D5" s="8" t="s">
        <v>2007</v>
      </c>
      <c r="E5" s="8" t="s">
        <v>2005</v>
      </c>
      <c r="F5" s="43" t="s">
        <v>2008</v>
      </c>
      <c r="G5" s="43" t="s">
        <v>2009</v>
      </c>
      <c r="H5" s="50">
        <v>1.5266999999999999</v>
      </c>
      <c r="I5" s="50">
        <v>1.3822000000000001</v>
      </c>
      <c r="J5" s="50">
        <v>1.6863999999999999</v>
      </c>
      <c r="K5" s="50">
        <v>7.645898601947962E-17</v>
      </c>
      <c r="L5" s="6">
        <v>417687</v>
      </c>
      <c r="M5" s="57">
        <v>47583</v>
      </c>
      <c r="N5" s="57">
        <v>3123</v>
      </c>
      <c r="O5" s="57">
        <v>346</v>
      </c>
      <c r="P5" s="57">
        <v>27779</v>
      </c>
      <c r="Q5" s="57">
        <v>47237</v>
      </c>
      <c r="R5" s="57">
        <v>5790036.9000000004</v>
      </c>
      <c r="S5" s="57">
        <v>1.5266999999999999</v>
      </c>
      <c r="T5" s="57"/>
      <c r="U5" s="57"/>
    </row>
    <row r="6" spans="1:22" ht="18" customHeight="1" x14ac:dyDescent="0.15">
      <c r="A6" s="5" t="s">
        <v>2004</v>
      </c>
      <c r="B6" s="6" t="s">
        <v>2005</v>
      </c>
      <c r="C6" s="6" t="s">
        <v>2011</v>
      </c>
      <c r="D6" s="8" t="s">
        <v>2007</v>
      </c>
      <c r="E6" s="8" t="s">
        <v>2005</v>
      </c>
      <c r="F6" s="43" t="s">
        <v>2008</v>
      </c>
      <c r="G6" s="43" t="s">
        <v>2009</v>
      </c>
      <c r="H6" s="50">
        <v>1.4941</v>
      </c>
      <c r="I6" s="50">
        <v>1.3520000000000001</v>
      </c>
      <c r="J6" s="50">
        <v>1.6512</v>
      </c>
      <c r="K6" s="50">
        <v>3.4672572792757602E-15</v>
      </c>
      <c r="L6" s="6">
        <v>417687</v>
      </c>
      <c r="M6" s="57">
        <v>47583</v>
      </c>
      <c r="N6" s="57">
        <v>3123</v>
      </c>
      <c r="O6" s="57">
        <v>346</v>
      </c>
      <c r="P6" s="57">
        <v>27779</v>
      </c>
      <c r="Q6" s="57">
        <v>47237</v>
      </c>
      <c r="R6" s="57">
        <v>5790036.9000000004</v>
      </c>
      <c r="S6" s="57">
        <v>1.5266999999999999</v>
      </c>
      <c r="T6" s="57"/>
      <c r="U6" s="57"/>
    </row>
    <row r="7" spans="1:22" ht="18" customHeight="1" x14ac:dyDescent="0.15">
      <c r="A7" s="5" t="s">
        <v>2004</v>
      </c>
      <c r="B7" s="6" t="s">
        <v>2005</v>
      </c>
      <c r="C7" s="6" t="s">
        <v>2012</v>
      </c>
      <c r="D7" s="8" t="s">
        <v>2007</v>
      </c>
      <c r="E7" s="8" t="s">
        <v>2005</v>
      </c>
      <c r="F7" s="43" t="s">
        <v>2008</v>
      </c>
      <c r="G7" s="43" t="s">
        <v>2009</v>
      </c>
      <c r="H7" s="50">
        <v>1.5416000000000001</v>
      </c>
      <c r="I7" s="50">
        <v>1.3976</v>
      </c>
      <c r="J7" s="50">
        <v>1.7003999999999999</v>
      </c>
      <c r="K7" s="50">
        <v>5.1431741375344977E-18</v>
      </c>
      <c r="L7" s="6">
        <v>417687</v>
      </c>
      <c r="M7" s="57">
        <v>47583</v>
      </c>
      <c r="N7" s="57">
        <v>3123</v>
      </c>
      <c r="O7" s="57">
        <v>346</v>
      </c>
      <c r="P7" s="57">
        <v>27779</v>
      </c>
      <c r="Q7" s="57">
        <v>47237</v>
      </c>
      <c r="R7" s="57">
        <v>5790036.9000000004</v>
      </c>
      <c r="S7" s="57">
        <v>1.5266999999999999</v>
      </c>
      <c r="T7" s="57"/>
      <c r="U7" s="57"/>
    </row>
    <row r="8" spans="1:22" ht="18" customHeight="1" x14ac:dyDescent="0.15">
      <c r="A8" s="5" t="s">
        <v>2004</v>
      </c>
      <c r="B8" s="6" t="s">
        <v>2005</v>
      </c>
      <c r="C8" s="6" t="s">
        <v>2013</v>
      </c>
      <c r="D8" s="8" t="s">
        <v>2007</v>
      </c>
      <c r="E8" s="8" t="s">
        <v>2005</v>
      </c>
      <c r="F8" s="43" t="s">
        <v>2008</v>
      </c>
      <c r="G8" s="43" t="s">
        <v>2009</v>
      </c>
      <c r="H8" s="50">
        <v>1.4177</v>
      </c>
      <c r="I8" s="50">
        <v>1.2849999999999999</v>
      </c>
      <c r="J8" s="50">
        <v>1.5641</v>
      </c>
      <c r="K8" s="50">
        <v>3.3355226469869262E-12</v>
      </c>
      <c r="L8" s="6">
        <v>417687</v>
      </c>
      <c r="M8" s="57">
        <v>47583</v>
      </c>
      <c r="N8" s="57">
        <v>3123</v>
      </c>
      <c r="O8" s="57">
        <v>346</v>
      </c>
      <c r="P8" s="57">
        <v>27779</v>
      </c>
      <c r="Q8" s="57">
        <v>47237</v>
      </c>
      <c r="R8" s="57">
        <v>5790036.9000000004</v>
      </c>
      <c r="S8" s="57">
        <v>1.5266999999999999</v>
      </c>
      <c r="T8" s="57"/>
      <c r="U8" s="57"/>
    </row>
    <row r="9" spans="1:22" ht="18" customHeight="1" x14ac:dyDescent="0.15">
      <c r="A9" s="5" t="s">
        <v>2014</v>
      </c>
      <c r="B9" s="6" t="s">
        <v>2005</v>
      </c>
      <c r="C9" s="6" t="s">
        <v>2015</v>
      </c>
      <c r="D9" s="8" t="s">
        <v>2007</v>
      </c>
      <c r="E9" s="8" t="s">
        <v>2005</v>
      </c>
      <c r="F9" s="43" t="s">
        <v>2008</v>
      </c>
      <c r="G9" s="43" t="s">
        <v>2009</v>
      </c>
      <c r="H9" s="50">
        <v>1.5266999999999999</v>
      </c>
      <c r="I9" s="50">
        <v>1.3822000000000001</v>
      </c>
      <c r="J9" s="50">
        <v>1.6863999999999999</v>
      </c>
      <c r="K9" s="50">
        <v>7.645898601947962E-17</v>
      </c>
      <c r="L9" s="6">
        <v>417687</v>
      </c>
      <c r="M9" s="57">
        <v>47583</v>
      </c>
      <c r="N9" s="57"/>
      <c r="O9" s="57"/>
      <c r="P9" s="57"/>
      <c r="Q9" s="57"/>
      <c r="R9" s="57"/>
      <c r="S9" s="57"/>
      <c r="T9" s="57"/>
      <c r="U9" s="57"/>
    </row>
    <row r="10" spans="1:22" ht="18" customHeight="1" x14ac:dyDescent="0.15">
      <c r="A10" s="5" t="s">
        <v>2014</v>
      </c>
      <c r="B10" s="6" t="s">
        <v>2005</v>
      </c>
      <c r="C10" s="6" t="s">
        <v>2016</v>
      </c>
      <c r="D10" s="8" t="s">
        <v>2007</v>
      </c>
      <c r="E10" s="8" t="s">
        <v>2005</v>
      </c>
      <c r="F10" s="43" t="s">
        <v>2008</v>
      </c>
      <c r="G10" s="43" t="s">
        <v>2009</v>
      </c>
      <c r="H10" s="50">
        <v>1.4941</v>
      </c>
      <c r="I10" s="50">
        <v>1.3520000000000001</v>
      </c>
      <c r="J10" s="50">
        <v>1.6512</v>
      </c>
      <c r="K10" s="50">
        <v>3.4672572792757602E-15</v>
      </c>
      <c r="L10" s="6">
        <v>417687</v>
      </c>
      <c r="M10" s="57">
        <v>47583</v>
      </c>
      <c r="N10" s="57"/>
      <c r="O10" s="57"/>
      <c r="P10" s="57"/>
      <c r="Q10" s="57"/>
      <c r="R10" s="57"/>
      <c r="S10" s="57"/>
      <c r="T10" s="57"/>
      <c r="U10" s="57"/>
    </row>
    <row r="11" spans="1:22" ht="18" customHeight="1" x14ac:dyDescent="0.15">
      <c r="A11" s="5" t="s">
        <v>2014</v>
      </c>
      <c r="B11" s="6" t="s">
        <v>2005</v>
      </c>
      <c r="C11" s="6" t="s">
        <v>2017</v>
      </c>
      <c r="D11" s="8" t="s">
        <v>2007</v>
      </c>
      <c r="E11" s="8" t="s">
        <v>2005</v>
      </c>
      <c r="F11" s="43" t="s">
        <v>2008</v>
      </c>
      <c r="G11" s="43" t="s">
        <v>2009</v>
      </c>
      <c r="H11" s="50">
        <v>1.4825999999999999</v>
      </c>
      <c r="I11" s="50">
        <v>1.3451</v>
      </c>
      <c r="J11" s="50">
        <v>1.6342000000000001</v>
      </c>
      <c r="K11" s="50">
        <v>2.2305158074237859E-15</v>
      </c>
      <c r="L11" s="6">
        <v>417687</v>
      </c>
      <c r="M11" s="57">
        <v>47583</v>
      </c>
      <c r="N11" s="57"/>
      <c r="O11" s="57"/>
      <c r="P11" s="57"/>
      <c r="Q11" s="57"/>
      <c r="R11" s="57"/>
      <c r="S11" s="57"/>
      <c r="T11" s="57"/>
      <c r="U11" s="57"/>
    </row>
    <row r="12" spans="1:22" ht="18" customHeight="1" x14ac:dyDescent="0.15">
      <c r="A12" s="5" t="s">
        <v>2014</v>
      </c>
      <c r="B12" s="6" t="s">
        <v>2005</v>
      </c>
      <c r="C12" s="6" t="s">
        <v>2018</v>
      </c>
      <c r="D12" s="8" t="s">
        <v>2007</v>
      </c>
      <c r="E12" s="8" t="s">
        <v>2005</v>
      </c>
      <c r="F12" s="43" t="s">
        <v>2008</v>
      </c>
      <c r="G12" s="43" t="s">
        <v>2009</v>
      </c>
      <c r="H12" s="50">
        <v>1.4177</v>
      </c>
      <c r="I12" s="50">
        <v>1.2367999999999999</v>
      </c>
      <c r="J12" s="50">
        <v>1.6251</v>
      </c>
      <c r="K12" s="50">
        <v>5.4284540419534483E-7</v>
      </c>
      <c r="L12" s="6">
        <v>417687</v>
      </c>
      <c r="M12" s="57">
        <v>47583</v>
      </c>
      <c r="N12" s="57"/>
      <c r="O12" s="57"/>
      <c r="P12" s="57"/>
      <c r="Q12" s="57"/>
      <c r="R12" s="57"/>
      <c r="S12" s="57"/>
      <c r="T12" s="57"/>
      <c r="U12" s="57"/>
    </row>
    <row r="13" spans="1:22" ht="18" customHeight="1" x14ac:dyDescent="0.15">
      <c r="A13" s="5" t="s">
        <v>2014</v>
      </c>
      <c r="B13" s="6" t="s">
        <v>2005</v>
      </c>
      <c r="C13" s="6" t="s">
        <v>2019</v>
      </c>
      <c r="D13" s="8" t="s">
        <v>2007</v>
      </c>
      <c r="E13" s="8" t="s">
        <v>2005</v>
      </c>
      <c r="F13" s="43" t="s">
        <v>2008</v>
      </c>
      <c r="G13" s="43" t="s">
        <v>1816</v>
      </c>
      <c r="H13" s="50">
        <v>3.1551</v>
      </c>
      <c r="I13" s="50">
        <v>2.5834000000000001</v>
      </c>
      <c r="J13" s="50">
        <v>3.8534000000000002</v>
      </c>
      <c r="K13" s="50">
        <v>1.972285129288045E-29</v>
      </c>
      <c r="L13" s="6">
        <v>415483</v>
      </c>
      <c r="M13" s="57">
        <v>5791</v>
      </c>
      <c r="N13" s="57"/>
      <c r="O13" s="57"/>
      <c r="P13" s="57"/>
      <c r="Q13" s="57"/>
      <c r="R13" s="57"/>
      <c r="S13" s="57"/>
      <c r="T13" s="57"/>
      <c r="U13" s="57"/>
    </row>
    <row r="14" spans="1:22" ht="18" customHeight="1" x14ac:dyDescent="0.15">
      <c r="A14" s="5" t="s">
        <v>2014</v>
      </c>
      <c r="B14" s="6" t="s">
        <v>2005</v>
      </c>
      <c r="C14" s="6" t="s">
        <v>2020</v>
      </c>
      <c r="D14" s="8" t="s">
        <v>2007</v>
      </c>
      <c r="E14" s="8" t="s">
        <v>2005</v>
      </c>
      <c r="F14" s="43" t="s">
        <v>2008</v>
      </c>
      <c r="G14" s="43" t="s">
        <v>2009</v>
      </c>
      <c r="H14" s="50">
        <v>1.5085</v>
      </c>
      <c r="I14" s="50">
        <v>1.3658999999999999</v>
      </c>
      <c r="J14" s="50">
        <v>1.6660999999999999</v>
      </c>
      <c r="K14" s="50">
        <v>5.0082332497759646E-16</v>
      </c>
      <c r="L14" s="6">
        <v>415483</v>
      </c>
      <c r="M14" s="57">
        <v>47452</v>
      </c>
      <c r="N14" s="57"/>
      <c r="O14" s="57"/>
      <c r="P14" s="57"/>
      <c r="Q14" s="57"/>
      <c r="R14" s="57"/>
      <c r="S14" s="57"/>
      <c r="T14" s="57"/>
      <c r="U14" s="57"/>
    </row>
    <row r="15" spans="1:22" ht="18" customHeight="1" x14ac:dyDescent="0.15">
      <c r="A15" s="5" t="s">
        <v>2021</v>
      </c>
      <c r="B15" s="6" t="s">
        <v>2005</v>
      </c>
      <c r="C15" s="6" t="s">
        <v>2022</v>
      </c>
      <c r="D15" s="8" t="s">
        <v>2007</v>
      </c>
      <c r="E15" s="8" t="s">
        <v>2005</v>
      </c>
      <c r="F15" s="43" t="s">
        <v>2008</v>
      </c>
      <c r="G15" s="43" t="s">
        <v>2009</v>
      </c>
      <c r="H15" s="50">
        <v>1.1539999999999999</v>
      </c>
      <c r="I15" s="50">
        <v>0.55789999999999995</v>
      </c>
      <c r="J15" s="50">
        <v>2.3868999999999998</v>
      </c>
      <c r="K15" s="50">
        <v>0.69929261707637114</v>
      </c>
      <c r="L15" s="6">
        <v>4218</v>
      </c>
      <c r="M15" s="57">
        <v>743</v>
      </c>
      <c r="N15" s="57"/>
      <c r="O15" s="57"/>
      <c r="P15" s="57"/>
      <c r="Q15" s="57"/>
      <c r="R15" s="57"/>
      <c r="S15" s="57"/>
      <c r="T15" s="57" t="s">
        <v>2023</v>
      </c>
      <c r="U15" s="57" t="s">
        <v>2024</v>
      </c>
    </row>
    <row r="16" spans="1:22" ht="18" customHeight="1" x14ac:dyDescent="0.15">
      <c r="A16" s="5" t="s">
        <v>2021</v>
      </c>
      <c r="B16" s="6" t="s">
        <v>2005</v>
      </c>
      <c r="C16" s="6" t="s">
        <v>2022</v>
      </c>
      <c r="D16" s="8" t="s">
        <v>2007</v>
      </c>
      <c r="E16" s="8" t="s">
        <v>2005</v>
      </c>
      <c r="F16" s="43" t="s">
        <v>2008</v>
      </c>
      <c r="G16" s="43" t="s">
        <v>2009</v>
      </c>
      <c r="H16" s="50">
        <v>1.5084</v>
      </c>
      <c r="I16" s="50">
        <v>1.3076000000000001</v>
      </c>
      <c r="J16" s="50">
        <v>1.7401</v>
      </c>
      <c r="K16" s="50">
        <v>1.721967553634379E-8</v>
      </c>
      <c r="L16" s="6">
        <v>304659</v>
      </c>
      <c r="M16" s="57">
        <v>25281</v>
      </c>
      <c r="N16" s="57"/>
      <c r="O16" s="57"/>
      <c r="P16" s="57"/>
      <c r="Q16" s="57"/>
      <c r="R16" s="57"/>
      <c r="S16" s="57"/>
      <c r="T16" s="57" t="s">
        <v>2023</v>
      </c>
      <c r="U16" s="57" t="s">
        <v>2025</v>
      </c>
    </row>
    <row r="17" spans="1:21" ht="18" customHeight="1" x14ac:dyDescent="0.15">
      <c r="A17" s="5" t="s">
        <v>2021</v>
      </c>
      <c r="B17" s="6" t="s">
        <v>2005</v>
      </c>
      <c r="C17" s="6" t="s">
        <v>2022</v>
      </c>
      <c r="D17" s="8" t="s">
        <v>2007</v>
      </c>
      <c r="E17" s="8" t="s">
        <v>2005</v>
      </c>
      <c r="F17" s="43" t="s">
        <v>2008</v>
      </c>
      <c r="G17" s="43" t="s">
        <v>2009</v>
      </c>
      <c r="H17" s="50">
        <v>1.3832</v>
      </c>
      <c r="I17" s="50">
        <v>1.2036</v>
      </c>
      <c r="J17" s="50">
        <v>1.5895999999999999</v>
      </c>
      <c r="K17" s="50">
        <v>4.8337052254297148E-6</v>
      </c>
      <c r="L17" s="6">
        <v>108810</v>
      </c>
      <c r="M17" s="57">
        <v>21559</v>
      </c>
      <c r="N17" s="57"/>
      <c r="O17" s="57"/>
      <c r="P17" s="57"/>
      <c r="Q17" s="57"/>
      <c r="R17" s="57"/>
      <c r="S17" s="57"/>
      <c r="T17" s="57" t="s">
        <v>2023</v>
      </c>
      <c r="U17" s="57" t="s">
        <v>2026</v>
      </c>
    </row>
    <row r="18" spans="1:21" ht="18" customHeight="1" x14ac:dyDescent="0.15">
      <c r="A18" s="5" t="s">
        <v>2021</v>
      </c>
      <c r="B18" s="6" t="s">
        <v>2005</v>
      </c>
      <c r="C18" s="6" t="s">
        <v>2022</v>
      </c>
      <c r="D18" s="8" t="s">
        <v>2007</v>
      </c>
      <c r="E18" s="8" t="s">
        <v>2005</v>
      </c>
      <c r="F18" s="43" t="s">
        <v>2008</v>
      </c>
      <c r="G18" s="43" t="s">
        <v>2009</v>
      </c>
      <c r="H18" s="50">
        <v>1.6657999999999999</v>
      </c>
      <c r="I18" s="50">
        <v>0.78069999999999995</v>
      </c>
      <c r="J18" s="50">
        <v>3.5543</v>
      </c>
      <c r="K18" s="50">
        <v>0.186935800761869</v>
      </c>
      <c r="L18" s="6">
        <v>2785</v>
      </c>
      <c r="M18" s="57">
        <v>582</v>
      </c>
      <c r="N18" s="57"/>
      <c r="O18" s="57"/>
      <c r="P18" s="57"/>
      <c r="Q18" s="57"/>
      <c r="R18" s="57"/>
      <c r="S18" s="57"/>
      <c r="T18" s="57" t="s">
        <v>2027</v>
      </c>
      <c r="U18" s="57" t="s">
        <v>2024</v>
      </c>
    </row>
    <row r="19" spans="1:21" ht="18" customHeight="1" x14ac:dyDescent="0.15">
      <c r="A19" s="5" t="s">
        <v>2021</v>
      </c>
      <c r="B19" s="6" t="s">
        <v>2005</v>
      </c>
      <c r="C19" s="6" t="s">
        <v>2022</v>
      </c>
      <c r="D19" s="8" t="s">
        <v>2007</v>
      </c>
      <c r="E19" s="8" t="s">
        <v>2005</v>
      </c>
      <c r="F19" s="43" t="s">
        <v>2008</v>
      </c>
      <c r="G19" s="43" t="s">
        <v>2009</v>
      </c>
      <c r="H19" s="50">
        <v>1.4602999999999999</v>
      </c>
      <c r="I19" s="50">
        <v>1.3037000000000001</v>
      </c>
      <c r="J19" s="50">
        <v>1.6356999999999999</v>
      </c>
      <c r="K19" s="50">
        <v>6.0435049891279127E-11</v>
      </c>
      <c r="L19" s="6">
        <v>385191</v>
      </c>
      <c r="M19" s="57">
        <v>39656</v>
      </c>
      <c r="N19" s="57"/>
      <c r="O19" s="57"/>
      <c r="P19" s="57"/>
      <c r="Q19" s="57"/>
      <c r="R19" s="57"/>
      <c r="S19" s="57"/>
      <c r="T19" s="57" t="s">
        <v>2027</v>
      </c>
      <c r="U19" s="57" t="s">
        <v>2025</v>
      </c>
    </row>
    <row r="20" spans="1:21" ht="18" customHeight="1" x14ac:dyDescent="0.15">
      <c r="A20" s="5" t="s">
        <v>2021</v>
      </c>
      <c r="B20" s="6" t="s">
        <v>2005</v>
      </c>
      <c r="C20" s="6" t="s">
        <v>2022</v>
      </c>
      <c r="D20" s="8" t="s">
        <v>2007</v>
      </c>
      <c r="E20" s="8" t="s">
        <v>2005</v>
      </c>
      <c r="F20" s="43" t="s">
        <v>2008</v>
      </c>
      <c r="G20" s="43" t="s">
        <v>2009</v>
      </c>
      <c r="H20" s="50">
        <v>1.4257</v>
      </c>
      <c r="I20" s="50">
        <v>1.1598999999999999</v>
      </c>
      <c r="J20" s="50">
        <v>1.7523</v>
      </c>
      <c r="K20" s="50">
        <v>7.5264999327530997E-4</v>
      </c>
      <c r="L20" s="6">
        <v>29711</v>
      </c>
      <c r="M20" s="57">
        <v>7345</v>
      </c>
      <c r="N20" s="57"/>
      <c r="O20" s="57"/>
      <c r="P20" s="57"/>
      <c r="Q20" s="57"/>
      <c r="R20" s="57"/>
      <c r="S20" s="57"/>
      <c r="T20" s="57" t="s">
        <v>2027</v>
      </c>
      <c r="U20" s="57" t="s">
        <v>2026</v>
      </c>
    </row>
    <row r="21" spans="1:21" ht="18" customHeight="1" x14ac:dyDescent="0.15">
      <c r="A21" s="5" t="s">
        <v>2021</v>
      </c>
      <c r="B21" s="6" t="s">
        <v>2005</v>
      </c>
      <c r="C21" s="6" t="s">
        <v>2022</v>
      </c>
      <c r="D21" s="8" t="s">
        <v>2007</v>
      </c>
      <c r="E21" s="8" t="s">
        <v>2005</v>
      </c>
      <c r="F21" s="43" t="s">
        <v>2008</v>
      </c>
      <c r="G21" s="43" t="s">
        <v>2009</v>
      </c>
      <c r="H21" s="50">
        <v>1.3825000000000001</v>
      </c>
      <c r="I21" s="50">
        <v>1.224</v>
      </c>
      <c r="J21" s="50">
        <v>1.5615000000000001</v>
      </c>
      <c r="K21" s="50">
        <v>1.8537786328526361E-7</v>
      </c>
      <c r="L21" s="6">
        <v>267772</v>
      </c>
      <c r="M21" s="57">
        <v>35632</v>
      </c>
      <c r="N21" s="57"/>
      <c r="O21" s="57"/>
      <c r="P21" s="57"/>
      <c r="Q21" s="57"/>
      <c r="R21" s="57"/>
      <c r="S21" s="57"/>
      <c r="T21" s="57" t="s">
        <v>2028</v>
      </c>
      <c r="U21" s="57" t="s">
        <v>2029</v>
      </c>
    </row>
    <row r="22" spans="1:21" ht="18" customHeight="1" x14ac:dyDescent="0.15">
      <c r="A22" s="5" t="s">
        <v>2021</v>
      </c>
      <c r="B22" s="6" t="s">
        <v>2005</v>
      </c>
      <c r="C22" s="6" t="s">
        <v>2022</v>
      </c>
      <c r="D22" s="8" t="s">
        <v>2007</v>
      </c>
      <c r="E22" s="8" t="s">
        <v>2005</v>
      </c>
      <c r="F22" s="43" t="s">
        <v>2008</v>
      </c>
      <c r="G22" s="43" t="s">
        <v>2009</v>
      </c>
      <c r="H22" s="50">
        <v>1.9084000000000001</v>
      </c>
      <c r="I22" s="50">
        <v>1.6020000000000001</v>
      </c>
      <c r="J22" s="50">
        <v>2.2734000000000001</v>
      </c>
      <c r="K22" s="50">
        <v>4.6029647059450699E-13</v>
      </c>
      <c r="L22" s="6">
        <v>149915</v>
      </c>
      <c r="M22" s="57">
        <v>11951</v>
      </c>
      <c r="N22" s="57"/>
      <c r="O22" s="57"/>
      <c r="P22" s="57"/>
      <c r="Q22" s="57"/>
      <c r="R22" s="57"/>
      <c r="S22" s="57"/>
      <c r="T22" s="57" t="s">
        <v>2028</v>
      </c>
      <c r="U22" s="57" t="s">
        <v>2030</v>
      </c>
    </row>
    <row r="23" spans="1:21" ht="18" customHeight="1" x14ac:dyDescent="0.15">
      <c r="A23" s="5" t="s">
        <v>2004</v>
      </c>
      <c r="B23" s="6" t="s">
        <v>2005</v>
      </c>
      <c r="C23" s="6" t="s">
        <v>2006</v>
      </c>
      <c r="D23" s="8" t="s">
        <v>2031</v>
      </c>
      <c r="E23" s="8" t="s">
        <v>2005</v>
      </c>
      <c r="F23" s="43" t="s">
        <v>2008</v>
      </c>
      <c r="G23" s="43" t="s">
        <v>2009</v>
      </c>
      <c r="H23" s="50">
        <v>1.1324000000000001</v>
      </c>
      <c r="I23" s="50"/>
      <c r="J23" s="50"/>
      <c r="K23" s="50"/>
      <c r="L23" s="6">
        <v>472750</v>
      </c>
      <c r="M23" s="57">
        <v>23222</v>
      </c>
      <c r="N23" s="57">
        <v>4106</v>
      </c>
      <c r="O23" s="57">
        <v>146</v>
      </c>
      <c r="P23" s="57">
        <v>36538.5</v>
      </c>
      <c r="Q23" s="57">
        <v>23076</v>
      </c>
      <c r="R23" s="57">
        <v>6539940.7000000002</v>
      </c>
      <c r="S23" s="57">
        <v>1.1324000000000001</v>
      </c>
      <c r="T23" s="57"/>
      <c r="U23" s="57"/>
    </row>
    <row r="24" spans="1:21" ht="18" customHeight="1" x14ac:dyDescent="0.15">
      <c r="A24" s="5" t="s">
        <v>2004</v>
      </c>
      <c r="B24" s="6" t="s">
        <v>2005</v>
      </c>
      <c r="C24" s="6" t="s">
        <v>2010</v>
      </c>
      <c r="D24" s="8" t="s">
        <v>2031</v>
      </c>
      <c r="E24" s="8" t="s">
        <v>2005</v>
      </c>
      <c r="F24" s="43" t="s">
        <v>2008</v>
      </c>
      <c r="G24" s="43" t="s">
        <v>2009</v>
      </c>
      <c r="H24" s="50">
        <v>1.1324000000000001</v>
      </c>
      <c r="I24" s="50">
        <v>0.9657</v>
      </c>
      <c r="J24" s="50">
        <v>1.3280000000000001</v>
      </c>
      <c r="K24" s="50">
        <v>0.12590745287678171</v>
      </c>
      <c r="L24" s="6">
        <v>472750</v>
      </c>
      <c r="M24" s="57">
        <v>23222</v>
      </c>
      <c r="N24" s="57">
        <v>4106</v>
      </c>
      <c r="O24" s="57">
        <v>146</v>
      </c>
      <c r="P24" s="57">
        <v>36538.5</v>
      </c>
      <c r="Q24" s="57">
        <v>23076</v>
      </c>
      <c r="R24" s="57">
        <v>6539940.7000000002</v>
      </c>
      <c r="S24" s="57">
        <v>1.1324000000000001</v>
      </c>
      <c r="T24" s="57"/>
      <c r="U24" s="57"/>
    </row>
    <row r="25" spans="1:21" ht="18" customHeight="1" x14ac:dyDescent="0.15">
      <c r="A25" s="5" t="s">
        <v>2004</v>
      </c>
      <c r="B25" s="6" t="s">
        <v>2005</v>
      </c>
      <c r="C25" s="6" t="s">
        <v>2011</v>
      </c>
      <c r="D25" s="8" t="s">
        <v>2031</v>
      </c>
      <c r="E25" s="8" t="s">
        <v>2005</v>
      </c>
      <c r="F25" s="43" t="s">
        <v>2008</v>
      </c>
      <c r="G25" s="43" t="s">
        <v>2009</v>
      </c>
      <c r="H25" s="50">
        <v>1.1538999999999999</v>
      </c>
      <c r="I25" s="50">
        <v>0.98160000000000003</v>
      </c>
      <c r="J25" s="50">
        <v>1.3564000000000001</v>
      </c>
      <c r="K25" s="50">
        <v>8.2838895498933127E-2</v>
      </c>
      <c r="L25" s="6">
        <v>472750</v>
      </c>
      <c r="M25" s="57">
        <v>23222</v>
      </c>
      <c r="N25" s="57">
        <v>4106</v>
      </c>
      <c r="O25" s="57">
        <v>146</v>
      </c>
      <c r="P25" s="57">
        <v>36538.5</v>
      </c>
      <c r="Q25" s="57">
        <v>23076</v>
      </c>
      <c r="R25" s="57">
        <v>6539940.7000000002</v>
      </c>
      <c r="S25" s="57">
        <v>1.1324000000000001</v>
      </c>
      <c r="T25" s="57"/>
      <c r="U25" s="57"/>
    </row>
    <row r="26" spans="1:21" ht="18" customHeight="1" x14ac:dyDescent="0.15">
      <c r="A26" s="5" t="s">
        <v>2004</v>
      </c>
      <c r="B26" s="6" t="s">
        <v>2005</v>
      </c>
      <c r="C26" s="6" t="s">
        <v>2012</v>
      </c>
      <c r="D26" s="8" t="s">
        <v>2031</v>
      </c>
      <c r="E26" s="8" t="s">
        <v>2005</v>
      </c>
      <c r="F26" s="43" t="s">
        <v>2008</v>
      </c>
      <c r="G26" s="43" t="s">
        <v>2009</v>
      </c>
      <c r="H26" s="50">
        <v>1.2259</v>
      </c>
      <c r="I26" s="50">
        <v>1.0610999999999999</v>
      </c>
      <c r="J26" s="50">
        <v>1.4162999999999999</v>
      </c>
      <c r="K26" s="50">
        <v>5.6803216172629503E-3</v>
      </c>
      <c r="L26" s="6">
        <v>472750</v>
      </c>
      <c r="M26" s="57">
        <v>23222</v>
      </c>
      <c r="N26" s="57">
        <v>4106</v>
      </c>
      <c r="O26" s="57">
        <v>146</v>
      </c>
      <c r="P26" s="57">
        <v>36538.5</v>
      </c>
      <c r="Q26" s="57">
        <v>23076</v>
      </c>
      <c r="R26" s="57">
        <v>6539940.7000000002</v>
      </c>
      <c r="S26" s="57">
        <v>1.1324000000000001</v>
      </c>
      <c r="T26" s="57"/>
      <c r="U26" s="57"/>
    </row>
    <row r="27" spans="1:21" ht="18" customHeight="1" x14ac:dyDescent="0.15">
      <c r="A27" s="5" t="s">
        <v>2004</v>
      </c>
      <c r="B27" s="6" t="s">
        <v>2005</v>
      </c>
      <c r="C27" s="6" t="s">
        <v>2013</v>
      </c>
      <c r="D27" s="8" t="s">
        <v>2031</v>
      </c>
      <c r="E27" s="8" t="s">
        <v>2005</v>
      </c>
      <c r="F27" s="43" t="s">
        <v>2008</v>
      </c>
      <c r="G27" s="43" t="s">
        <v>2009</v>
      </c>
      <c r="H27" s="50">
        <v>1.161</v>
      </c>
      <c r="I27" s="50">
        <v>1.0043</v>
      </c>
      <c r="J27" s="50">
        <v>1.3421000000000001</v>
      </c>
      <c r="K27" s="50">
        <v>4.3622070481859808E-2</v>
      </c>
      <c r="L27" s="6">
        <v>472750</v>
      </c>
      <c r="M27" s="57">
        <v>23222</v>
      </c>
      <c r="N27" s="57">
        <v>4106</v>
      </c>
      <c r="O27" s="57">
        <v>146</v>
      </c>
      <c r="P27" s="57">
        <v>36538.5</v>
      </c>
      <c r="Q27" s="57">
        <v>23076</v>
      </c>
      <c r="R27" s="57">
        <v>6539940.7000000002</v>
      </c>
      <c r="S27" s="57">
        <v>1.1324000000000001</v>
      </c>
      <c r="T27" s="57"/>
      <c r="U27" s="57"/>
    </row>
    <row r="28" spans="1:21" ht="18" customHeight="1" x14ac:dyDescent="0.15">
      <c r="A28" s="5" t="s">
        <v>2014</v>
      </c>
      <c r="B28" s="6" t="s">
        <v>2005</v>
      </c>
      <c r="C28" s="6" t="s">
        <v>2015</v>
      </c>
      <c r="D28" s="8" t="s">
        <v>2031</v>
      </c>
      <c r="E28" s="8" t="s">
        <v>2005</v>
      </c>
      <c r="F28" s="43" t="s">
        <v>2008</v>
      </c>
      <c r="G28" s="43" t="s">
        <v>2009</v>
      </c>
      <c r="H28" s="50">
        <v>1.1324000000000001</v>
      </c>
      <c r="I28" s="50">
        <v>0.9657</v>
      </c>
      <c r="J28" s="50">
        <v>1.3280000000000001</v>
      </c>
      <c r="K28" s="50">
        <v>0.12590745287678171</v>
      </c>
      <c r="L28" s="6">
        <v>472750</v>
      </c>
      <c r="M28" s="57">
        <v>23222</v>
      </c>
      <c r="N28" s="57"/>
      <c r="O28" s="57"/>
      <c r="P28" s="57"/>
      <c r="Q28" s="57"/>
      <c r="R28" s="57"/>
      <c r="S28" s="57"/>
      <c r="T28" s="57"/>
      <c r="U28" s="57"/>
    </row>
    <row r="29" spans="1:21" ht="18" customHeight="1" x14ac:dyDescent="0.15">
      <c r="A29" s="5" t="s">
        <v>2014</v>
      </c>
      <c r="B29" s="6" t="s">
        <v>2005</v>
      </c>
      <c r="C29" s="6" t="s">
        <v>2016</v>
      </c>
      <c r="D29" s="8" t="s">
        <v>2031</v>
      </c>
      <c r="E29" s="8" t="s">
        <v>2005</v>
      </c>
      <c r="F29" s="43" t="s">
        <v>2008</v>
      </c>
      <c r="G29" s="43" t="s">
        <v>2009</v>
      </c>
      <c r="H29" s="50">
        <v>1.1538999999999999</v>
      </c>
      <c r="I29" s="50">
        <v>0.98160000000000003</v>
      </c>
      <c r="J29" s="50">
        <v>1.3564000000000001</v>
      </c>
      <c r="K29" s="50">
        <v>8.2838895498933127E-2</v>
      </c>
      <c r="L29" s="6">
        <v>472750</v>
      </c>
      <c r="M29" s="57">
        <v>23222</v>
      </c>
      <c r="N29" s="57"/>
      <c r="O29" s="57"/>
      <c r="P29" s="57"/>
      <c r="Q29" s="57"/>
      <c r="R29" s="57"/>
      <c r="S29" s="57"/>
      <c r="T29" s="57"/>
      <c r="U29" s="57"/>
    </row>
    <row r="30" spans="1:21" ht="18" customHeight="1" x14ac:dyDescent="0.15">
      <c r="A30" s="5" t="s">
        <v>2014</v>
      </c>
      <c r="B30" s="6" t="s">
        <v>2005</v>
      </c>
      <c r="C30" s="6" t="s">
        <v>2017</v>
      </c>
      <c r="D30" s="8" t="s">
        <v>2031</v>
      </c>
      <c r="E30" s="8" t="s">
        <v>2005</v>
      </c>
      <c r="F30" s="43" t="s">
        <v>2008</v>
      </c>
      <c r="G30" s="43" t="s">
        <v>2009</v>
      </c>
      <c r="H30" s="50">
        <v>1.1978</v>
      </c>
      <c r="I30" s="50">
        <v>1.0368999999999999</v>
      </c>
      <c r="J30" s="50">
        <v>1.3835999999999999</v>
      </c>
      <c r="K30" s="50">
        <v>1.418879991989337E-2</v>
      </c>
      <c r="L30" s="6">
        <v>472750</v>
      </c>
      <c r="M30" s="57">
        <v>23222</v>
      </c>
      <c r="N30" s="57"/>
      <c r="O30" s="57"/>
      <c r="P30" s="57"/>
      <c r="Q30" s="57"/>
      <c r="R30" s="57"/>
      <c r="S30" s="57"/>
      <c r="T30" s="57"/>
      <c r="U30" s="57"/>
    </row>
    <row r="31" spans="1:21" ht="18" customHeight="1" x14ac:dyDescent="0.15">
      <c r="A31" s="5" t="s">
        <v>2014</v>
      </c>
      <c r="B31" s="6" t="s">
        <v>2005</v>
      </c>
      <c r="C31" s="6" t="s">
        <v>2018</v>
      </c>
      <c r="D31" s="8" t="s">
        <v>2031</v>
      </c>
      <c r="E31" s="8" t="s">
        <v>2005</v>
      </c>
      <c r="F31" s="43" t="s">
        <v>2008</v>
      </c>
      <c r="G31" s="43" t="s">
        <v>2009</v>
      </c>
      <c r="H31" s="50">
        <v>1.2791999999999999</v>
      </c>
      <c r="I31" s="50">
        <v>1.0770999999999999</v>
      </c>
      <c r="J31" s="50">
        <v>1.5192000000000001</v>
      </c>
      <c r="K31" s="50">
        <v>5.0082421394365799E-3</v>
      </c>
      <c r="L31" s="6">
        <v>472750</v>
      </c>
      <c r="M31" s="57">
        <v>23222</v>
      </c>
      <c r="N31" s="57"/>
      <c r="O31" s="57"/>
      <c r="P31" s="57"/>
      <c r="Q31" s="57"/>
      <c r="R31" s="57"/>
      <c r="S31" s="57"/>
      <c r="T31" s="57"/>
      <c r="U31" s="57"/>
    </row>
    <row r="32" spans="1:21" ht="18" customHeight="1" x14ac:dyDescent="0.15">
      <c r="A32" s="5" t="s">
        <v>2014</v>
      </c>
      <c r="B32" s="6" t="s">
        <v>2005</v>
      </c>
      <c r="C32" s="6" t="s">
        <v>2019</v>
      </c>
      <c r="D32" s="8" t="s">
        <v>2031</v>
      </c>
      <c r="E32" s="8" t="s">
        <v>2005</v>
      </c>
      <c r="F32" s="43" t="s">
        <v>2008</v>
      </c>
      <c r="G32" s="43" t="s">
        <v>1816</v>
      </c>
      <c r="H32" s="50">
        <v>2.5767000000000002</v>
      </c>
      <c r="I32" s="50">
        <v>1.8709</v>
      </c>
      <c r="J32" s="50">
        <v>3.5488</v>
      </c>
      <c r="K32" s="50">
        <v>6.7948164860826622E-9</v>
      </c>
      <c r="L32" s="6">
        <v>470153</v>
      </c>
      <c r="M32" s="57">
        <v>2687</v>
      </c>
      <c r="N32" s="57"/>
      <c r="O32" s="57"/>
      <c r="P32" s="57"/>
      <c r="Q32" s="57"/>
      <c r="R32" s="57"/>
      <c r="S32" s="57"/>
      <c r="T32" s="57"/>
      <c r="U32" s="57"/>
    </row>
    <row r="33" spans="1:21" ht="18" customHeight="1" x14ac:dyDescent="0.15">
      <c r="A33" s="5" t="s">
        <v>2014</v>
      </c>
      <c r="B33" s="6" t="s">
        <v>2005</v>
      </c>
      <c r="C33" s="6" t="s">
        <v>2020</v>
      </c>
      <c r="D33" s="8" t="s">
        <v>2031</v>
      </c>
      <c r="E33" s="8" t="s">
        <v>2005</v>
      </c>
      <c r="F33" s="43" t="s">
        <v>2008</v>
      </c>
      <c r="G33" s="43" t="s">
        <v>2009</v>
      </c>
      <c r="H33" s="50">
        <v>1.1980999999999999</v>
      </c>
      <c r="I33" s="50">
        <v>1.0350999999999999</v>
      </c>
      <c r="J33" s="50">
        <v>1.3868</v>
      </c>
      <c r="K33" s="50">
        <v>1.539343851902413E-2</v>
      </c>
      <c r="L33" s="6">
        <v>470153</v>
      </c>
      <c r="M33" s="57">
        <v>23161</v>
      </c>
      <c r="N33" s="57"/>
      <c r="O33" s="57"/>
      <c r="P33" s="57"/>
      <c r="Q33" s="57"/>
      <c r="R33" s="57"/>
      <c r="S33" s="57"/>
      <c r="T33" s="57"/>
      <c r="U33" s="57"/>
    </row>
    <row r="34" spans="1:21" ht="18" customHeight="1" x14ac:dyDescent="0.15">
      <c r="A34" s="5" t="s">
        <v>2021</v>
      </c>
      <c r="B34" s="6" t="s">
        <v>2005</v>
      </c>
      <c r="C34" s="6" t="s">
        <v>2022</v>
      </c>
      <c r="D34" s="8" t="s">
        <v>2031</v>
      </c>
      <c r="E34" s="8" t="s">
        <v>2005</v>
      </c>
      <c r="F34" s="43" t="s">
        <v>2008</v>
      </c>
      <c r="G34" s="43" t="s">
        <v>2009</v>
      </c>
      <c r="H34" s="50">
        <v>0.43369999999999997</v>
      </c>
      <c r="I34" s="50">
        <v>6.1899999999999997E-2</v>
      </c>
      <c r="J34" s="50">
        <v>3.0369999999999999</v>
      </c>
      <c r="K34" s="50">
        <v>0.4001782010758429</v>
      </c>
      <c r="L34" s="6">
        <v>4665</v>
      </c>
      <c r="M34" s="57">
        <v>349</v>
      </c>
      <c r="N34" s="57"/>
      <c r="O34" s="57"/>
      <c r="P34" s="57"/>
      <c r="Q34" s="57"/>
      <c r="R34" s="57"/>
      <c r="S34" s="57"/>
      <c r="T34" s="57" t="s">
        <v>2023</v>
      </c>
      <c r="U34" s="57" t="s">
        <v>2024</v>
      </c>
    </row>
    <row r="35" spans="1:21" ht="18" customHeight="1" x14ac:dyDescent="0.15">
      <c r="A35" s="5" t="s">
        <v>2021</v>
      </c>
      <c r="B35" s="6" t="s">
        <v>2005</v>
      </c>
      <c r="C35" s="6" t="s">
        <v>2022</v>
      </c>
      <c r="D35" s="8" t="s">
        <v>2031</v>
      </c>
      <c r="E35" s="8" t="s">
        <v>2005</v>
      </c>
      <c r="F35" s="43" t="s">
        <v>2008</v>
      </c>
      <c r="G35" s="43" t="s">
        <v>2009</v>
      </c>
      <c r="H35" s="50">
        <v>1.2698</v>
      </c>
      <c r="I35" s="50">
        <v>1.0189999999999999</v>
      </c>
      <c r="J35" s="50">
        <v>1.5822000000000001</v>
      </c>
      <c r="K35" s="50">
        <v>3.3331814380859512E-2</v>
      </c>
      <c r="L35" s="6">
        <v>310931</v>
      </c>
      <c r="M35" s="57">
        <v>12717</v>
      </c>
      <c r="N35" s="57"/>
      <c r="O35" s="57"/>
      <c r="P35" s="57"/>
      <c r="Q35" s="57"/>
      <c r="R35" s="57"/>
      <c r="S35" s="57"/>
      <c r="T35" s="57" t="s">
        <v>2023</v>
      </c>
      <c r="U35" s="57" t="s">
        <v>2025</v>
      </c>
    </row>
    <row r="36" spans="1:21" ht="18" customHeight="1" x14ac:dyDescent="0.15">
      <c r="A36" s="5" t="s">
        <v>2021</v>
      </c>
      <c r="B36" s="6" t="s">
        <v>2005</v>
      </c>
      <c r="C36" s="6" t="s">
        <v>2022</v>
      </c>
      <c r="D36" s="8" t="s">
        <v>2031</v>
      </c>
      <c r="E36" s="8" t="s">
        <v>2005</v>
      </c>
      <c r="F36" s="43" t="s">
        <v>2008</v>
      </c>
      <c r="G36" s="43" t="s">
        <v>2009</v>
      </c>
      <c r="H36" s="50">
        <v>0.98150000000000004</v>
      </c>
      <c r="I36" s="50">
        <v>0.77190000000000003</v>
      </c>
      <c r="J36" s="50">
        <v>1.248</v>
      </c>
      <c r="K36" s="50">
        <v>0.87906679555180545</v>
      </c>
      <c r="L36" s="6">
        <v>157154</v>
      </c>
      <c r="M36" s="57">
        <v>10156</v>
      </c>
      <c r="N36" s="57"/>
      <c r="O36" s="57"/>
      <c r="P36" s="57"/>
      <c r="Q36" s="57"/>
      <c r="R36" s="57"/>
      <c r="S36" s="57"/>
      <c r="T36" s="57" t="s">
        <v>2023</v>
      </c>
      <c r="U36" s="57" t="s">
        <v>2026</v>
      </c>
    </row>
    <row r="37" spans="1:21" ht="18" customHeight="1" x14ac:dyDescent="0.15">
      <c r="A37" s="5" t="s">
        <v>2021</v>
      </c>
      <c r="B37" s="6" t="s">
        <v>2005</v>
      </c>
      <c r="C37" s="6" t="s">
        <v>2022</v>
      </c>
      <c r="D37" s="8" t="s">
        <v>2031</v>
      </c>
      <c r="E37" s="8" t="s">
        <v>2005</v>
      </c>
      <c r="F37" s="43" t="s">
        <v>2008</v>
      </c>
      <c r="G37" s="43" t="s">
        <v>2009</v>
      </c>
      <c r="H37" s="50">
        <v>1.4031</v>
      </c>
      <c r="I37" s="50">
        <v>0.37359999999999999</v>
      </c>
      <c r="J37" s="50">
        <v>5.2694999999999999</v>
      </c>
      <c r="K37" s="50">
        <v>0.61593020127075926</v>
      </c>
      <c r="L37" s="6">
        <v>3411</v>
      </c>
      <c r="M37" s="57">
        <v>304</v>
      </c>
      <c r="N37" s="57"/>
      <c r="O37" s="57"/>
      <c r="P37" s="57"/>
      <c r="Q37" s="57"/>
      <c r="R37" s="57"/>
      <c r="S37" s="57"/>
      <c r="T37" s="57" t="s">
        <v>2027</v>
      </c>
      <c r="U37" s="57" t="s">
        <v>2024</v>
      </c>
    </row>
    <row r="38" spans="1:21" ht="18" customHeight="1" x14ac:dyDescent="0.15">
      <c r="A38" s="5" t="s">
        <v>2021</v>
      </c>
      <c r="B38" s="6" t="s">
        <v>2005</v>
      </c>
      <c r="C38" s="6" t="s">
        <v>2022</v>
      </c>
      <c r="D38" s="8" t="s">
        <v>2031</v>
      </c>
      <c r="E38" s="8" t="s">
        <v>2005</v>
      </c>
      <c r="F38" s="43" t="s">
        <v>2008</v>
      </c>
      <c r="G38" s="43" t="s">
        <v>2009</v>
      </c>
      <c r="H38" s="50">
        <v>1.0962000000000001</v>
      </c>
      <c r="I38" s="50">
        <v>0.90549999999999997</v>
      </c>
      <c r="J38" s="50">
        <v>1.3270999999999999</v>
      </c>
      <c r="K38" s="50">
        <v>0.34613069924893491</v>
      </c>
      <c r="L38" s="6">
        <v>416303</v>
      </c>
      <c r="M38" s="57">
        <v>18307</v>
      </c>
      <c r="N38" s="57"/>
      <c r="O38" s="57"/>
      <c r="P38" s="57"/>
      <c r="Q38" s="57"/>
      <c r="R38" s="57"/>
      <c r="S38" s="57"/>
      <c r="T38" s="57" t="s">
        <v>2027</v>
      </c>
      <c r="U38" s="57" t="s">
        <v>2025</v>
      </c>
    </row>
    <row r="39" spans="1:21" ht="18" customHeight="1" x14ac:dyDescent="0.15">
      <c r="A39" s="5" t="s">
        <v>2021</v>
      </c>
      <c r="B39" s="6" t="s">
        <v>2005</v>
      </c>
      <c r="C39" s="6" t="s">
        <v>2022</v>
      </c>
      <c r="D39" s="8" t="s">
        <v>2031</v>
      </c>
      <c r="E39" s="8" t="s">
        <v>2005</v>
      </c>
      <c r="F39" s="43" t="s">
        <v>2008</v>
      </c>
      <c r="G39" s="43" t="s">
        <v>2009</v>
      </c>
      <c r="H39" s="50">
        <v>1.143</v>
      </c>
      <c r="I39" s="50">
        <v>0.83919999999999995</v>
      </c>
      <c r="J39" s="50">
        <v>1.5567</v>
      </c>
      <c r="K39" s="50">
        <v>0.39663110089867248</v>
      </c>
      <c r="L39" s="6">
        <v>53036</v>
      </c>
      <c r="M39" s="57">
        <v>4611</v>
      </c>
      <c r="N39" s="57"/>
      <c r="O39" s="57"/>
      <c r="P39" s="57"/>
      <c r="Q39" s="57"/>
      <c r="R39" s="57"/>
      <c r="S39" s="57"/>
      <c r="T39" s="57" t="s">
        <v>2027</v>
      </c>
      <c r="U39" s="57" t="s">
        <v>2026</v>
      </c>
    </row>
    <row r="40" spans="1:21" ht="18" customHeight="1" x14ac:dyDescent="0.15">
      <c r="A40" s="5" t="s">
        <v>2021</v>
      </c>
      <c r="B40" s="6" t="s">
        <v>2005</v>
      </c>
      <c r="C40" s="6" t="s">
        <v>2022</v>
      </c>
      <c r="D40" s="8" t="s">
        <v>2031</v>
      </c>
      <c r="E40" s="8" t="s">
        <v>2005</v>
      </c>
      <c r="F40" s="43" t="s">
        <v>2008</v>
      </c>
      <c r="G40" s="43" t="s">
        <v>2009</v>
      </c>
      <c r="H40" s="50">
        <v>1.0428999999999999</v>
      </c>
      <c r="I40" s="50">
        <v>0.85529999999999995</v>
      </c>
      <c r="J40" s="50">
        <v>1.2716000000000001</v>
      </c>
      <c r="K40" s="50">
        <v>0.67819101116627944</v>
      </c>
      <c r="L40" s="6">
        <v>308923</v>
      </c>
      <c r="M40" s="57">
        <v>17488</v>
      </c>
      <c r="N40" s="57"/>
      <c r="O40" s="57"/>
      <c r="P40" s="57"/>
      <c r="Q40" s="57"/>
      <c r="R40" s="57"/>
      <c r="S40" s="57"/>
      <c r="T40" s="57" t="s">
        <v>2028</v>
      </c>
      <c r="U40" s="57" t="s">
        <v>2029</v>
      </c>
    </row>
    <row r="41" spans="1:21" ht="18" customHeight="1" x14ac:dyDescent="0.15">
      <c r="A41" s="5" t="s">
        <v>2021</v>
      </c>
      <c r="B41" s="6" t="s">
        <v>2005</v>
      </c>
      <c r="C41" s="6" t="s">
        <v>2022</v>
      </c>
      <c r="D41" s="8" t="s">
        <v>2031</v>
      </c>
      <c r="E41" s="8" t="s">
        <v>2005</v>
      </c>
      <c r="F41" s="43" t="s">
        <v>2008</v>
      </c>
      <c r="G41" s="43" t="s">
        <v>2009</v>
      </c>
      <c r="H41" s="50">
        <v>1.5406</v>
      </c>
      <c r="I41" s="50">
        <v>1.1648000000000001</v>
      </c>
      <c r="J41" s="50">
        <v>2.0377999999999998</v>
      </c>
      <c r="K41" s="50">
        <v>2.45535396086138E-3</v>
      </c>
      <c r="L41" s="6">
        <v>163827</v>
      </c>
      <c r="M41" s="57">
        <v>5734</v>
      </c>
      <c r="N41" s="57"/>
      <c r="O41" s="57"/>
      <c r="P41" s="57"/>
      <c r="Q41" s="57"/>
      <c r="R41" s="57"/>
      <c r="S41" s="57"/>
      <c r="T41" s="57" t="s">
        <v>2028</v>
      </c>
      <c r="U41" s="57" t="s">
        <v>2030</v>
      </c>
    </row>
    <row r="42" spans="1:21" ht="18" customHeight="1" x14ac:dyDescent="0.15">
      <c r="A42" s="5" t="s">
        <v>2004</v>
      </c>
      <c r="B42" s="6" t="s">
        <v>2005</v>
      </c>
      <c r="C42" s="6" t="s">
        <v>2006</v>
      </c>
      <c r="D42" s="8" t="s">
        <v>2032</v>
      </c>
      <c r="E42" s="8" t="s">
        <v>2005</v>
      </c>
      <c r="F42" s="43" t="s">
        <v>2008</v>
      </c>
      <c r="G42" s="43" t="s">
        <v>2009</v>
      </c>
      <c r="H42" s="50">
        <v>1.2615000000000001</v>
      </c>
      <c r="I42" s="50"/>
      <c r="J42" s="50"/>
      <c r="K42" s="50"/>
      <c r="L42" s="6">
        <v>493222</v>
      </c>
      <c r="M42" s="57">
        <v>531</v>
      </c>
      <c r="N42" s="57">
        <v>4725</v>
      </c>
      <c r="O42" s="57">
        <v>4</v>
      </c>
      <c r="P42" s="57">
        <v>40929.300000000003</v>
      </c>
      <c r="Q42" s="57">
        <v>527</v>
      </c>
      <c r="R42" s="57">
        <v>6802817.5999999996</v>
      </c>
      <c r="S42" s="57">
        <v>1.2615000000000001</v>
      </c>
      <c r="T42" s="57"/>
      <c r="U42" s="57"/>
    </row>
    <row r="43" spans="1:21" ht="18" customHeight="1" x14ac:dyDescent="0.15">
      <c r="A43" s="5" t="s">
        <v>2004</v>
      </c>
      <c r="B43" s="6" t="s">
        <v>2005</v>
      </c>
      <c r="C43" s="6" t="s">
        <v>2010</v>
      </c>
      <c r="D43" s="8" t="s">
        <v>2032</v>
      </c>
      <c r="E43" s="8" t="s">
        <v>2005</v>
      </c>
      <c r="F43" s="43" t="s">
        <v>2008</v>
      </c>
      <c r="G43" s="43" t="s">
        <v>2009</v>
      </c>
      <c r="H43" s="50">
        <v>1.2615000000000001</v>
      </c>
      <c r="I43" s="50">
        <v>0.47170000000000001</v>
      </c>
      <c r="J43" s="50">
        <v>3.3738000000000001</v>
      </c>
      <c r="K43" s="50">
        <v>0.64342304938016925</v>
      </c>
      <c r="L43" s="6">
        <v>493222</v>
      </c>
      <c r="M43" s="57">
        <v>531</v>
      </c>
      <c r="N43" s="57">
        <v>4725</v>
      </c>
      <c r="O43" s="57">
        <v>4</v>
      </c>
      <c r="P43" s="57">
        <v>40929.300000000003</v>
      </c>
      <c r="Q43" s="57">
        <v>527</v>
      </c>
      <c r="R43" s="57">
        <v>6802817.5999999996</v>
      </c>
      <c r="S43" s="57">
        <v>1.2615000000000001</v>
      </c>
      <c r="T43" s="57"/>
      <c r="U43" s="57"/>
    </row>
    <row r="44" spans="1:21" ht="18" customHeight="1" x14ac:dyDescent="0.15">
      <c r="A44" s="5" t="s">
        <v>2004</v>
      </c>
      <c r="B44" s="6" t="s">
        <v>2005</v>
      </c>
      <c r="C44" s="6" t="s">
        <v>2011</v>
      </c>
      <c r="D44" s="8" t="s">
        <v>2032</v>
      </c>
      <c r="E44" s="8" t="s">
        <v>2005</v>
      </c>
      <c r="F44" s="43" t="s">
        <v>2008</v>
      </c>
      <c r="G44" s="43" t="s">
        <v>2009</v>
      </c>
      <c r="H44" s="50">
        <v>1.2415</v>
      </c>
      <c r="I44" s="50">
        <v>0.46300000000000002</v>
      </c>
      <c r="J44" s="50">
        <v>3.3290000000000002</v>
      </c>
      <c r="K44" s="50">
        <v>0.66725424537582834</v>
      </c>
      <c r="L44" s="6">
        <v>493222</v>
      </c>
      <c r="M44" s="57">
        <v>531</v>
      </c>
      <c r="N44" s="57">
        <v>4725</v>
      </c>
      <c r="O44" s="57">
        <v>4</v>
      </c>
      <c r="P44" s="57">
        <v>40929.300000000003</v>
      </c>
      <c r="Q44" s="57">
        <v>527</v>
      </c>
      <c r="R44" s="57">
        <v>6802817.5999999996</v>
      </c>
      <c r="S44" s="57">
        <v>1.2615000000000001</v>
      </c>
      <c r="T44" s="57"/>
      <c r="U44" s="57"/>
    </row>
    <row r="45" spans="1:21" ht="18" customHeight="1" x14ac:dyDescent="0.15">
      <c r="A45" s="5" t="s">
        <v>2004</v>
      </c>
      <c r="B45" s="6" t="s">
        <v>2005</v>
      </c>
      <c r="C45" s="6" t="s">
        <v>2012</v>
      </c>
      <c r="D45" s="8" t="s">
        <v>2032</v>
      </c>
      <c r="E45" s="8" t="s">
        <v>2005</v>
      </c>
      <c r="F45" s="43" t="s">
        <v>2008</v>
      </c>
      <c r="G45" s="43" t="s">
        <v>2009</v>
      </c>
      <c r="H45" s="50">
        <v>1.1044</v>
      </c>
      <c r="I45" s="50">
        <v>0.41199999999999998</v>
      </c>
      <c r="J45" s="50">
        <v>2.9603999999999999</v>
      </c>
      <c r="K45" s="50">
        <v>0.84346946929440181</v>
      </c>
      <c r="L45" s="6">
        <v>493222</v>
      </c>
      <c r="M45" s="57">
        <v>531</v>
      </c>
      <c r="N45" s="57">
        <v>4725</v>
      </c>
      <c r="O45" s="57">
        <v>4</v>
      </c>
      <c r="P45" s="57">
        <v>40929.300000000003</v>
      </c>
      <c r="Q45" s="57">
        <v>527</v>
      </c>
      <c r="R45" s="57">
        <v>6802817.5999999996</v>
      </c>
      <c r="S45" s="57">
        <v>1.2615000000000001</v>
      </c>
      <c r="T45" s="57"/>
      <c r="U45" s="57"/>
    </row>
    <row r="46" spans="1:21" ht="18" customHeight="1" x14ac:dyDescent="0.15">
      <c r="A46" s="5" t="s">
        <v>2004</v>
      </c>
      <c r="B46" s="6" t="s">
        <v>2005</v>
      </c>
      <c r="C46" s="6" t="s">
        <v>2013</v>
      </c>
      <c r="D46" s="8" t="s">
        <v>2032</v>
      </c>
      <c r="E46" s="8" t="s">
        <v>2005</v>
      </c>
      <c r="F46" s="43" t="s">
        <v>2008</v>
      </c>
      <c r="G46" s="43" t="s">
        <v>2009</v>
      </c>
      <c r="H46" s="50">
        <v>1.1375</v>
      </c>
      <c r="I46" s="50">
        <v>0.4244</v>
      </c>
      <c r="J46" s="50">
        <v>3.0486</v>
      </c>
      <c r="K46" s="50">
        <v>0.7978505606055547</v>
      </c>
      <c r="L46" s="6">
        <v>493222</v>
      </c>
      <c r="M46" s="57">
        <v>531</v>
      </c>
      <c r="N46" s="57">
        <v>4725</v>
      </c>
      <c r="O46" s="57">
        <v>4</v>
      </c>
      <c r="P46" s="57">
        <v>40929.300000000003</v>
      </c>
      <c r="Q46" s="57">
        <v>527</v>
      </c>
      <c r="R46" s="57">
        <v>6802817.5999999996</v>
      </c>
      <c r="S46" s="57">
        <v>1.2615000000000001</v>
      </c>
      <c r="T46" s="57"/>
      <c r="U46" s="57"/>
    </row>
    <row r="47" spans="1:21" ht="18" customHeight="1" x14ac:dyDescent="0.15">
      <c r="A47" s="5" t="s">
        <v>2004</v>
      </c>
      <c r="B47" s="6" t="s">
        <v>2005</v>
      </c>
      <c r="C47" s="6" t="s">
        <v>2006</v>
      </c>
      <c r="D47" s="8" t="s">
        <v>2033</v>
      </c>
      <c r="E47" s="8" t="s">
        <v>2005</v>
      </c>
      <c r="F47" s="43" t="s">
        <v>2008</v>
      </c>
      <c r="G47" s="43" t="s">
        <v>2009</v>
      </c>
      <c r="H47" s="50">
        <v>3.0354000000000001</v>
      </c>
      <c r="I47" s="50"/>
      <c r="J47" s="50"/>
      <c r="K47" s="50"/>
      <c r="L47" s="6">
        <v>493926</v>
      </c>
      <c r="M47" s="57">
        <v>167</v>
      </c>
      <c r="N47" s="57">
        <v>4741</v>
      </c>
      <c r="O47" s="57">
        <v>3</v>
      </c>
      <c r="P47" s="57">
        <v>41051.300000000003</v>
      </c>
      <c r="Q47" s="57">
        <v>164</v>
      </c>
      <c r="R47" s="57">
        <v>6811748.2000000002</v>
      </c>
      <c r="S47" s="57">
        <v>3.0354000000000001</v>
      </c>
      <c r="T47" s="57"/>
      <c r="U47" s="57"/>
    </row>
    <row r="48" spans="1:21" ht="18" customHeight="1" x14ac:dyDescent="0.15">
      <c r="A48" s="5" t="s">
        <v>2004</v>
      </c>
      <c r="B48" s="6" t="s">
        <v>2005</v>
      </c>
      <c r="C48" s="6" t="s">
        <v>2010</v>
      </c>
      <c r="D48" s="8" t="s">
        <v>2033</v>
      </c>
      <c r="E48" s="8" t="s">
        <v>2005</v>
      </c>
      <c r="F48" s="43" t="s">
        <v>2008</v>
      </c>
      <c r="G48" s="43" t="s">
        <v>2009</v>
      </c>
      <c r="H48" s="50">
        <v>3.0354000000000001</v>
      </c>
      <c r="I48" s="50">
        <v>0.96950000000000003</v>
      </c>
      <c r="J48" s="50">
        <v>9.5033999999999992</v>
      </c>
      <c r="K48" s="50">
        <v>5.6554783859965117E-2</v>
      </c>
      <c r="L48" s="6">
        <v>493926</v>
      </c>
      <c r="M48" s="57">
        <v>167</v>
      </c>
      <c r="N48" s="57">
        <v>4741</v>
      </c>
      <c r="O48" s="57">
        <v>3</v>
      </c>
      <c r="P48" s="57">
        <v>41051.300000000003</v>
      </c>
      <c r="Q48" s="57">
        <v>164</v>
      </c>
      <c r="R48" s="57">
        <v>6811748.2000000002</v>
      </c>
      <c r="S48" s="57">
        <v>3.0354000000000001</v>
      </c>
      <c r="T48" s="57"/>
      <c r="U48" s="57"/>
    </row>
    <row r="49" spans="1:21" ht="18" customHeight="1" x14ac:dyDescent="0.15">
      <c r="A49" s="5" t="s">
        <v>2004</v>
      </c>
      <c r="B49" s="6" t="s">
        <v>2005</v>
      </c>
      <c r="C49" s="6" t="s">
        <v>2011</v>
      </c>
      <c r="D49" s="8" t="s">
        <v>2033</v>
      </c>
      <c r="E49" s="8" t="s">
        <v>2005</v>
      </c>
      <c r="F49" s="43" t="s">
        <v>2008</v>
      </c>
      <c r="G49" s="43" t="s">
        <v>2009</v>
      </c>
      <c r="H49" s="50">
        <v>3.0947</v>
      </c>
      <c r="I49" s="50">
        <v>0.98399999999999999</v>
      </c>
      <c r="J49" s="50">
        <v>9.7331000000000003</v>
      </c>
      <c r="K49" s="50">
        <v>5.3316195848442292E-2</v>
      </c>
      <c r="L49" s="6">
        <v>493926</v>
      </c>
      <c r="M49" s="57">
        <v>167</v>
      </c>
      <c r="N49" s="57">
        <v>4741</v>
      </c>
      <c r="O49" s="57">
        <v>3</v>
      </c>
      <c r="P49" s="57">
        <v>41051.300000000003</v>
      </c>
      <c r="Q49" s="57">
        <v>164</v>
      </c>
      <c r="R49" s="57">
        <v>6811748.2000000002</v>
      </c>
      <c r="S49" s="57">
        <v>3.0354000000000001</v>
      </c>
      <c r="T49" s="57"/>
      <c r="U49" s="57"/>
    </row>
    <row r="50" spans="1:21" ht="18" customHeight="1" x14ac:dyDescent="0.15">
      <c r="A50" s="5" t="s">
        <v>2004</v>
      </c>
      <c r="B50" s="6" t="s">
        <v>2005</v>
      </c>
      <c r="C50" s="6" t="s">
        <v>2012</v>
      </c>
      <c r="D50" s="8" t="s">
        <v>2033</v>
      </c>
      <c r="E50" s="8" t="s">
        <v>2005</v>
      </c>
      <c r="F50" s="43" t="s">
        <v>2008</v>
      </c>
      <c r="G50" s="43" t="s">
        <v>2009</v>
      </c>
      <c r="H50" s="50">
        <v>2.7359</v>
      </c>
      <c r="I50" s="50">
        <v>0.86909999999999998</v>
      </c>
      <c r="J50" s="50">
        <v>8.6126000000000005</v>
      </c>
      <c r="K50" s="50">
        <v>8.5411296176318999E-2</v>
      </c>
      <c r="L50" s="6">
        <v>493926</v>
      </c>
      <c r="M50" s="57">
        <v>167</v>
      </c>
      <c r="N50" s="57">
        <v>4741</v>
      </c>
      <c r="O50" s="57">
        <v>3</v>
      </c>
      <c r="P50" s="57">
        <v>41051.300000000003</v>
      </c>
      <c r="Q50" s="57">
        <v>164</v>
      </c>
      <c r="R50" s="57">
        <v>6811748.2000000002</v>
      </c>
      <c r="S50" s="57">
        <v>3.0354000000000001</v>
      </c>
      <c r="T50" s="57"/>
      <c r="U50" s="57"/>
    </row>
    <row r="51" spans="1:21" ht="18" customHeight="1" x14ac:dyDescent="0.15">
      <c r="A51" s="5" t="s">
        <v>2004</v>
      </c>
      <c r="B51" s="6" t="s">
        <v>2005</v>
      </c>
      <c r="C51" s="6" t="s">
        <v>2013</v>
      </c>
      <c r="D51" s="8" t="s">
        <v>2033</v>
      </c>
      <c r="E51" s="8" t="s">
        <v>2005</v>
      </c>
      <c r="F51" s="43" t="s">
        <v>2008</v>
      </c>
      <c r="G51" s="43" t="s">
        <v>2009</v>
      </c>
      <c r="H51" s="50">
        <v>3.2147999999999999</v>
      </c>
      <c r="I51" s="50">
        <v>1.0255000000000001</v>
      </c>
      <c r="J51" s="50">
        <v>10.078099999999999</v>
      </c>
      <c r="K51" s="50">
        <v>4.5166446159285827E-2</v>
      </c>
      <c r="L51" s="6">
        <v>493926</v>
      </c>
      <c r="M51" s="57">
        <v>167</v>
      </c>
      <c r="N51" s="57">
        <v>4741</v>
      </c>
      <c r="O51" s="57">
        <v>3</v>
      </c>
      <c r="P51" s="57">
        <v>41051.300000000003</v>
      </c>
      <c r="Q51" s="57">
        <v>164</v>
      </c>
      <c r="R51" s="57">
        <v>6811748.2000000002</v>
      </c>
      <c r="S51" s="57">
        <v>3.0354000000000001</v>
      </c>
      <c r="T51" s="57"/>
      <c r="U51" s="57"/>
    </row>
    <row r="52" spans="1:21" ht="18" customHeight="1" x14ac:dyDescent="0.15">
      <c r="A52" s="5" t="s">
        <v>2004</v>
      </c>
      <c r="B52" s="6" t="s">
        <v>2005</v>
      </c>
      <c r="C52" s="6" t="s">
        <v>2006</v>
      </c>
      <c r="D52" s="8" t="s">
        <v>2034</v>
      </c>
      <c r="E52" s="8" t="s">
        <v>2005</v>
      </c>
      <c r="F52" s="43" t="s">
        <v>2008</v>
      </c>
      <c r="G52" s="43" t="s">
        <v>2009</v>
      </c>
      <c r="H52" s="50">
        <v>2.2629000000000001</v>
      </c>
      <c r="I52" s="50"/>
      <c r="J52" s="50"/>
      <c r="K52" s="50"/>
      <c r="L52" s="6">
        <v>493814</v>
      </c>
      <c r="M52" s="57">
        <v>223</v>
      </c>
      <c r="N52" s="57">
        <v>4740</v>
      </c>
      <c r="O52" s="57">
        <v>3</v>
      </c>
      <c r="P52" s="57">
        <v>41038.199999999997</v>
      </c>
      <c r="Q52" s="57">
        <v>220</v>
      </c>
      <c r="R52" s="57">
        <v>6810201.5999999996</v>
      </c>
      <c r="S52" s="57">
        <v>2.2629000000000001</v>
      </c>
      <c r="T52" s="57"/>
      <c r="U52" s="57"/>
    </row>
    <row r="53" spans="1:21" ht="18" customHeight="1" x14ac:dyDescent="0.15">
      <c r="A53" s="5" t="s">
        <v>2004</v>
      </c>
      <c r="B53" s="6" t="s">
        <v>2005</v>
      </c>
      <c r="C53" s="6" t="s">
        <v>2010</v>
      </c>
      <c r="D53" s="8" t="s">
        <v>2034</v>
      </c>
      <c r="E53" s="8" t="s">
        <v>2005</v>
      </c>
      <c r="F53" s="43" t="s">
        <v>2008</v>
      </c>
      <c r="G53" s="43" t="s">
        <v>2009</v>
      </c>
      <c r="H53" s="50">
        <v>2.2629000000000001</v>
      </c>
      <c r="I53" s="50">
        <v>0.72460000000000002</v>
      </c>
      <c r="J53" s="50">
        <v>7.0675999999999997</v>
      </c>
      <c r="K53" s="50">
        <v>0.15988480808672231</v>
      </c>
      <c r="L53" s="6">
        <v>493814</v>
      </c>
      <c r="M53" s="57">
        <v>223</v>
      </c>
      <c r="N53" s="57">
        <v>4740</v>
      </c>
      <c r="O53" s="57">
        <v>3</v>
      </c>
      <c r="P53" s="57">
        <v>41038.199999999997</v>
      </c>
      <c r="Q53" s="57">
        <v>220</v>
      </c>
      <c r="R53" s="57">
        <v>6810201.5999999996</v>
      </c>
      <c r="S53" s="57">
        <v>2.2629000000000001</v>
      </c>
      <c r="T53" s="57"/>
      <c r="U53" s="57"/>
    </row>
    <row r="54" spans="1:21" ht="18" customHeight="1" x14ac:dyDescent="0.15">
      <c r="A54" s="5" t="s">
        <v>2004</v>
      </c>
      <c r="B54" s="6" t="s">
        <v>2005</v>
      </c>
      <c r="C54" s="6" t="s">
        <v>2011</v>
      </c>
      <c r="D54" s="8" t="s">
        <v>2034</v>
      </c>
      <c r="E54" s="8" t="s">
        <v>2005</v>
      </c>
      <c r="F54" s="43" t="s">
        <v>2008</v>
      </c>
      <c r="G54" s="43" t="s">
        <v>2009</v>
      </c>
      <c r="H54" s="50">
        <v>2.2464</v>
      </c>
      <c r="I54" s="50">
        <v>0.71819999999999995</v>
      </c>
      <c r="J54" s="50">
        <v>7.0260999999999996</v>
      </c>
      <c r="K54" s="50">
        <v>0.1641926134995183</v>
      </c>
      <c r="L54" s="6">
        <v>493814</v>
      </c>
      <c r="M54" s="57">
        <v>223</v>
      </c>
      <c r="N54" s="57">
        <v>4740</v>
      </c>
      <c r="O54" s="57">
        <v>3</v>
      </c>
      <c r="P54" s="57">
        <v>41038.199999999997</v>
      </c>
      <c r="Q54" s="57">
        <v>220</v>
      </c>
      <c r="R54" s="57">
        <v>6810201.5999999996</v>
      </c>
      <c r="S54" s="57">
        <v>2.2629000000000001</v>
      </c>
      <c r="T54" s="57"/>
      <c r="U54" s="57"/>
    </row>
    <row r="55" spans="1:21" ht="18" customHeight="1" x14ac:dyDescent="0.15">
      <c r="A55" s="5" t="s">
        <v>2004</v>
      </c>
      <c r="B55" s="6" t="s">
        <v>2005</v>
      </c>
      <c r="C55" s="6" t="s">
        <v>2012</v>
      </c>
      <c r="D55" s="8" t="s">
        <v>2034</v>
      </c>
      <c r="E55" s="8" t="s">
        <v>2005</v>
      </c>
      <c r="F55" s="43" t="s">
        <v>2008</v>
      </c>
      <c r="G55" s="43" t="s">
        <v>2009</v>
      </c>
      <c r="H55" s="50">
        <v>2.1053000000000002</v>
      </c>
      <c r="I55" s="50">
        <v>0.67120000000000002</v>
      </c>
      <c r="J55" s="50">
        <v>6.6035000000000004</v>
      </c>
      <c r="K55" s="50">
        <v>0.20182556539001301</v>
      </c>
      <c r="L55" s="6">
        <v>493814</v>
      </c>
      <c r="M55" s="57">
        <v>223</v>
      </c>
      <c r="N55" s="57">
        <v>4740</v>
      </c>
      <c r="O55" s="57">
        <v>3</v>
      </c>
      <c r="P55" s="57">
        <v>41038.199999999997</v>
      </c>
      <c r="Q55" s="57">
        <v>220</v>
      </c>
      <c r="R55" s="57">
        <v>6810201.5999999996</v>
      </c>
      <c r="S55" s="57">
        <v>2.2629000000000001</v>
      </c>
      <c r="T55" s="57"/>
      <c r="U55" s="57"/>
    </row>
    <row r="56" spans="1:21" ht="18" customHeight="1" x14ac:dyDescent="0.15">
      <c r="A56" s="5" t="s">
        <v>2004</v>
      </c>
      <c r="B56" s="6" t="s">
        <v>2005</v>
      </c>
      <c r="C56" s="6" t="s">
        <v>2013</v>
      </c>
      <c r="D56" s="8" t="s">
        <v>2034</v>
      </c>
      <c r="E56" s="8" t="s">
        <v>2005</v>
      </c>
      <c r="F56" s="43" t="s">
        <v>2008</v>
      </c>
      <c r="G56" s="43" t="s">
        <v>2009</v>
      </c>
      <c r="H56" s="50">
        <v>1.7547999999999999</v>
      </c>
      <c r="I56" s="50">
        <v>0.54700000000000004</v>
      </c>
      <c r="J56" s="50">
        <v>5.63</v>
      </c>
      <c r="K56" s="50">
        <v>0.3443856871624883</v>
      </c>
      <c r="L56" s="6">
        <v>493814</v>
      </c>
      <c r="M56" s="57">
        <v>223</v>
      </c>
      <c r="N56" s="57">
        <v>4740</v>
      </c>
      <c r="O56" s="57">
        <v>3</v>
      </c>
      <c r="P56" s="57">
        <v>41038.199999999997</v>
      </c>
      <c r="Q56" s="57">
        <v>220</v>
      </c>
      <c r="R56" s="57">
        <v>6810201.5999999996</v>
      </c>
      <c r="S56" s="57">
        <v>2.2629000000000001</v>
      </c>
      <c r="T56" s="57"/>
      <c r="U56" s="57"/>
    </row>
    <row r="57" spans="1:21" ht="18" customHeight="1" x14ac:dyDescent="0.15">
      <c r="A57" s="5" t="s">
        <v>2004</v>
      </c>
      <c r="B57" s="6" t="s">
        <v>2005</v>
      </c>
      <c r="C57" s="6" t="s">
        <v>2006</v>
      </c>
      <c r="D57" s="8" t="s">
        <v>2035</v>
      </c>
      <c r="E57" s="8" t="s">
        <v>2005</v>
      </c>
      <c r="F57" s="43" t="s">
        <v>2008</v>
      </c>
      <c r="G57" s="43" t="s">
        <v>2009</v>
      </c>
      <c r="H57" s="50">
        <v>2.5270000000000001</v>
      </c>
      <c r="I57" s="50"/>
      <c r="J57" s="50"/>
      <c r="K57" s="50"/>
      <c r="L57" s="6">
        <v>492398</v>
      </c>
      <c r="M57" s="57">
        <v>868</v>
      </c>
      <c r="N57" s="57">
        <v>4713</v>
      </c>
      <c r="O57" s="57">
        <v>13</v>
      </c>
      <c r="P57" s="57">
        <v>40863.699999999997</v>
      </c>
      <c r="Q57" s="57">
        <v>855</v>
      </c>
      <c r="R57" s="57">
        <v>6791608.7000000002</v>
      </c>
      <c r="S57" s="57">
        <v>2.5270000000000001</v>
      </c>
      <c r="T57" s="57"/>
      <c r="U57" s="57"/>
    </row>
    <row r="58" spans="1:21" ht="18" customHeight="1" x14ac:dyDescent="0.15">
      <c r="A58" s="5" t="s">
        <v>2004</v>
      </c>
      <c r="B58" s="6" t="s">
        <v>2005</v>
      </c>
      <c r="C58" s="6" t="s">
        <v>2010</v>
      </c>
      <c r="D58" s="8" t="s">
        <v>2035</v>
      </c>
      <c r="E58" s="8" t="s">
        <v>2005</v>
      </c>
      <c r="F58" s="43" t="s">
        <v>2008</v>
      </c>
      <c r="G58" s="43" t="s">
        <v>2009</v>
      </c>
      <c r="H58" s="50">
        <v>2.5270000000000001</v>
      </c>
      <c r="I58" s="50">
        <v>1.4623999999999999</v>
      </c>
      <c r="J58" s="50">
        <v>4.3669000000000002</v>
      </c>
      <c r="K58" s="50">
        <v>8.9463312586226997E-4</v>
      </c>
      <c r="L58" s="6">
        <v>492398</v>
      </c>
      <c r="M58" s="57">
        <v>868</v>
      </c>
      <c r="N58" s="57">
        <v>4713</v>
      </c>
      <c r="O58" s="57">
        <v>13</v>
      </c>
      <c r="P58" s="57">
        <v>40863.699999999997</v>
      </c>
      <c r="Q58" s="57">
        <v>855</v>
      </c>
      <c r="R58" s="57">
        <v>6791608.7000000002</v>
      </c>
      <c r="S58" s="57">
        <v>2.5270000000000001</v>
      </c>
      <c r="T58" s="57"/>
      <c r="U58" s="57"/>
    </row>
    <row r="59" spans="1:21" ht="18" customHeight="1" x14ac:dyDescent="0.15">
      <c r="A59" s="5" t="s">
        <v>2004</v>
      </c>
      <c r="B59" s="6" t="s">
        <v>2005</v>
      </c>
      <c r="C59" s="6" t="s">
        <v>2011</v>
      </c>
      <c r="D59" s="8" t="s">
        <v>2035</v>
      </c>
      <c r="E59" s="8" t="s">
        <v>2005</v>
      </c>
      <c r="F59" s="43" t="s">
        <v>2008</v>
      </c>
      <c r="G59" s="43" t="s">
        <v>2009</v>
      </c>
      <c r="H59" s="50">
        <v>2.4881000000000002</v>
      </c>
      <c r="I59" s="50">
        <v>1.4368000000000001</v>
      </c>
      <c r="J59" s="50">
        <v>4.3087999999999997</v>
      </c>
      <c r="K59" s="50">
        <v>1.14016345540525E-3</v>
      </c>
      <c r="L59" s="6">
        <v>492398</v>
      </c>
      <c r="M59" s="57">
        <v>868</v>
      </c>
      <c r="N59" s="57">
        <v>4713</v>
      </c>
      <c r="O59" s="57">
        <v>13</v>
      </c>
      <c r="P59" s="57">
        <v>40863.699999999997</v>
      </c>
      <c r="Q59" s="57">
        <v>855</v>
      </c>
      <c r="R59" s="57">
        <v>6791608.7000000002</v>
      </c>
      <c r="S59" s="57">
        <v>2.5270000000000001</v>
      </c>
      <c r="T59" s="57"/>
      <c r="U59" s="57"/>
    </row>
    <row r="60" spans="1:21" ht="18" customHeight="1" x14ac:dyDescent="0.15">
      <c r="A60" s="5" t="s">
        <v>2004</v>
      </c>
      <c r="B60" s="6" t="s">
        <v>2005</v>
      </c>
      <c r="C60" s="6" t="s">
        <v>2012</v>
      </c>
      <c r="D60" s="8" t="s">
        <v>2035</v>
      </c>
      <c r="E60" s="8" t="s">
        <v>2005</v>
      </c>
      <c r="F60" s="43" t="s">
        <v>2008</v>
      </c>
      <c r="G60" s="43" t="s">
        <v>2009</v>
      </c>
      <c r="H60" s="50">
        <v>2.2728999999999999</v>
      </c>
      <c r="I60" s="50">
        <v>1.3104</v>
      </c>
      <c r="J60" s="50">
        <v>3.9420999999999999</v>
      </c>
      <c r="K60" s="50">
        <v>3.4758205771857099E-3</v>
      </c>
      <c r="L60" s="6">
        <v>492398</v>
      </c>
      <c r="M60" s="57">
        <v>868</v>
      </c>
      <c r="N60" s="57">
        <v>4713</v>
      </c>
      <c r="O60" s="57">
        <v>13</v>
      </c>
      <c r="P60" s="57">
        <v>40863.699999999997</v>
      </c>
      <c r="Q60" s="57">
        <v>855</v>
      </c>
      <c r="R60" s="57">
        <v>6791608.7000000002</v>
      </c>
      <c r="S60" s="57">
        <v>2.5270000000000001</v>
      </c>
      <c r="T60" s="57"/>
      <c r="U60" s="57"/>
    </row>
    <row r="61" spans="1:21" ht="18" customHeight="1" x14ac:dyDescent="0.15">
      <c r="A61" s="5" t="s">
        <v>2004</v>
      </c>
      <c r="B61" s="6" t="s">
        <v>2005</v>
      </c>
      <c r="C61" s="6" t="s">
        <v>2013</v>
      </c>
      <c r="D61" s="8" t="s">
        <v>2035</v>
      </c>
      <c r="E61" s="8" t="s">
        <v>2005</v>
      </c>
      <c r="F61" s="43" t="s">
        <v>2008</v>
      </c>
      <c r="G61" s="43" t="s">
        <v>2009</v>
      </c>
      <c r="H61" s="50">
        <v>2.1932</v>
      </c>
      <c r="I61" s="50">
        <v>1.2551000000000001</v>
      </c>
      <c r="J61" s="50">
        <v>3.8323</v>
      </c>
      <c r="K61" s="50">
        <v>5.8166174706817701E-3</v>
      </c>
      <c r="L61" s="6">
        <v>492398</v>
      </c>
      <c r="M61" s="57">
        <v>868</v>
      </c>
      <c r="N61" s="57">
        <v>4713</v>
      </c>
      <c r="O61" s="57">
        <v>13</v>
      </c>
      <c r="P61" s="57">
        <v>40863.699999999997</v>
      </c>
      <c r="Q61" s="57">
        <v>855</v>
      </c>
      <c r="R61" s="57">
        <v>6791608.7000000002</v>
      </c>
      <c r="S61" s="57">
        <v>2.5270000000000001</v>
      </c>
      <c r="T61" s="57"/>
      <c r="U61" s="57"/>
    </row>
    <row r="62" spans="1:21" ht="18" customHeight="1" x14ac:dyDescent="0.15">
      <c r="A62" s="5" t="s">
        <v>2014</v>
      </c>
      <c r="B62" s="6" t="s">
        <v>2005</v>
      </c>
      <c r="C62" s="6" t="s">
        <v>2015</v>
      </c>
      <c r="D62" s="8" t="s">
        <v>2035</v>
      </c>
      <c r="E62" s="8" t="s">
        <v>2005</v>
      </c>
      <c r="F62" s="43" t="s">
        <v>2008</v>
      </c>
      <c r="G62" s="43" t="s">
        <v>2009</v>
      </c>
      <c r="H62" s="50">
        <v>2.5270000000000001</v>
      </c>
      <c r="I62" s="50">
        <v>1.4623999999999999</v>
      </c>
      <c r="J62" s="50">
        <v>4.3669000000000002</v>
      </c>
      <c r="K62" s="50">
        <v>8.9463312586226997E-4</v>
      </c>
      <c r="L62" s="6">
        <v>492398</v>
      </c>
      <c r="M62" s="57">
        <v>868</v>
      </c>
      <c r="N62" s="57"/>
      <c r="O62" s="57"/>
      <c r="P62" s="57"/>
      <c r="Q62" s="57"/>
      <c r="R62" s="57"/>
      <c r="S62" s="57"/>
      <c r="T62" s="57"/>
      <c r="U62" s="57"/>
    </row>
    <row r="63" spans="1:21" ht="18" customHeight="1" x14ac:dyDescent="0.15">
      <c r="A63" s="5" t="s">
        <v>2014</v>
      </c>
      <c r="B63" s="6" t="s">
        <v>2005</v>
      </c>
      <c r="C63" s="6" t="s">
        <v>2016</v>
      </c>
      <c r="D63" s="8" t="s">
        <v>2035</v>
      </c>
      <c r="E63" s="8" t="s">
        <v>2005</v>
      </c>
      <c r="F63" s="43" t="s">
        <v>2008</v>
      </c>
      <c r="G63" s="43" t="s">
        <v>2009</v>
      </c>
      <c r="H63" s="50">
        <v>2.4881000000000002</v>
      </c>
      <c r="I63" s="50">
        <v>1.4368000000000001</v>
      </c>
      <c r="J63" s="50">
        <v>4.3087999999999997</v>
      </c>
      <c r="K63" s="50">
        <v>1.14016345540525E-3</v>
      </c>
      <c r="L63" s="6">
        <v>492398</v>
      </c>
      <c r="M63" s="57">
        <v>868</v>
      </c>
      <c r="N63" s="57"/>
      <c r="O63" s="57"/>
      <c r="P63" s="57"/>
      <c r="Q63" s="57"/>
      <c r="R63" s="57"/>
      <c r="S63" s="57"/>
      <c r="T63" s="57"/>
      <c r="U63" s="57"/>
    </row>
    <row r="64" spans="1:21" ht="18" customHeight="1" x14ac:dyDescent="0.15">
      <c r="A64" s="5" t="s">
        <v>2014</v>
      </c>
      <c r="B64" s="6" t="s">
        <v>2005</v>
      </c>
      <c r="C64" s="6" t="s">
        <v>2017</v>
      </c>
      <c r="D64" s="8" t="s">
        <v>2035</v>
      </c>
      <c r="E64" s="8" t="s">
        <v>2005</v>
      </c>
      <c r="F64" s="43" t="s">
        <v>2008</v>
      </c>
      <c r="G64" s="43" t="s">
        <v>2009</v>
      </c>
      <c r="H64" s="50">
        <v>1.75</v>
      </c>
      <c r="I64" s="50">
        <v>1.0069999999999999</v>
      </c>
      <c r="J64" s="50">
        <v>3.0411999999999999</v>
      </c>
      <c r="K64" s="50">
        <v>4.7163362215788499E-2</v>
      </c>
      <c r="L64" s="6">
        <v>492398</v>
      </c>
      <c r="M64" s="57">
        <v>868</v>
      </c>
      <c r="N64" s="57"/>
      <c r="O64" s="57"/>
      <c r="P64" s="57"/>
      <c r="Q64" s="57"/>
      <c r="R64" s="57"/>
      <c r="S64" s="57"/>
      <c r="T64" s="57"/>
      <c r="U64" s="57"/>
    </row>
    <row r="65" spans="1:22" ht="18" customHeight="1" x14ac:dyDescent="0.15">
      <c r="A65" s="5" t="s">
        <v>2014</v>
      </c>
      <c r="B65" s="6" t="s">
        <v>2005</v>
      </c>
      <c r="C65" s="6" t="s">
        <v>2018</v>
      </c>
      <c r="D65" s="8" t="s">
        <v>2035</v>
      </c>
      <c r="E65" s="8" t="s">
        <v>2005</v>
      </c>
      <c r="F65" s="43" t="s">
        <v>2008</v>
      </c>
      <c r="G65" s="43" t="s">
        <v>2009</v>
      </c>
      <c r="H65" s="50">
        <v>2.1276999999999999</v>
      </c>
      <c r="I65" s="50">
        <v>0.95009999999999994</v>
      </c>
      <c r="J65" s="50">
        <v>4.7645999999999997</v>
      </c>
      <c r="K65" s="50">
        <v>6.6415910239330828E-2</v>
      </c>
      <c r="L65" s="6">
        <v>492398</v>
      </c>
      <c r="M65" s="57">
        <v>868</v>
      </c>
      <c r="N65" s="57"/>
      <c r="O65" s="57"/>
      <c r="P65" s="57"/>
      <c r="Q65" s="57"/>
      <c r="R65" s="57"/>
      <c r="S65" s="57"/>
      <c r="T65" s="57"/>
      <c r="U65" s="57"/>
    </row>
    <row r="66" spans="1:22" ht="18" customHeight="1" x14ac:dyDescent="0.15">
      <c r="A66" s="5" t="s">
        <v>2014</v>
      </c>
      <c r="B66" s="6" t="s">
        <v>2005</v>
      </c>
      <c r="C66" s="6" t="s">
        <v>2019</v>
      </c>
      <c r="D66" s="8" t="s">
        <v>2035</v>
      </c>
      <c r="E66" s="8" t="s">
        <v>2005</v>
      </c>
      <c r="F66" s="43" t="s">
        <v>2008</v>
      </c>
      <c r="G66" s="43" t="s">
        <v>1816</v>
      </c>
      <c r="H66" s="50">
        <v>5.1795999999999998</v>
      </c>
      <c r="I66" s="50">
        <v>2.0911</v>
      </c>
      <c r="J66" s="50">
        <v>12.8294</v>
      </c>
      <c r="K66" s="50">
        <v>3.7929851327673001E-4</v>
      </c>
      <c r="L66" s="6">
        <v>489476</v>
      </c>
      <c r="M66" s="57">
        <v>108</v>
      </c>
      <c r="N66" s="57"/>
      <c r="O66" s="57"/>
      <c r="P66" s="57"/>
      <c r="Q66" s="57"/>
      <c r="R66" s="57"/>
      <c r="S66" s="57"/>
      <c r="T66" s="57"/>
      <c r="U66" s="57"/>
      <c r="V66" t="s">
        <v>2036</v>
      </c>
    </row>
    <row r="67" spans="1:22" ht="18" customHeight="1" x14ac:dyDescent="0.15">
      <c r="A67" s="5" t="s">
        <v>2014</v>
      </c>
      <c r="B67" s="6" t="s">
        <v>2005</v>
      </c>
      <c r="C67" s="6" t="s">
        <v>2020</v>
      </c>
      <c r="D67" s="8" t="s">
        <v>2035</v>
      </c>
      <c r="E67" s="8" t="s">
        <v>2005</v>
      </c>
      <c r="F67" s="43" t="s">
        <v>2008</v>
      </c>
      <c r="G67" s="43" t="s">
        <v>2009</v>
      </c>
      <c r="H67" s="50">
        <v>2.1202999999999999</v>
      </c>
      <c r="I67" s="50">
        <v>1.1962999999999999</v>
      </c>
      <c r="J67" s="50">
        <v>3.758</v>
      </c>
      <c r="K67" s="50">
        <v>1.0064364679657919E-2</v>
      </c>
      <c r="L67" s="6">
        <v>489476</v>
      </c>
      <c r="M67" s="57">
        <v>864</v>
      </c>
      <c r="N67" s="57"/>
      <c r="O67" s="57"/>
      <c r="P67" s="57"/>
      <c r="Q67" s="57"/>
      <c r="R67" s="57"/>
      <c r="S67" s="57"/>
      <c r="T67" s="57"/>
      <c r="U67" s="57"/>
    </row>
    <row r="68" spans="1:22" ht="18" customHeight="1" x14ac:dyDescent="0.15">
      <c r="A68" s="5" t="s">
        <v>2021</v>
      </c>
      <c r="B68" s="6" t="s">
        <v>2005</v>
      </c>
      <c r="C68" s="6" t="s">
        <v>2022</v>
      </c>
      <c r="D68" s="8" t="s">
        <v>2035</v>
      </c>
      <c r="E68" s="8" t="s">
        <v>2005</v>
      </c>
      <c r="F68" s="43" t="s">
        <v>2008</v>
      </c>
      <c r="G68" s="43" t="s">
        <v>2009</v>
      </c>
      <c r="H68" s="50"/>
      <c r="I68" s="50"/>
      <c r="J68" s="50"/>
      <c r="K68" s="50"/>
      <c r="L68" s="6">
        <v>4908</v>
      </c>
      <c r="M68" s="57">
        <v>14</v>
      </c>
      <c r="N68" s="57"/>
      <c r="O68" s="57"/>
      <c r="P68" s="57"/>
      <c r="Q68" s="57"/>
      <c r="R68" s="57"/>
      <c r="S68" s="57"/>
      <c r="T68" s="57" t="s">
        <v>2023</v>
      </c>
      <c r="U68" s="57" t="s">
        <v>2024</v>
      </c>
      <c r="V68" t="s">
        <v>2037</v>
      </c>
    </row>
    <row r="69" spans="1:22" ht="18" customHeight="1" x14ac:dyDescent="0.15">
      <c r="A69" s="5" t="s">
        <v>2021</v>
      </c>
      <c r="B69" s="6" t="s">
        <v>2005</v>
      </c>
      <c r="C69" s="6" t="s">
        <v>2022</v>
      </c>
      <c r="D69" s="8" t="s">
        <v>2035</v>
      </c>
      <c r="E69" s="8" t="s">
        <v>2005</v>
      </c>
      <c r="F69" s="43" t="s">
        <v>2008</v>
      </c>
      <c r="G69" s="43" t="s">
        <v>2009</v>
      </c>
      <c r="H69" s="50">
        <v>2.9272</v>
      </c>
      <c r="I69" s="50">
        <v>0.71850000000000003</v>
      </c>
      <c r="J69" s="50">
        <v>11.924899999999999</v>
      </c>
      <c r="K69" s="50">
        <v>0.133941649974884</v>
      </c>
      <c r="L69" s="6">
        <v>323247</v>
      </c>
      <c r="M69" s="57">
        <v>124</v>
      </c>
      <c r="N69" s="57"/>
      <c r="O69" s="57"/>
      <c r="P69" s="57"/>
      <c r="Q69" s="57"/>
      <c r="R69" s="57"/>
      <c r="S69" s="57"/>
      <c r="T69" s="57" t="s">
        <v>2023</v>
      </c>
      <c r="U69" s="57" t="s">
        <v>2025</v>
      </c>
      <c r="V69" t="s">
        <v>2037</v>
      </c>
    </row>
    <row r="70" spans="1:22" ht="18" customHeight="1" x14ac:dyDescent="0.15">
      <c r="A70" s="5" t="s">
        <v>2021</v>
      </c>
      <c r="B70" s="6" t="s">
        <v>2005</v>
      </c>
      <c r="C70" s="6" t="s">
        <v>2022</v>
      </c>
      <c r="D70" s="8" t="s">
        <v>2035</v>
      </c>
      <c r="E70" s="8" t="s">
        <v>2005</v>
      </c>
      <c r="F70" s="43" t="s">
        <v>2008</v>
      </c>
      <c r="G70" s="43" t="s">
        <v>2009</v>
      </c>
      <c r="H70" s="50">
        <v>2.0188000000000001</v>
      </c>
      <c r="I70" s="50">
        <v>1.113</v>
      </c>
      <c r="J70" s="50">
        <v>3.6617999999999999</v>
      </c>
      <c r="K70" s="50">
        <v>2.0766421434479099E-2</v>
      </c>
      <c r="L70" s="6">
        <v>164243</v>
      </c>
      <c r="M70" s="57">
        <v>730</v>
      </c>
      <c r="N70" s="57"/>
      <c r="O70" s="57"/>
      <c r="P70" s="57"/>
      <c r="Q70" s="57"/>
      <c r="R70" s="57"/>
      <c r="S70" s="57"/>
      <c r="T70" s="57" t="s">
        <v>2023</v>
      </c>
      <c r="U70" s="57" t="s">
        <v>2026</v>
      </c>
      <c r="V70" t="s">
        <v>2037</v>
      </c>
    </row>
    <row r="71" spans="1:22" ht="18" customHeight="1" x14ac:dyDescent="0.15">
      <c r="A71" s="5" t="s">
        <v>2021</v>
      </c>
      <c r="B71" s="6" t="s">
        <v>2005</v>
      </c>
      <c r="C71" s="6" t="s">
        <v>2022</v>
      </c>
      <c r="D71" s="8" t="s">
        <v>2035</v>
      </c>
      <c r="E71" s="8" t="s">
        <v>2005</v>
      </c>
      <c r="F71" s="43" t="s">
        <v>2008</v>
      </c>
      <c r="G71" s="43" t="s">
        <v>2009</v>
      </c>
      <c r="H71" s="50"/>
      <c r="I71" s="50"/>
      <c r="J71" s="50"/>
      <c r="K71" s="50"/>
      <c r="L71" s="6">
        <v>3594</v>
      </c>
      <c r="M71" s="57">
        <v>11</v>
      </c>
      <c r="N71" s="57"/>
      <c r="O71" s="57"/>
      <c r="P71" s="57"/>
      <c r="Q71" s="57"/>
      <c r="R71" s="57"/>
      <c r="S71" s="57"/>
      <c r="T71" s="57" t="s">
        <v>2027</v>
      </c>
      <c r="U71" s="57" t="s">
        <v>2024</v>
      </c>
      <c r="V71" t="s">
        <v>2037</v>
      </c>
    </row>
    <row r="72" spans="1:22" ht="18" customHeight="1" x14ac:dyDescent="0.15">
      <c r="A72" s="5" t="s">
        <v>2021</v>
      </c>
      <c r="B72" s="6" t="s">
        <v>2005</v>
      </c>
      <c r="C72" s="6" t="s">
        <v>2022</v>
      </c>
      <c r="D72" s="8" t="s">
        <v>2035</v>
      </c>
      <c r="E72" s="8" t="s">
        <v>2005</v>
      </c>
      <c r="F72" s="43" t="s">
        <v>2008</v>
      </c>
      <c r="G72" s="43" t="s">
        <v>2009</v>
      </c>
      <c r="H72" s="50">
        <v>5.3842999999999996</v>
      </c>
      <c r="I72" s="50">
        <v>2.66</v>
      </c>
      <c r="J72" s="50">
        <v>10.899100000000001</v>
      </c>
      <c r="K72" s="50">
        <v>2.8822374258609999E-6</v>
      </c>
      <c r="L72" s="6">
        <v>433979</v>
      </c>
      <c r="M72" s="57">
        <v>274</v>
      </c>
      <c r="N72" s="57"/>
      <c r="O72" s="57"/>
      <c r="P72" s="57"/>
      <c r="Q72" s="57"/>
      <c r="R72" s="57"/>
      <c r="S72" s="57"/>
      <c r="T72" s="57" t="s">
        <v>2027</v>
      </c>
      <c r="U72" s="57" t="s">
        <v>2025</v>
      </c>
      <c r="V72" t="s">
        <v>2037</v>
      </c>
    </row>
    <row r="73" spans="1:22" ht="18" customHeight="1" x14ac:dyDescent="0.15">
      <c r="A73" s="5" t="s">
        <v>2021</v>
      </c>
      <c r="B73" s="6" t="s">
        <v>2005</v>
      </c>
      <c r="C73" s="6" t="s">
        <v>2022</v>
      </c>
      <c r="D73" s="8" t="s">
        <v>2035</v>
      </c>
      <c r="E73" s="8" t="s">
        <v>2005</v>
      </c>
      <c r="F73" s="43" t="s">
        <v>2008</v>
      </c>
      <c r="G73" s="43" t="s">
        <v>2009</v>
      </c>
      <c r="H73" s="50">
        <v>0.9546</v>
      </c>
      <c r="I73" s="50">
        <v>0.39610000000000001</v>
      </c>
      <c r="J73" s="50">
        <v>2.3003999999999998</v>
      </c>
      <c r="K73" s="50">
        <v>0.91756749207398036</v>
      </c>
      <c r="L73" s="6">
        <v>54825</v>
      </c>
      <c r="M73" s="57">
        <v>583</v>
      </c>
      <c r="N73" s="57"/>
      <c r="O73" s="57"/>
      <c r="P73" s="57"/>
      <c r="Q73" s="57"/>
      <c r="R73" s="57"/>
      <c r="S73" s="57"/>
      <c r="T73" s="57" t="s">
        <v>2027</v>
      </c>
      <c r="U73" s="57" t="s">
        <v>2026</v>
      </c>
      <c r="V73" t="s">
        <v>2037</v>
      </c>
    </row>
    <row r="74" spans="1:22" ht="18" customHeight="1" x14ac:dyDescent="0.15">
      <c r="A74" s="5" t="s">
        <v>2021</v>
      </c>
      <c r="B74" s="6" t="s">
        <v>2005</v>
      </c>
      <c r="C74" s="6" t="s">
        <v>2022</v>
      </c>
      <c r="D74" s="8" t="s">
        <v>2035</v>
      </c>
      <c r="E74" s="8" t="s">
        <v>2005</v>
      </c>
      <c r="F74" s="43" t="s">
        <v>2008</v>
      </c>
      <c r="G74" s="43" t="s">
        <v>2009</v>
      </c>
      <c r="H74" s="50">
        <v>2.1242999999999999</v>
      </c>
      <c r="I74" s="50">
        <v>1.0991</v>
      </c>
      <c r="J74" s="50">
        <v>4.1055000000000001</v>
      </c>
      <c r="K74" s="50">
        <v>2.5017241159661328E-2</v>
      </c>
      <c r="L74" s="6">
        <v>323611</v>
      </c>
      <c r="M74" s="57">
        <v>716</v>
      </c>
      <c r="N74" s="57"/>
      <c r="O74" s="57"/>
      <c r="P74" s="57"/>
      <c r="Q74" s="57"/>
      <c r="R74" s="57"/>
      <c r="S74" s="57"/>
      <c r="T74" s="57" t="s">
        <v>2028</v>
      </c>
      <c r="U74" s="57" t="s">
        <v>2029</v>
      </c>
      <c r="V74" t="s">
        <v>2037</v>
      </c>
    </row>
    <row r="75" spans="1:22" ht="18" customHeight="1" x14ac:dyDescent="0.15">
      <c r="A75" s="5" t="s">
        <v>2021</v>
      </c>
      <c r="B75" s="6" t="s">
        <v>2005</v>
      </c>
      <c r="C75" s="6" t="s">
        <v>2022</v>
      </c>
      <c r="D75" s="8" t="s">
        <v>2035</v>
      </c>
      <c r="E75" s="8" t="s">
        <v>2005</v>
      </c>
      <c r="F75" s="43" t="s">
        <v>2008</v>
      </c>
      <c r="G75" s="43" t="s">
        <v>2009</v>
      </c>
      <c r="H75" s="50">
        <v>4.3960999999999997</v>
      </c>
      <c r="I75" s="50">
        <v>1.6223000000000001</v>
      </c>
      <c r="J75" s="50">
        <v>11.912699999999999</v>
      </c>
      <c r="K75" s="50">
        <v>3.6001131015069802E-3</v>
      </c>
      <c r="L75" s="6">
        <v>168787</v>
      </c>
      <c r="M75" s="57">
        <v>152</v>
      </c>
      <c r="N75" s="57"/>
      <c r="O75" s="57"/>
      <c r="P75" s="57"/>
      <c r="Q75" s="57"/>
      <c r="R75" s="57"/>
      <c r="S75" s="57"/>
      <c r="T75" s="57" t="s">
        <v>2028</v>
      </c>
      <c r="U75" s="57" t="s">
        <v>2030</v>
      </c>
      <c r="V75" t="s">
        <v>2037</v>
      </c>
    </row>
    <row r="76" spans="1:22" ht="18" customHeight="1" x14ac:dyDescent="0.15">
      <c r="A76" s="5" t="s">
        <v>2004</v>
      </c>
      <c r="B76" s="6" t="s">
        <v>2005</v>
      </c>
      <c r="C76" s="6" t="s">
        <v>2006</v>
      </c>
      <c r="D76" s="8" t="s">
        <v>2038</v>
      </c>
      <c r="E76" s="8" t="s">
        <v>2005</v>
      </c>
      <c r="F76" s="43" t="s">
        <v>2008</v>
      </c>
      <c r="G76" s="43" t="s">
        <v>2009</v>
      </c>
      <c r="H76" s="50">
        <v>1.9393</v>
      </c>
      <c r="I76" s="50"/>
      <c r="J76" s="50"/>
      <c r="K76" s="50"/>
      <c r="L76" s="6">
        <v>453850</v>
      </c>
      <c r="M76" s="57">
        <v>21314</v>
      </c>
      <c r="N76" s="57">
        <v>3920</v>
      </c>
      <c r="O76" s="57">
        <v>224</v>
      </c>
      <c r="P76" s="57">
        <v>34328.699999999997</v>
      </c>
      <c r="Q76" s="57">
        <v>21090</v>
      </c>
      <c r="R76" s="57">
        <v>6268146.7999999998</v>
      </c>
      <c r="S76" s="57">
        <v>1.9393</v>
      </c>
      <c r="T76" s="57"/>
      <c r="U76" s="57"/>
    </row>
    <row r="77" spans="1:22" ht="18" customHeight="1" x14ac:dyDescent="0.15">
      <c r="A77" s="5" t="s">
        <v>2004</v>
      </c>
      <c r="B77" s="6" t="s">
        <v>2005</v>
      </c>
      <c r="C77" s="6" t="s">
        <v>2010</v>
      </c>
      <c r="D77" s="8" t="s">
        <v>2038</v>
      </c>
      <c r="E77" s="8" t="s">
        <v>2005</v>
      </c>
      <c r="F77" s="43" t="s">
        <v>2008</v>
      </c>
      <c r="G77" s="43" t="s">
        <v>2009</v>
      </c>
      <c r="H77" s="50">
        <v>1.9393</v>
      </c>
      <c r="I77" s="50">
        <v>1.7068000000000001</v>
      </c>
      <c r="J77" s="50">
        <v>2.2035999999999998</v>
      </c>
      <c r="K77" s="50">
        <v>2.884132339255439E-24</v>
      </c>
      <c r="L77" s="6">
        <v>453850</v>
      </c>
      <c r="M77" s="57">
        <v>21314</v>
      </c>
      <c r="N77" s="57">
        <v>3920</v>
      </c>
      <c r="O77" s="57">
        <v>224</v>
      </c>
      <c r="P77" s="57">
        <v>34328.699999999997</v>
      </c>
      <c r="Q77" s="57">
        <v>21090</v>
      </c>
      <c r="R77" s="57">
        <v>6268146.7999999998</v>
      </c>
      <c r="S77" s="57">
        <v>1.9393</v>
      </c>
      <c r="T77" s="57"/>
      <c r="U77" s="57"/>
    </row>
    <row r="78" spans="1:22" ht="18" customHeight="1" x14ac:dyDescent="0.15">
      <c r="A78" s="5" t="s">
        <v>2004</v>
      </c>
      <c r="B78" s="6" t="s">
        <v>2005</v>
      </c>
      <c r="C78" s="6" t="s">
        <v>2011</v>
      </c>
      <c r="D78" s="8" t="s">
        <v>2038</v>
      </c>
      <c r="E78" s="8" t="s">
        <v>2005</v>
      </c>
      <c r="F78" s="43" t="s">
        <v>2008</v>
      </c>
      <c r="G78" s="43" t="s">
        <v>2009</v>
      </c>
      <c r="H78" s="50">
        <v>1.8520000000000001</v>
      </c>
      <c r="I78" s="50">
        <v>1.6283000000000001</v>
      </c>
      <c r="J78" s="50">
        <v>2.1063999999999998</v>
      </c>
      <c r="K78" s="50">
        <v>6.3675014491010077E-21</v>
      </c>
      <c r="L78" s="6">
        <v>453850</v>
      </c>
      <c r="M78" s="57">
        <v>21314</v>
      </c>
      <c r="N78" s="57">
        <v>3920</v>
      </c>
      <c r="O78" s="57">
        <v>224</v>
      </c>
      <c r="P78" s="57">
        <v>34328.699999999997</v>
      </c>
      <c r="Q78" s="57">
        <v>21090</v>
      </c>
      <c r="R78" s="57">
        <v>6268146.7999999998</v>
      </c>
      <c r="S78" s="57">
        <v>1.9393</v>
      </c>
      <c r="T78" s="57"/>
      <c r="U78" s="57"/>
    </row>
    <row r="79" spans="1:22" ht="18" customHeight="1" x14ac:dyDescent="0.15">
      <c r="A79" s="5" t="s">
        <v>2004</v>
      </c>
      <c r="B79" s="6" t="s">
        <v>2005</v>
      </c>
      <c r="C79" s="6" t="s">
        <v>2012</v>
      </c>
      <c r="D79" s="8" t="s">
        <v>2038</v>
      </c>
      <c r="E79" s="8" t="s">
        <v>2005</v>
      </c>
      <c r="F79" s="43" t="s">
        <v>2008</v>
      </c>
      <c r="G79" s="43" t="s">
        <v>2009</v>
      </c>
      <c r="H79" s="50">
        <v>1.788</v>
      </c>
      <c r="I79" s="50">
        <v>1.5724</v>
      </c>
      <c r="J79" s="50">
        <v>2.0331999999999999</v>
      </c>
      <c r="K79" s="50">
        <v>7.8214277848365646E-19</v>
      </c>
      <c r="L79" s="6">
        <v>453850</v>
      </c>
      <c r="M79" s="57">
        <v>21314</v>
      </c>
      <c r="N79" s="57">
        <v>3920</v>
      </c>
      <c r="O79" s="57">
        <v>224</v>
      </c>
      <c r="P79" s="57">
        <v>34328.699999999997</v>
      </c>
      <c r="Q79" s="57">
        <v>21090</v>
      </c>
      <c r="R79" s="57">
        <v>6268146.7999999998</v>
      </c>
      <c r="S79" s="57">
        <v>1.9393</v>
      </c>
      <c r="T79" s="57"/>
      <c r="U79" s="57"/>
    </row>
    <row r="80" spans="1:22" ht="18" customHeight="1" x14ac:dyDescent="0.15">
      <c r="A80" s="5" t="s">
        <v>2004</v>
      </c>
      <c r="B80" s="6" t="s">
        <v>2005</v>
      </c>
      <c r="C80" s="6" t="s">
        <v>2013</v>
      </c>
      <c r="D80" s="8" t="s">
        <v>2038</v>
      </c>
      <c r="E80" s="8" t="s">
        <v>2005</v>
      </c>
      <c r="F80" s="43" t="s">
        <v>2008</v>
      </c>
      <c r="G80" s="43" t="s">
        <v>2009</v>
      </c>
      <c r="H80" s="50">
        <v>1.6376999999999999</v>
      </c>
      <c r="I80" s="50">
        <v>1.4393</v>
      </c>
      <c r="J80" s="50">
        <v>1.8633999999999999</v>
      </c>
      <c r="K80" s="50">
        <v>7.0881351391931922E-14</v>
      </c>
      <c r="L80" s="6">
        <v>453850</v>
      </c>
      <c r="M80" s="57">
        <v>21314</v>
      </c>
      <c r="N80" s="57">
        <v>3920</v>
      </c>
      <c r="O80" s="57">
        <v>224</v>
      </c>
      <c r="P80" s="57">
        <v>34328.699999999997</v>
      </c>
      <c r="Q80" s="57">
        <v>21090</v>
      </c>
      <c r="R80" s="57">
        <v>6268146.7999999998</v>
      </c>
      <c r="S80" s="57">
        <v>1.9393</v>
      </c>
      <c r="T80" s="57"/>
      <c r="U80" s="57"/>
    </row>
    <row r="81" spans="1:21" ht="18" customHeight="1" x14ac:dyDescent="0.15">
      <c r="A81" s="5" t="s">
        <v>2014</v>
      </c>
      <c r="B81" s="6" t="s">
        <v>2005</v>
      </c>
      <c r="C81" s="6" t="s">
        <v>2015</v>
      </c>
      <c r="D81" s="8" t="s">
        <v>2038</v>
      </c>
      <c r="E81" s="8" t="s">
        <v>2005</v>
      </c>
      <c r="F81" s="43" t="s">
        <v>2008</v>
      </c>
      <c r="G81" s="43" t="s">
        <v>2009</v>
      </c>
      <c r="H81" s="50">
        <v>1.9393</v>
      </c>
      <c r="I81" s="50">
        <v>1.7068000000000001</v>
      </c>
      <c r="J81" s="50">
        <v>2.2035999999999998</v>
      </c>
      <c r="K81" s="50">
        <v>2.884132339255439E-24</v>
      </c>
      <c r="L81" s="6">
        <v>453850</v>
      </c>
      <c r="M81" s="57">
        <v>21314</v>
      </c>
      <c r="N81" s="57"/>
      <c r="O81" s="57"/>
      <c r="P81" s="57"/>
      <c r="Q81" s="57"/>
      <c r="R81" s="57"/>
      <c r="S81" s="57"/>
      <c r="T81" s="57"/>
      <c r="U81" s="57"/>
    </row>
    <row r="82" spans="1:21" ht="18" customHeight="1" x14ac:dyDescent="0.15">
      <c r="A82" s="5" t="s">
        <v>2014</v>
      </c>
      <c r="B82" s="6" t="s">
        <v>2005</v>
      </c>
      <c r="C82" s="6" t="s">
        <v>2016</v>
      </c>
      <c r="D82" s="8" t="s">
        <v>2038</v>
      </c>
      <c r="E82" s="8" t="s">
        <v>2005</v>
      </c>
      <c r="F82" s="43" t="s">
        <v>2008</v>
      </c>
      <c r="G82" s="43" t="s">
        <v>2009</v>
      </c>
      <c r="H82" s="50">
        <v>1.8520000000000001</v>
      </c>
      <c r="I82" s="50">
        <v>1.6283000000000001</v>
      </c>
      <c r="J82" s="50">
        <v>2.1063999999999998</v>
      </c>
      <c r="K82" s="50">
        <v>6.3675014491010077E-21</v>
      </c>
      <c r="L82" s="6">
        <v>453850</v>
      </c>
      <c r="M82" s="57">
        <v>21314</v>
      </c>
      <c r="N82" s="57"/>
      <c r="O82" s="57"/>
      <c r="P82" s="57"/>
      <c r="Q82" s="57"/>
      <c r="R82" s="57"/>
      <c r="S82" s="57"/>
      <c r="T82" s="57"/>
      <c r="U82" s="57"/>
    </row>
    <row r="83" spans="1:21" ht="18" customHeight="1" x14ac:dyDescent="0.15">
      <c r="A83" s="5" t="s">
        <v>2014</v>
      </c>
      <c r="B83" s="6" t="s">
        <v>2005</v>
      </c>
      <c r="C83" s="6" t="s">
        <v>2017</v>
      </c>
      <c r="D83" s="8" t="s">
        <v>2038</v>
      </c>
      <c r="E83" s="8" t="s">
        <v>2005</v>
      </c>
      <c r="F83" s="43" t="s">
        <v>2008</v>
      </c>
      <c r="G83" s="43" t="s">
        <v>2009</v>
      </c>
      <c r="H83" s="50">
        <v>1.5831</v>
      </c>
      <c r="I83" s="50">
        <v>1.3946000000000001</v>
      </c>
      <c r="J83" s="50">
        <v>1.7969999999999999</v>
      </c>
      <c r="K83" s="50">
        <v>1.2286842661006411E-12</v>
      </c>
      <c r="L83" s="6">
        <v>453850</v>
      </c>
      <c r="M83" s="57">
        <v>21314</v>
      </c>
      <c r="N83" s="57"/>
      <c r="O83" s="57"/>
      <c r="P83" s="57"/>
      <c r="Q83" s="57"/>
      <c r="R83" s="57"/>
      <c r="S83" s="57"/>
      <c r="T83" s="57"/>
      <c r="U83" s="57"/>
    </row>
    <row r="84" spans="1:21" ht="18" customHeight="1" x14ac:dyDescent="0.15">
      <c r="A84" s="5" t="s">
        <v>2014</v>
      </c>
      <c r="B84" s="6" t="s">
        <v>2005</v>
      </c>
      <c r="C84" s="6" t="s">
        <v>2018</v>
      </c>
      <c r="D84" s="8" t="s">
        <v>2038</v>
      </c>
      <c r="E84" s="8" t="s">
        <v>2005</v>
      </c>
      <c r="F84" s="43" t="s">
        <v>2008</v>
      </c>
      <c r="G84" s="43" t="s">
        <v>2009</v>
      </c>
      <c r="H84" s="50">
        <v>1.5719000000000001</v>
      </c>
      <c r="I84" s="50">
        <v>1.2981</v>
      </c>
      <c r="J84" s="50">
        <v>1.9034</v>
      </c>
      <c r="K84" s="50">
        <v>3.6087818840431881E-6</v>
      </c>
      <c r="L84" s="6">
        <v>453850</v>
      </c>
      <c r="M84" s="57">
        <v>21314</v>
      </c>
      <c r="N84" s="57"/>
      <c r="O84" s="57"/>
      <c r="P84" s="57"/>
      <c r="Q84" s="57"/>
      <c r="R84" s="57"/>
      <c r="S84" s="57"/>
      <c r="T84" s="57"/>
      <c r="U84" s="57"/>
    </row>
    <row r="85" spans="1:21" ht="18" customHeight="1" x14ac:dyDescent="0.15">
      <c r="A85" s="5" t="s">
        <v>2014</v>
      </c>
      <c r="B85" s="6" t="s">
        <v>2005</v>
      </c>
      <c r="C85" s="6" t="s">
        <v>2019</v>
      </c>
      <c r="D85" s="8" t="s">
        <v>2038</v>
      </c>
      <c r="E85" s="8" t="s">
        <v>2005</v>
      </c>
      <c r="F85" s="43" t="s">
        <v>2008</v>
      </c>
      <c r="G85" s="43" t="s">
        <v>1816</v>
      </c>
      <c r="H85" s="50">
        <v>3.6456</v>
      </c>
      <c r="I85" s="50">
        <v>2.81</v>
      </c>
      <c r="J85" s="50">
        <v>4.7298999999999998</v>
      </c>
      <c r="K85" s="50">
        <v>2.0844904258779739E-22</v>
      </c>
      <c r="L85" s="6">
        <v>451245</v>
      </c>
      <c r="M85" s="57">
        <v>2232</v>
      </c>
      <c r="N85" s="57"/>
      <c r="O85" s="57"/>
      <c r="P85" s="57"/>
      <c r="Q85" s="57"/>
      <c r="R85" s="57"/>
      <c r="S85" s="57"/>
      <c r="T85" s="57"/>
      <c r="U85" s="57"/>
    </row>
    <row r="86" spans="1:21" ht="18" customHeight="1" x14ac:dyDescent="0.15">
      <c r="A86" s="5" t="s">
        <v>2014</v>
      </c>
      <c r="B86" s="6" t="s">
        <v>2005</v>
      </c>
      <c r="C86" s="6" t="s">
        <v>2020</v>
      </c>
      <c r="D86" s="8" t="s">
        <v>2038</v>
      </c>
      <c r="E86" s="8" t="s">
        <v>2005</v>
      </c>
      <c r="F86" s="43" t="s">
        <v>2008</v>
      </c>
      <c r="G86" s="43" t="s">
        <v>2009</v>
      </c>
      <c r="H86" s="50">
        <v>1.7755000000000001</v>
      </c>
      <c r="I86" s="50">
        <v>1.5597000000000001</v>
      </c>
      <c r="J86" s="50">
        <v>2.0211999999999999</v>
      </c>
      <c r="K86" s="50">
        <v>3.8900715454187597E-18</v>
      </c>
      <c r="L86" s="6">
        <v>451245</v>
      </c>
      <c r="M86" s="57">
        <v>21246</v>
      </c>
      <c r="N86" s="57"/>
      <c r="O86" s="57"/>
      <c r="P86" s="57"/>
      <c r="Q86" s="57"/>
      <c r="R86" s="57"/>
      <c r="S86" s="57"/>
      <c r="T86" s="57"/>
      <c r="U86" s="57"/>
    </row>
    <row r="87" spans="1:21" ht="18" customHeight="1" x14ac:dyDescent="0.15">
      <c r="A87" s="5" t="s">
        <v>2021</v>
      </c>
      <c r="B87" s="6" t="s">
        <v>2005</v>
      </c>
      <c r="C87" s="6" t="s">
        <v>2022</v>
      </c>
      <c r="D87" s="8" t="s">
        <v>2038</v>
      </c>
      <c r="E87" s="8" t="s">
        <v>2005</v>
      </c>
      <c r="F87" s="43" t="s">
        <v>2008</v>
      </c>
      <c r="G87" s="43" t="s">
        <v>2009</v>
      </c>
      <c r="H87" s="50">
        <v>1.9286000000000001</v>
      </c>
      <c r="I87" s="50">
        <v>0.82179999999999997</v>
      </c>
      <c r="J87" s="50">
        <v>4.5263</v>
      </c>
      <c r="K87" s="50">
        <v>0.1313119338703933</v>
      </c>
      <c r="L87" s="6">
        <v>4654</v>
      </c>
      <c r="M87" s="57">
        <v>320</v>
      </c>
      <c r="N87" s="57"/>
      <c r="O87" s="57"/>
      <c r="P87" s="57"/>
      <c r="Q87" s="57"/>
      <c r="R87" s="57"/>
      <c r="S87" s="57"/>
      <c r="T87" s="57" t="s">
        <v>2023</v>
      </c>
      <c r="U87" s="57" t="s">
        <v>2024</v>
      </c>
    </row>
    <row r="88" spans="1:21" ht="18" customHeight="1" x14ac:dyDescent="0.15">
      <c r="A88" s="5" t="s">
        <v>2021</v>
      </c>
      <c r="B88" s="6" t="s">
        <v>2005</v>
      </c>
      <c r="C88" s="6" t="s">
        <v>2022</v>
      </c>
      <c r="D88" s="8" t="s">
        <v>2038</v>
      </c>
      <c r="E88" s="8" t="s">
        <v>2005</v>
      </c>
      <c r="F88" s="43" t="s">
        <v>2008</v>
      </c>
      <c r="G88" s="43" t="s">
        <v>2009</v>
      </c>
      <c r="H88" s="50">
        <v>1.9537</v>
      </c>
      <c r="I88" s="50">
        <v>1.5511999999999999</v>
      </c>
      <c r="J88" s="50">
        <v>2.4607000000000001</v>
      </c>
      <c r="K88" s="50">
        <v>1.273614968166856E-8</v>
      </c>
      <c r="L88" s="6">
        <v>320971</v>
      </c>
      <c r="M88" s="57">
        <v>7227</v>
      </c>
      <c r="N88" s="57"/>
      <c r="O88" s="57"/>
      <c r="P88" s="57"/>
      <c r="Q88" s="57"/>
      <c r="R88" s="57"/>
      <c r="S88" s="57"/>
      <c r="T88" s="57" t="s">
        <v>2023</v>
      </c>
      <c r="U88" s="57" t="s">
        <v>2025</v>
      </c>
    </row>
    <row r="89" spans="1:21" ht="18" customHeight="1" x14ac:dyDescent="0.15">
      <c r="A89" s="5" t="s">
        <v>2021</v>
      </c>
      <c r="B89" s="6" t="s">
        <v>2005</v>
      </c>
      <c r="C89" s="6" t="s">
        <v>2022</v>
      </c>
      <c r="D89" s="8" t="s">
        <v>2038</v>
      </c>
      <c r="E89" s="8" t="s">
        <v>2005</v>
      </c>
      <c r="F89" s="43" t="s">
        <v>2008</v>
      </c>
      <c r="G89" s="43" t="s">
        <v>2009</v>
      </c>
      <c r="H89" s="50">
        <v>1.5589999999999999</v>
      </c>
      <c r="I89" s="50">
        <v>1.3360000000000001</v>
      </c>
      <c r="J89" s="50">
        <v>1.8191999999999999</v>
      </c>
      <c r="K89" s="50">
        <v>1.7158924149625059E-8</v>
      </c>
      <c r="L89" s="6">
        <v>128225</v>
      </c>
      <c r="M89" s="57">
        <v>13767</v>
      </c>
      <c r="N89" s="57"/>
      <c r="O89" s="57"/>
      <c r="P89" s="57"/>
      <c r="Q89" s="57"/>
      <c r="R89" s="57"/>
      <c r="S89" s="57"/>
      <c r="T89" s="57" t="s">
        <v>2023</v>
      </c>
      <c r="U89" s="57" t="s">
        <v>2026</v>
      </c>
    </row>
    <row r="90" spans="1:21" ht="18" customHeight="1" x14ac:dyDescent="0.15">
      <c r="A90" s="5" t="s">
        <v>2021</v>
      </c>
      <c r="B90" s="6" t="s">
        <v>2005</v>
      </c>
      <c r="C90" s="6" t="s">
        <v>2022</v>
      </c>
      <c r="D90" s="8" t="s">
        <v>2038</v>
      </c>
      <c r="E90" s="8" t="s">
        <v>2005</v>
      </c>
      <c r="F90" s="43" t="s">
        <v>2008</v>
      </c>
      <c r="G90" s="43" t="s">
        <v>2009</v>
      </c>
      <c r="H90" s="50">
        <v>1.5838000000000001</v>
      </c>
      <c r="I90" s="50">
        <v>0.50649999999999995</v>
      </c>
      <c r="J90" s="50">
        <v>4.9527999999999999</v>
      </c>
      <c r="K90" s="50">
        <v>0.42922822440518371</v>
      </c>
      <c r="L90" s="6">
        <v>3163</v>
      </c>
      <c r="M90" s="57">
        <v>304</v>
      </c>
      <c r="N90" s="57"/>
      <c r="O90" s="57"/>
      <c r="P90" s="57"/>
      <c r="Q90" s="57"/>
      <c r="R90" s="57"/>
      <c r="S90" s="57"/>
      <c r="T90" s="57" t="s">
        <v>2027</v>
      </c>
      <c r="U90" s="57" t="s">
        <v>2024</v>
      </c>
    </row>
    <row r="91" spans="1:21" ht="18" customHeight="1" x14ac:dyDescent="0.15">
      <c r="A91" s="5" t="s">
        <v>2021</v>
      </c>
      <c r="B91" s="6" t="s">
        <v>2005</v>
      </c>
      <c r="C91" s="6" t="s">
        <v>2022</v>
      </c>
      <c r="D91" s="8" t="s">
        <v>2038</v>
      </c>
      <c r="E91" s="8" t="s">
        <v>2005</v>
      </c>
      <c r="F91" s="43" t="s">
        <v>2008</v>
      </c>
      <c r="G91" s="43" t="s">
        <v>2009</v>
      </c>
      <c r="H91" s="50">
        <v>1.7658</v>
      </c>
      <c r="I91" s="50">
        <v>1.5053000000000001</v>
      </c>
      <c r="J91" s="50">
        <v>2.0712000000000002</v>
      </c>
      <c r="K91" s="50">
        <v>2.8674499436372179E-12</v>
      </c>
      <c r="L91" s="6">
        <v>413474</v>
      </c>
      <c r="M91" s="57">
        <v>15606</v>
      </c>
      <c r="N91" s="57"/>
      <c r="O91" s="57"/>
      <c r="P91" s="57"/>
      <c r="Q91" s="57"/>
      <c r="R91" s="57"/>
      <c r="S91" s="57"/>
      <c r="T91" s="57" t="s">
        <v>2027</v>
      </c>
      <c r="U91" s="57" t="s">
        <v>2025</v>
      </c>
    </row>
    <row r="92" spans="1:21" ht="18" customHeight="1" x14ac:dyDescent="0.15">
      <c r="A92" s="5" t="s">
        <v>2021</v>
      </c>
      <c r="B92" s="6" t="s">
        <v>2005</v>
      </c>
      <c r="C92" s="6" t="s">
        <v>2022</v>
      </c>
      <c r="D92" s="8" t="s">
        <v>2038</v>
      </c>
      <c r="E92" s="8" t="s">
        <v>2005</v>
      </c>
      <c r="F92" s="43" t="s">
        <v>2008</v>
      </c>
      <c r="G92" s="43" t="s">
        <v>2009</v>
      </c>
      <c r="H92" s="50">
        <v>1.6132</v>
      </c>
      <c r="I92" s="50">
        <v>1.3067</v>
      </c>
      <c r="J92" s="50">
        <v>1.9916</v>
      </c>
      <c r="K92" s="50">
        <v>8.6376471978783741E-6</v>
      </c>
      <c r="L92" s="6">
        <v>37213</v>
      </c>
      <c r="M92" s="57">
        <v>5404</v>
      </c>
      <c r="N92" s="57"/>
      <c r="O92" s="57"/>
      <c r="P92" s="57"/>
      <c r="Q92" s="57"/>
      <c r="R92" s="57"/>
      <c r="S92" s="57"/>
      <c r="T92" s="57" t="s">
        <v>2027</v>
      </c>
      <c r="U92" s="57" t="s">
        <v>2026</v>
      </c>
    </row>
    <row r="93" spans="1:21" ht="18" customHeight="1" x14ac:dyDescent="0.15">
      <c r="A93" s="5" t="s">
        <v>2021</v>
      </c>
      <c r="B93" s="6" t="s">
        <v>2005</v>
      </c>
      <c r="C93" s="6" t="s">
        <v>2022</v>
      </c>
      <c r="D93" s="8" t="s">
        <v>2038</v>
      </c>
      <c r="E93" s="8" t="s">
        <v>2005</v>
      </c>
      <c r="F93" s="43" t="s">
        <v>2008</v>
      </c>
      <c r="G93" s="43" t="s">
        <v>2009</v>
      </c>
      <c r="H93" s="50">
        <v>1.7391000000000001</v>
      </c>
      <c r="I93" s="50">
        <v>1.4961</v>
      </c>
      <c r="J93" s="50">
        <v>2.0217000000000001</v>
      </c>
      <c r="K93" s="50">
        <v>5.8090139876853676E-13</v>
      </c>
      <c r="L93" s="6">
        <v>294479</v>
      </c>
      <c r="M93" s="57">
        <v>16787</v>
      </c>
      <c r="N93" s="57"/>
      <c r="O93" s="57"/>
      <c r="P93" s="57"/>
      <c r="Q93" s="57"/>
      <c r="R93" s="57"/>
      <c r="S93" s="57"/>
      <c r="T93" s="57" t="s">
        <v>2028</v>
      </c>
      <c r="U93" s="57" t="s">
        <v>2029</v>
      </c>
    </row>
    <row r="94" spans="1:21" ht="18" customHeight="1" x14ac:dyDescent="0.15">
      <c r="A94" s="5" t="s">
        <v>2021</v>
      </c>
      <c r="B94" s="6" t="s">
        <v>2005</v>
      </c>
      <c r="C94" s="6" t="s">
        <v>2022</v>
      </c>
      <c r="D94" s="8" t="s">
        <v>2038</v>
      </c>
      <c r="E94" s="8" t="s">
        <v>2005</v>
      </c>
      <c r="F94" s="43" t="s">
        <v>2008</v>
      </c>
      <c r="G94" s="43" t="s">
        <v>2009</v>
      </c>
      <c r="H94" s="50">
        <v>2.3942999999999999</v>
      </c>
      <c r="I94" s="50">
        <v>1.8687</v>
      </c>
      <c r="J94" s="50">
        <v>3.0676000000000001</v>
      </c>
      <c r="K94" s="50">
        <v>5.0084973682809452E-12</v>
      </c>
      <c r="L94" s="6">
        <v>159371</v>
      </c>
      <c r="M94" s="57">
        <v>4527</v>
      </c>
      <c r="N94" s="57"/>
      <c r="O94" s="57"/>
      <c r="P94" s="57"/>
      <c r="Q94" s="57"/>
      <c r="R94" s="57"/>
      <c r="S94" s="57"/>
      <c r="T94" s="57" t="s">
        <v>2028</v>
      </c>
      <c r="U94" s="57" t="s">
        <v>2030</v>
      </c>
    </row>
    <row r="95" spans="1:21" ht="18" customHeight="1" x14ac:dyDescent="0.15">
      <c r="A95" s="5" t="s">
        <v>2004</v>
      </c>
      <c r="B95" s="6" t="s">
        <v>2005</v>
      </c>
      <c r="C95" s="6" t="s">
        <v>2006</v>
      </c>
      <c r="D95" s="8" t="s">
        <v>2039</v>
      </c>
      <c r="E95" s="8" t="s">
        <v>2005</v>
      </c>
      <c r="F95" s="43" t="s">
        <v>2008</v>
      </c>
      <c r="G95" s="43" t="s">
        <v>2009</v>
      </c>
      <c r="H95" s="50">
        <v>1.6732</v>
      </c>
      <c r="I95" s="50"/>
      <c r="J95" s="50"/>
      <c r="K95" s="50"/>
      <c r="L95" s="6">
        <v>491541</v>
      </c>
      <c r="M95" s="57">
        <v>1214</v>
      </c>
      <c r="N95" s="57">
        <v>4667</v>
      </c>
      <c r="O95" s="57">
        <v>12</v>
      </c>
      <c r="P95" s="57">
        <v>40453.699999999997</v>
      </c>
      <c r="Q95" s="57">
        <v>1202</v>
      </c>
      <c r="R95" s="57">
        <v>6780161.9000000004</v>
      </c>
      <c r="S95" s="57">
        <v>1.6732</v>
      </c>
      <c r="T95" s="57"/>
      <c r="U95" s="57"/>
    </row>
    <row r="96" spans="1:21" ht="18" customHeight="1" x14ac:dyDescent="0.15">
      <c r="A96" s="5" t="s">
        <v>2004</v>
      </c>
      <c r="B96" s="6" t="s">
        <v>2005</v>
      </c>
      <c r="C96" s="6" t="s">
        <v>2010</v>
      </c>
      <c r="D96" s="8" t="s">
        <v>2039</v>
      </c>
      <c r="E96" s="8" t="s">
        <v>2005</v>
      </c>
      <c r="F96" s="43" t="s">
        <v>2008</v>
      </c>
      <c r="G96" s="43" t="s">
        <v>2009</v>
      </c>
      <c r="H96" s="50">
        <v>1.6732</v>
      </c>
      <c r="I96" s="50">
        <v>0.94840000000000002</v>
      </c>
      <c r="J96" s="50">
        <v>2.9521999999999999</v>
      </c>
      <c r="K96" s="50">
        <v>7.5573846622908294E-2</v>
      </c>
      <c r="L96" s="6">
        <v>491541</v>
      </c>
      <c r="M96" s="57">
        <v>1214</v>
      </c>
      <c r="N96" s="57">
        <v>4667</v>
      </c>
      <c r="O96" s="57">
        <v>12</v>
      </c>
      <c r="P96" s="57">
        <v>40453.699999999997</v>
      </c>
      <c r="Q96" s="57">
        <v>1202</v>
      </c>
      <c r="R96" s="57">
        <v>6780161.9000000004</v>
      </c>
      <c r="S96" s="57">
        <v>1.6732</v>
      </c>
      <c r="T96" s="57"/>
      <c r="U96" s="57"/>
    </row>
    <row r="97" spans="1:22" ht="18" customHeight="1" x14ac:dyDescent="0.15">
      <c r="A97" s="5" t="s">
        <v>2004</v>
      </c>
      <c r="B97" s="6" t="s">
        <v>2005</v>
      </c>
      <c r="C97" s="6" t="s">
        <v>2011</v>
      </c>
      <c r="D97" s="8" t="s">
        <v>2039</v>
      </c>
      <c r="E97" s="8" t="s">
        <v>2005</v>
      </c>
      <c r="F97" s="43" t="s">
        <v>2008</v>
      </c>
      <c r="G97" s="43" t="s">
        <v>2009</v>
      </c>
      <c r="H97" s="50">
        <v>1.6446000000000001</v>
      </c>
      <c r="I97" s="50">
        <v>0.93200000000000005</v>
      </c>
      <c r="J97" s="50">
        <v>2.9018000000000002</v>
      </c>
      <c r="K97" s="50">
        <v>8.5966027594869432E-2</v>
      </c>
      <c r="L97" s="6">
        <v>491541</v>
      </c>
      <c r="M97" s="57">
        <v>1214</v>
      </c>
      <c r="N97" s="57">
        <v>4667</v>
      </c>
      <c r="O97" s="57">
        <v>12</v>
      </c>
      <c r="P97" s="57">
        <v>40453.699999999997</v>
      </c>
      <c r="Q97" s="57">
        <v>1202</v>
      </c>
      <c r="R97" s="57">
        <v>6780161.9000000004</v>
      </c>
      <c r="S97" s="57">
        <v>1.6732</v>
      </c>
      <c r="T97" s="57"/>
      <c r="U97" s="57"/>
    </row>
    <row r="98" spans="1:22" ht="18" customHeight="1" x14ac:dyDescent="0.15">
      <c r="A98" s="5" t="s">
        <v>2004</v>
      </c>
      <c r="B98" s="6" t="s">
        <v>2005</v>
      </c>
      <c r="C98" s="6" t="s">
        <v>2012</v>
      </c>
      <c r="D98" s="8" t="s">
        <v>2039</v>
      </c>
      <c r="E98" s="8" t="s">
        <v>2005</v>
      </c>
      <c r="F98" s="43" t="s">
        <v>2008</v>
      </c>
      <c r="G98" s="43" t="s">
        <v>2009</v>
      </c>
      <c r="H98" s="50">
        <v>1.5449999999999999</v>
      </c>
      <c r="I98" s="50">
        <v>0.876</v>
      </c>
      <c r="J98" s="50">
        <v>2.7250000000000001</v>
      </c>
      <c r="K98" s="50">
        <v>0.13290411968939381</v>
      </c>
      <c r="L98" s="6">
        <v>491541</v>
      </c>
      <c r="M98" s="57">
        <v>1214</v>
      </c>
      <c r="N98" s="57">
        <v>4667</v>
      </c>
      <c r="O98" s="57">
        <v>12</v>
      </c>
      <c r="P98" s="57">
        <v>40453.699999999997</v>
      </c>
      <c r="Q98" s="57">
        <v>1202</v>
      </c>
      <c r="R98" s="57">
        <v>6780161.9000000004</v>
      </c>
      <c r="S98" s="57">
        <v>1.6732</v>
      </c>
      <c r="T98" s="57"/>
      <c r="U98" s="57"/>
    </row>
    <row r="99" spans="1:22" ht="18" customHeight="1" x14ac:dyDescent="0.15">
      <c r="A99" s="5" t="s">
        <v>2004</v>
      </c>
      <c r="B99" s="6" t="s">
        <v>2005</v>
      </c>
      <c r="C99" s="6" t="s">
        <v>2013</v>
      </c>
      <c r="D99" s="8" t="s">
        <v>2039</v>
      </c>
      <c r="E99" s="8" t="s">
        <v>2005</v>
      </c>
      <c r="F99" s="43" t="s">
        <v>2008</v>
      </c>
      <c r="G99" s="43" t="s">
        <v>2009</v>
      </c>
      <c r="H99" s="50">
        <v>1.3194999999999999</v>
      </c>
      <c r="I99" s="50">
        <v>0.74470000000000003</v>
      </c>
      <c r="J99" s="50">
        <v>2.3382000000000001</v>
      </c>
      <c r="K99" s="50">
        <v>0.34212161094677451</v>
      </c>
      <c r="L99" s="6">
        <v>491541</v>
      </c>
      <c r="M99" s="57">
        <v>1214</v>
      </c>
      <c r="N99" s="57">
        <v>4667</v>
      </c>
      <c r="O99" s="57">
        <v>12</v>
      </c>
      <c r="P99" s="57">
        <v>40453.699999999997</v>
      </c>
      <c r="Q99" s="57">
        <v>1202</v>
      </c>
      <c r="R99" s="57">
        <v>6780161.9000000004</v>
      </c>
      <c r="S99" s="57">
        <v>1.6732</v>
      </c>
      <c r="T99" s="57"/>
      <c r="U99" s="57"/>
    </row>
    <row r="100" spans="1:22" ht="18" customHeight="1" x14ac:dyDescent="0.15">
      <c r="A100" s="5" t="s">
        <v>2014</v>
      </c>
      <c r="B100" s="6" t="s">
        <v>2005</v>
      </c>
      <c r="C100" s="6" t="s">
        <v>2015</v>
      </c>
      <c r="D100" s="8" t="s">
        <v>2039</v>
      </c>
      <c r="E100" s="8" t="s">
        <v>2005</v>
      </c>
      <c r="F100" s="43" t="s">
        <v>2008</v>
      </c>
      <c r="G100" s="43" t="s">
        <v>2009</v>
      </c>
      <c r="H100" s="50">
        <v>1.6732</v>
      </c>
      <c r="I100" s="50">
        <v>0.94840000000000002</v>
      </c>
      <c r="J100" s="50">
        <v>2.9521999999999999</v>
      </c>
      <c r="K100" s="50">
        <v>7.5573846622908294E-2</v>
      </c>
      <c r="L100" s="6">
        <v>491541</v>
      </c>
      <c r="M100" s="57">
        <v>1214</v>
      </c>
      <c r="N100" s="57"/>
      <c r="O100" s="57"/>
      <c r="P100" s="57"/>
      <c r="Q100" s="57"/>
      <c r="R100" s="57"/>
      <c r="S100" s="57"/>
      <c r="T100" s="57"/>
      <c r="U100" s="57"/>
    </row>
    <row r="101" spans="1:22" ht="18" customHeight="1" x14ac:dyDescent="0.15">
      <c r="A101" s="5" t="s">
        <v>2014</v>
      </c>
      <c r="B101" s="6" t="s">
        <v>2005</v>
      </c>
      <c r="C101" s="6" t="s">
        <v>2016</v>
      </c>
      <c r="D101" s="8" t="s">
        <v>2039</v>
      </c>
      <c r="E101" s="8" t="s">
        <v>2005</v>
      </c>
      <c r="F101" s="43" t="s">
        <v>2008</v>
      </c>
      <c r="G101" s="43" t="s">
        <v>2009</v>
      </c>
      <c r="H101" s="50">
        <v>1.6446000000000001</v>
      </c>
      <c r="I101" s="50">
        <v>0.93200000000000005</v>
      </c>
      <c r="J101" s="50">
        <v>2.9018000000000002</v>
      </c>
      <c r="K101" s="50">
        <v>8.5966027594869432E-2</v>
      </c>
      <c r="L101" s="6">
        <v>491541</v>
      </c>
      <c r="M101" s="57">
        <v>1214</v>
      </c>
      <c r="N101" s="57"/>
      <c r="O101" s="57"/>
      <c r="P101" s="57"/>
      <c r="Q101" s="57"/>
      <c r="R101" s="57"/>
      <c r="S101" s="57"/>
      <c r="T101" s="57"/>
      <c r="U101" s="57"/>
    </row>
    <row r="102" spans="1:22" ht="18" customHeight="1" x14ac:dyDescent="0.15">
      <c r="A102" s="5" t="s">
        <v>2014</v>
      </c>
      <c r="B102" s="6" t="s">
        <v>2005</v>
      </c>
      <c r="C102" s="6" t="s">
        <v>2017</v>
      </c>
      <c r="D102" s="8" t="s">
        <v>2039</v>
      </c>
      <c r="E102" s="8" t="s">
        <v>2005</v>
      </c>
      <c r="F102" s="43" t="s">
        <v>2008</v>
      </c>
      <c r="G102" s="43" t="s">
        <v>2009</v>
      </c>
      <c r="H102" s="50">
        <v>1.2189000000000001</v>
      </c>
      <c r="I102" s="50">
        <v>0.69189999999999996</v>
      </c>
      <c r="J102" s="50">
        <v>2.1474000000000002</v>
      </c>
      <c r="K102" s="50">
        <v>0.49331790529419062</v>
      </c>
      <c r="L102" s="6">
        <v>491541</v>
      </c>
      <c r="M102" s="57">
        <v>1214</v>
      </c>
      <c r="N102" s="57"/>
      <c r="O102" s="57"/>
      <c r="P102" s="57"/>
      <c r="Q102" s="57"/>
      <c r="R102" s="57"/>
      <c r="S102" s="57"/>
      <c r="T102" s="57"/>
      <c r="U102" s="57"/>
    </row>
    <row r="103" spans="1:22" ht="18" customHeight="1" x14ac:dyDescent="0.15">
      <c r="A103" s="5" t="s">
        <v>2014</v>
      </c>
      <c r="B103" s="6" t="s">
        <v>2005</v>
      </c>
      <c r="C103" s="6" t="s">
        <v>2018</v>
      </c>
      <c r="D103" s="8" t="s">
        <v>2039</v>
      </c>
      <c r="E103" s="8" t="s">
        <v>2005</v>
      </c>
      <c r="F103" s="43" t="s">
        <v>2008</v>
      </c>
      <c r="G103" s="43" t="s">
        <v>2009</v>
      </c>
      <c r="H103" s="50">
        <v>1.022</v>
      </c>
      <c r="I103" s="50">
        <v>0.38319999999999999</v>
      </c>
      <c r="J103" s="50">
        <v>2.7252999999999998</v>
      </c>
      <c r="K103" s="50">
        <v>0.96534288824354875</v>
      </c>
      <c r="L103" s="6">
        <v>491541</v>
      </c>
      <c r="M103" s="57">
        <v>1214</v>
      </c>
      <c r="N103" s="57"/>
      <c r="O103" s="57"/>
      <c r="P103" s="57"/>
      <c r="Q103" s="57"/>
      <c r="R103" s="57"/>
      <c r="S103" s="57"/>
      <c r="T103" s="57"/>
      <c r="U103" s="57"/>
    </row>
    <row r="104" spans="1:22" ht="18" customHeight="1" x14ac:dyDescent="0.15">
      <c r="A104" s="5" t="s">
        <v>2014</v>
      </c>
      <c r="B104" s="6" t="s">
        <v>2005</v>
      </c>
      <c r="C104" s="6" t="s">
        <v>2019</v>
      </c>
      <c r="D104" s="8" t="s">
        <v>2039</v>
      </c>
      <c r="E104" s="8" t="s">
        <v>2005</v>
      </c>
      <c r="F104" s="43" t="s">
        <v>2008</v>
      </c>
      <c r="G104" s="43" t="s">
        <v>1816</v>
      </c>
      <c r="H104" s="50">
        <v>2.016</v>
      </c>
      <c r="I104" s="50">
        <v>0.83020000000000005</v>
      </c>
      <c r="J104" s="50">
        <v>4.8952999999999998</v>
      </c>
      <c r="K104" s="50">
        <v>0.1213903769561737</v>
      </c>
      <c r="L104" s="6">
        <v>488629</v>
      </c>
      <c r="M104" s="57">
        <v>300</v>
      </c>
      <c r="N104" s="57"/>
      <c r="O104" s="57"/>
      <c r="P104" s="57"/>
      <c r="Q104" s="57"/>
      <c r="R104" s="57"/>
      <c r="S104" s="57"/>
      <c r="T104" s="57"/>
      <c r="U104" s="57"/>
      <c r="V104" t="s">
        <v>2036</v>
      </c>
    </row>
    <row r="105" spans="1:22" ht="18" customHeight="1" x14ac:dyDescent="0.15">
      <c r="A105" s="5" t="s">
        <v>2014</v>
      </c>
      <c r="B105" s="6" t="s">
        <v>2005</v>
      </c>
      <c r="C105" s="6" t="s">
        <v>2020</v>
      </c>
      <c r="D105" s="8" t="s">
        <v>2039</v>
      </c>
      <c r="E105" s="8" t="s">
        <v>2005</v>
      </c>
      <c r="F105" s="43" t="s">
        <v>2008</v>
      </c>
      <c r="G105" s="43" t="s">
        <v>2009</v>
      </c>
      <c r="H105" s="50">
        <v>1.5637000000000001</v>
      </c>
      <c r="I105" s="50">
        <v>0.88660000000000005</v>
      </c>
      <c r="J105" s="50">
        <v>2.7578</v>
      </c>
      <c r="K105" s="50">
        <v>0.1225514779477228</v>
      </c>
      <c r="L105" s="6">
        <v>488629</v>
      </c>
      <c r="M105" s="57">
        <v>1209</v>
      </c>
      <c r="N105" s="57"/>
      <c r="O105" s="57"/>
      <c r="P105" s="57"/>
      <c r="Q105" s="57"/>
      <c r="R105" s="57"/>
      <c r="S105" s="57"/>
      <c r="T105" s="57"/>
      <c r="U105" s="57"/>
    </row>
    <row r="106" spans="1:22" ht="18" customHeight="1" x14ac:dyDescent="0.15">
      <c r="A106" s="5" t="s">
        <v>2021</v>
      </c>
      <c r="B106" s="6" t="s">
        <v>2005</v>
      </c>
      <c r="C106" s="6" t="s">
        <v>2022</v>
      </c>
      <c r="D106" s="8" t="s">
        <v>2039</v>
      </c>
      <c r="E106" s="8" t="s">
        <v>2005</v>
      </c>
      <c r="F106" s="43" t="s">
        <v>2008</v>
      </c>
      <c r="G106" s="43" t="s">
        <v>2009</v>
      </c>
      <c r="H106" s="50">
        <v>15.5534</v>
      </c>
      <c r="I106" s="50">
        <v>1.5376000000000001</v>
      </c>
      <c r="J106" s="50">
        <v>157.32769999999999</v>
      </c>
      <c r="K106" s="50">
        <v>2.0106128178053951E-2</v>
      </c>
      <c r="L106" s="6">
        <v>4903</v>
      </c>
      <c r="M106" s="57">
        <v>9</v>
      </c>
      <c r="N106" s="57"/>
      <c r="O106" s="57"/>
      <c r="P106" s="57"/>
      <c r="Q106" s="57"/>
      <c r="R106" s="57"/>
      <c r="S106" s="57"/>
      <c r="T106" s="57" t="s">
        <v>2023</v>
      </c>
      <c r="U106" s="57" t="s">
        <v>2024</v>
      </c>
      <c r="V106" t="s">
        <v>2037</v>
      </c>
    </row>
    <row r="107" spans="1:22" ht="18" customHeight="1" x14ac:dyDescent="0.15">
      <c r="A107" s="5" t="s">
        <v>2021</v>
      </c>
      <c r="B107" s="6" t="s">
        <v>2005</v>
      </c>
      <c r="C107" s="6" t="s">
        <v>2022</v>
      </c>
      <c r="D107" s="8" t="s">
        <v>2039</v>
      </c>
      <c r="E107" s="8" t="s">
        <v>2005</v>
      </c>
      <c r="F107" s="43" t="s">
        <v>2008</v>
      </c>
      <c r="G107" s="43" t="s">
        <v>2009</v>
      </c>
      <c r="H107" s="50">
        <v>2.8418999999999999</v>
      </c>
      <c r="I107" s="50">
        <v>0.70099999999999996</v>
      </c>
      <c r="J107" s="50">
        <v>11.520799999999999</v>
      </c>
      <c r="K107" s="50">
        <v>0.1435887580549548</v>
      </c>
      <c r="L107" s="6">
        <v>323197</v>
      </c>
      <c r="M107" s="57">
        <v>143</v>
      </c>
      <c r="N107" s="57"/>
      <c r="O107" s="57"/>
      <c r="P107" s="57"/>
      <c r="Q107" s="57"/>
      <c r="R107" s="57"/>
      <c r="S107" s="57"/>
      <c r="T107" s="57" t="s">
        <v>2023</v>
      </c>
      <c r="U107" s="57" t="s">
        <v>2025</v>
      </c>
      <c r="V107" t="s">
        <v>2037</v>
      </c>
    </row>
    <row r="108" spans="1:22" ht="18" customHeight="1" x14ac:dyDescent="0.15">
      <c r="A108" s="5" t="s">
        <v>2021</v>
      </c>
      <c r="B108" s="6" t="s">
        <v>2005</v>
      </c>
      <c r="C108" s="6" t="s">
        <v>2022</v>
      </c>
      <c r="D108" s="8" t="s">
        <v>2039</v>
      </c>
      <c r="E108" s="8" t="s">
        <v>2005</v>
      </c>
      <c r="F108" s="43" t="s">
        <v>2008</v>
      </c>
      <c r="G108" s="43" t="s">
        <v>2009</v>
      </c>
      <c r="H108" s="50">
        <v>1.1257999999999999</v>
      </c>
      <c r="I108" s="50">
        <v>0.58509999999999995</v>
      </c>
      <c r="J108" s="50">
        <v>2.1661000000000001</v>
      </c>
      <c r="K108" s="50">
        <v>0.7227917428669316</v>
      </c>
      <c r="L108" s="6">
        <v>163441</v>
      </c>
      <c r="M108" s="57">
        <v>1062</v>
      </c>
      <c r="N108" s="57"/>
      <c r="O108" s="57"/>
      <c r="P108" s="57"/>
      <c r="Q108" s="57"/>
      <c r="R108" s="57"/>
      <c r="S108" s="57"/>
      <c r="T108" s="57" t="s">
        <v>2023</v>
      </c>
      <c r="U108" s="57" t="s">
        <v>2026</v>
      </c>
      <c r="V108" t="s">
        <v>2037</v>
      </c>
    </row>
    <row r="109" spans="1:22" ht="18" customHeight="1" x14ac:dyDescent="0.15">
      <c r="A109" s="5" t="s">
        <v>2021</v>
      </c>
      <c r="B109" s="6" t="s">
        <v>2005</v>
      </c>
      <c r="C109" s="6" t="s">
        <v>2022</v>
      </c>
      <c r="D109" s="8" t="s">
        <v>2039</v>
      </c>
      <c r="E109" s="8" t="s">
        <v>2005</v>
      </c>
      <c r="F109" s="43" t="s">
        <v>2008</v>
      </c>
      <c r="G109" s="43" t="s">
        <v>2009</v>
      </c>
      <c r="H109" s="50"/>
      <c r="I109" s="50"/>
      <c r="J109" s="50"/>
      <c r="K109" s="50"/>
      <c r="L109" s="6">
        <v>3582</v>
      </c>
      <c r="M109" s="57">
        <v>11</v>
      </c>
      <c r="N109" s="57"/>
      <c r="O109" s="57"/>
      <c r="P109" s="57"/>
      <c r="Q109" s="57"/>
      <c r="R109" s="57"/>
      <c r="S109" s="57"/>
      <c r="T109" s="57" t="s">
        <v>2027</v>
      </c>
      <c r="U109" s="57" t="s">
        <v>2024</v>
      </c>
      <c r="V109" t="s">
        <v>2037</v>
      </c>
    </row>
    <row r="110" spans="1:22" ht="18" customHeight="1" x14ac:dyDescent="0.15">
      <c r="A110" s="5" t="s">
        <v>2021</v>
      </c>
      <c r="B110" s="6" t="s">
        <v>2005</v>
      </c>
      <c r="C110" s="6" t="s">
        <v>2022</v>
      </c>
      <c r="D110" s="8" t="s">
        <v>2039</v>
      </c>
      <c r="E110" s="8" t="s">
        <v>2005</v>
      </c>
      <c r="F110" s="43" t="s">
        <v>2008</v>
      </c>
      <c r="G110" s="43" t="s">
        <v>2009</v>
      </c>
      <c r="H110" s="50">
        <v>1.3794999999999999</v>
      </c>
      <c r="I110" s="50">
        <v>0.51580000000000004</v>
      </c>
      <c r="J110" s="50">
        <v>3.6892</v>
      </c>
      <c r="K110" s="50">
        <v>0.52148595137132969</v>
      </c>
      <c r="L110" s="6">
        <v>433127</v>
      </c>
      <c r="M110" s="57">
        <v>519</v>
      </c>
      <c r="N110" s="57"/>
      <c r="O110" s="57"/>
      <c r="P110" s="57"/>
      <c r="Q110" s="57"/>
      <c r="R110" s="57"/>
      <c r="S110" s="57"/>
      <c r="T110" s="57" t="s">
        <v>2027</v>
      </c>
      <c r="U110" s="57" t="s">
        <v>2025</v>
      </c>
      <c r="V110" t="s">
        <v>2037</v>
      </c>
    </row>
    <row r="111" spans="1:22" ht="18" customHeight="1" x14ac:dyDescent="0.15">
      <c r="A111" s="5" t="s">
        <v>2021</v>
      </c>
      <c r="B111" s="6" t="s">
        <v>2005</v>
      </c>
      <c r="C111" s="6" t="s">
        <v>2022</v>
      </c>
      <c r="D111" s="8" t="s">
        <v>2039</v>
      </c>
      <c r="E111" s="8" t="s">
        <v>2005</v>
      </c>
      <c r="F111" s="43" t="s">
        <v>2008</v>
      </c>
      <c r="G111" s="43" t="s">
        <v>2009</v>
      </c>
      <c r="H111" s="50">
        <v>1.3351</v>
      </c>
      <c r="I111" s="50">
        <v>0.66710000000000003</v>
      </c>
      <c r="J111" s="50">
        <v>2.6718999999999999</v>
      </c>
      <c r="K111" s="50">
        <v>0.414253902734807</v>
      </c>
      <c r="L111" s="6">
        <v>54832</v>
      </c>
      <c r="M111" s="57">
        <v>684</v>
      </c>
      <c r="N111" s="57"/>
      <c r="O111" s="57"/>
      <c r="P111" s="57"/>
      <c r="Q111" s="57"/>
      <c r="R111" s="57"/>
      <c r="S111" s="57"/>
      <c r="T111" s="57" t="s">
        <v>2027</v>
      </c>
      <c r="U111" s="57" t="s">
        <v>2026</v>
      </c>
      <c r="V111" t="s">
        <v>2037</v>
      </c>
    </row>
    <row r="112" spans="1:22" ht="18" customHeight="1" x14ac:dyDescent="0.15">
      <c r="A112" s="5" t="s">
        <v>2021</v>
      </c>
      <c r="B112" s="6" t="s">
        <v>2005</v>
      </c>
      <c r="C112" s="6" t="s">
        <v>2022</v>
      </c>
      <c r="D112" s="8" t="s">
        <v>2039</v>
      </c>
      <c r="E112" s="8" t="s">
        <v>2005</v>
      </c>
      <c r="F112" s="43" t="s">
        <v>2008</v>
      </c>
      <c r="G112" s="43" t="s">
        <v>2009</v>
      </c>
      <c r="H112" s="50">
        <v>1.5616000000000001</v>
      </c>
      <c r="I112" s="50">
        <v>0.81120000000000003</v>
      </c>
      <c r="J112" s="50">
        <v>3.0059</v>
      </c>
      <c r="K112" s="50">
        <v>0.1822326001391861</v>
      </c>
      <c r="L112" s="6">
        <v>322950</v>
      </c>
      <c r="M112" s="57">
        <v>978</v>
      </c>
      <c r="N112" s="57"/>
      <c r="O112" s="57"/>
      <c r="P112" s="57"/>
      <c r="Q112" s="57"/>
      <c r="R112" s="57"/>
      <c r="S112" s="57"/>
      <c r="T112" s="57" t="s">
        <v>2028</v>
      </c>
      <c r="U112" s="57" t="s">
        <v>2029</v>
      </c>
      <c r="V112" t="s">
        <v>2037</v>
      </c>
    </row>
    <row r="113" spans="1:22" ht="18" customHeight="1" x14ac:dyDescent="0.15">
      <c r="A113" s="5" t="s">
        <v>2021</v>
      </c>
      <c r="B113" s="6" t="s">
        <v>2005</v>
      </c>
      <c r="C113" s="6" t="s">
        <v>2022</v>
      </c>
      <c r="D113" s="8" t="s">
        <v>2039</v>
      </c>
      <c r="E113" s="8" t="s">
        <v>2005</v>
      </c>
      <c r="F113" s="43" t="s">
        <v>2008</v>
      </c>
      <c r="G113" s="43" t="s">
        <v>2009</v>
      </c>
      <c r="H113" s="50">
        <v>2.0516000000000001</v>
      </c>
      <c r="I113" s="50">
        <v>0.65539999999999998</v>
      </c>
      <c r="J113" s="50">
        <v>6.4222999999999999</v>
      </c>
      <c r="K113" s="50">
        <v>0.21710921310529741</v>
      </c>
      <c r="L113" s="6">
        <v>168591</v>
      </c>
      <c r="M113" s="57">
        <v>236</v>
      </c>
      <c r="N113" s="57"/>
      <c r="O113" s="57"/>
      <c r="P113" s="57"/>
      <c r="Q113" s="57"/>
      <c r="R113" s="57"/>
      <c r="S113" s="57"/>
      <c r="T113" s="57" t="s">
        <v>2028</v>
      </c>
      <c r="U113" s="57" t="s">
        <v>2030</v>
      </c>
      <c r="V113" t="s">
        <v>2037</v>
      </c>
    </row>
    <row r="114" spans="1:22" ht="18" customHeight="1" x14ac:dyDescent="0.15">
      <c r="A114" s="5" t="s">
        <v>2004</v>
      </c>
      <c r="B114" s="6" t="s">
        <v>2005</v>
      </c>
      <c r="C114" s="6" t="s">
        <v>2006</v>
      </c>
      <c r="D114" s="8" t="s">
        <v>2040</v>
      </c>
      <c r="E114" s="8" t="s">
        <v>2005</v>
      </c>
      <c r="F114" s="43" t="s">
        <v>2008</v>
      </c>
      <c r="G114" s="43" t="s">
        <v>2009</v>
      </c>
      <c r="H114" s="50">
        <v>1.9036999999999999</v>
      </c>
      <c r="I114" s="50"/>
      <c r="J114" s="50"/>
      <c r="K114" s="50"/>
      <c r="L114" s="6">
        <v>493505</v>
      </c>
      <c r="M114" s="57">
        <v>265</v>
      </c>
      <c r="N114" s="57">
        <v>4731</v>
      </c>
      <c r="O114" s="57">
        <v>3</v>
      </c>
      <c r="P114" s="57">
        <v>40936.300000000003</v>
      </c>
      <c r="Q114" s="57">
        <v>262</v>
      </c>
      <c r="R114" s="57">
        <v>6806014.7999999998</v>
      </c>
      <c r="S114" s="57">
        <v>1.9036999999999999</v>
      </c>
      <c r="T114" s="57"/>
      <c r="U114" s="57"/>
    </row>
    <row r="115" spans="1:22" ht="18" customHeight="1" x14ac:dyDescent="0.15">
      <c r="A115" s="5" t="s">
        <v>2004</v>
      </c>
      <c r="B115" s="6" t="s">
        <v>2005</v>
      </c>
      <c r="C115" s="6" t="s">
        <v>2010</v>
      </c>
      <c r="D115" s="8" t="s">
        <v>2040</v>
      </c>
      <c r="E115" s="8" t="s">
        <v>2005</v>
      </c>
      <c r="F115" s="43" t="s">
        <v>2008</v>
      </c>
      <c r="G115" s="43" t="s">
        <v>2009</v>
      </c>
      <c r="H115" s="50">
        <v>1.9036999999999999</v>
      </c>
      <c r="I115" s="50">
        <v>0.61050000000000004</v>
      </c>
      <c r="J115" s="50">
        <v>5.9368999999999996</v>
      </c>
      <c r="K115" s="50">
        <v>0.26723654532624752</v>
      </c>
      <c r="L115" s="6">
        <v>493505</v>
      </c>
      <c r="M115" s="57">
        <v>265</v>
      </c>
      <c r="N115" s="57">
        <v>4731</v>
      </c>
      <c r="O115" s="57">
        <v>3</v>
      </c>
      <c r="P115" s="57">
        <v>40936.300000000003</v>
      </c>
      <c r="Q115" s="57">
        <v>262</v>
      </c>
      <c r="R115" s="57">
        <v>6806014.7999999998</v>
      </c>
      <c r="S115" s="57">
        <v>1.9036999999999999</v>
      </c>
      <c r="T115" s="57"/>
      <c r="U115" s="57"/>
    </row>
    <row r="116" spans="1:22" ht="18" customHeight="1" x14ac:dyDescent="0.15">
      <c r="A116" s="5" t="s">
        <v>2004</v>
      </c>
      <c r="B116" s="6" t="s">
        <v>2005</v>
      </c>
      <c r="C116" s="6" t="s">
        <v>2011</v>
      </c>
      <c r="D116" s="8" t="s">
        <v>2040</v>
      </c>
      <c r="E116" s="8" t="s">
        <v>2005</v>
      </c>
      <c r="F116" s="43" t="s">
        <v>2008</v>
      </c>
      <c r="G116" s="43" t="s">
        <v>2009</v>
      </c>
      <c r="H116" s="50">
        <v>1.8976999999999999</v>
      </c>
      <c r="I116" s="50">
        <v>0.60740000000000005</v>
      </c>
      <c r="J116" s="50">
        <v>5.9283999999999999</v>
      </c>
      <c r="K116" s="50">
        <v>0.27035028232832697</v>
      </c>
      <c r="L116" s="6">
        <v>493505</v>
      </c>
      <c r="M116" s="57">
        <v>265</v>
      </c>
      <c r="N116" s="57">
        <v>4731</v>
      </c>
      <c r="O116" s="57">
        <v>3</v>
      </c>
      <c r="P116" s="57">
        <v>40936.300000000003</v>
      </c>
      <c r="Q116" s="57">
        <v>262</v>
      </c>
      <c r="R116" s="57">
        <v>6806014.7999999998</v>
      </c>
      <c r="S116" s="57">
        <v>1.9036999999999999</v>
      </c>
      <c r="T116" s="57"/>
      <c r="U116" s="57"/>
    </row>
    <row r="117" spans="1:22" ht="18" customHeight="1" x14ac:dyDescent="0.15">
      <c r="A117" s="5" t="s">
        <v>2004</v>
      </c>
      <c r="B117" s="6" t="s">
        <v>2005</v>
      </c>
      <c r="C117" s="6" t="s">
        <v>2012</v>
      </c>
      <c r="D117" s="8" t="s">
        <v>2040</v>
      </c>
      <c r="E117" s="8" t="s">
        <v>2005</v>
      </c>
      <c r="F117" s="43" t="s">
        <v>2008</v>
      </c>
      <c r="G117" s="43" t="s">
        <v>2009</v>
      </c>
      <c r="H117" s="50">
        <v>1.7816000000000001</v>
      </c>
      <c r="I117" s="50">
        <v>0.56820000000000004</v>
      </c>
      <c r="J117" s="50">
        <v>5.5860000000000003</v>
      </c>
      <c r="K117" s="50">
        <v>0.32194022017938168</v>
      </c>
      <c r="L117" s="6">
        <v>493505</v>
      </c>
      <c r="M117" s="57">
        <v>265</v>
      </c>
      <c r="N117" s="57">
        <v>4731</v>
      </c>
      <c r="O117" s="57">
        <v>3</v>
      </c>
      <c r="P117" s="57">
        <v>40936.300000000003</v>
      </c>
      <c r="Q117" s="57">
        <v>262</v>
      </c>
      <c r="R117" s="57">
        <v>6806014.7999999998</v>
      </c>
      <c r="S117" s="57">
        <v>1.9036999999999999</v>
      </c>
      <c r="T117" s="57"/>
      <c r="U117" s="57"/>
    </row>
    <row r="118" spans="1:22" ht="18" customHeight="1" x14ac:dyDescent="0.15">
      <c r="A118" s="5" t="s">
        <v>2004</v>
      </c>
      <c r="B118" s="6" t="s">
        <v>2005</v>
      </c>
      <c r="C118" s="6" t="s">
        <v>2013</v>
      </c>
      <c r="D118" s="8" t="s">
        <v>2040</v>
      </c>
      <c r="E118" s="8" t="s">
        <v>2005</v>
      </c>
      <c r="F118" s="43" t="s">
        <v>2008</v>
      </c>
      <c r="G118" s="43" t="s">
        <v>2009</v>
      </c>
      <c r="H118" s="50">
        <v>1.3363</v>
      </c>
      <c r="I118" s="50">
        <v>0.42699999999999999</v>
      </c>
      <c r="J118" s="50">
        <v>4.1818</v>
      </c>
      <c r="K118" s="50">
        <v>0.61844272331873262</v>
      </c>
      <c r="L118" s="6">
        <v>493505</v>
      </c>
      <c r="M118" s="57">
        <v>265</v>
      </c>
      <c r="N118" s="57">
        <v>4731</v>
      </c>
      <c r="O118" s="57">
        <v>3</v>
      </c>
      <c r="P118" s="57">
        <v>40936.300000000003</v>
      </c>
      <c r="Q118" s="57">
        <v>262</v>
      </c>
      <c r="R118" s="57">
        <v>6806014.7999999998</v>
      </c>
      <c r="S118" s="57">
        <v>1.9036999999999999</v>
      </c>
      <c r="T118" s="57"/>
      <c r="U118" s="57"/>
    </row>
    <row r="119" spans="1:22" ht="18" customHeight="1" x14ac:dyDescent="0.15">
      <c r="A119" s="5" t="s">
        <v>2004</v>
      </c>
      <c r="B119" s="6" t="s">
        <v>2005</v>
      </c>
      <c r="C119" s="6" t="s">
        <v>2006</v>
      </c>
      <c r="D119" s="8" t="s">
        <v>2041</v>
      </c>
      <c r="E119" s="8" t="s">
        <v>2005</v>
      </c>
      <c r="F119" s="43" t="s">
        <v>2008</v>
      </c>
      <c r="G119" s="43" t="s">
        <v>2009</v>
      </c>
      <c r="H119" s="50"/>
      <c r="I119" s="50"/>
      <c r="J119" s="50"/>
      <c r="K119" s="50"/>
      <c r="L119" s="6">
        <v>494048</v>
      </c>
      <c r="M119" s="57">
        <v>85</v>
      </c>
      <c r="N119" s="57">
        <v>4745</v>
      </c>
      <c r="O119" s="57">
        <v>0</v>
      </c>
      <c r="P119" s="57">
        <v>41061.5</v>
      </c>
      <c r="Q119" s="57">
        <v>85</v>
      </c>
      <c r="R119" s="57">
        <v>6813201.4000000004</v>
      </c>
      <c r="S119" s="57"/>
      <c r="T119" s="57"/>
      <c r="U119" s="57"/>
    </row>
    <row r="120" spans="1:22" ht="18" customHeight="1" x14ac:dyDescent="0.15">
      <c r="A120" s="5" t="s">
        <v>2004</v>
      </c>
      <c r="B120" s="6" t="s">
        <v>2005</v>
      </c>
      <c r="C120" s="6" t="s">
        <v>2010</v>
      </c>
      <c r="D120" s="8" t="s">
        <v>2041</v>
      </c>
      <c r="E120" s="8" t="s">
        <v>2005</v>
      </c>
      <c r="F120" s="43" t="s">
        <v>2008</v>
      </c>
      <c r="G120" s="43" t="s">
        <v>2009</v>
      </c>
      <c r="H120" s="50"/>
      <c r="I120" s="50"/>
      <c r="J120" s="50"/>
      <c r="K120" s="50"/>
      <c r="L120" s="6">
        <v>494048</v>
      </c>
      <c r="M120" s="57">
        <v>85</v>
      </c>
      <c r="N120" s="57">
        <v>4745</v>
      </c>
      <c r="O120" s="57">
        <v>0</v>
      </c>
      <c r="P120" s="57">
        <v>41061.5</v>
      </c>
      <c r="Q120" s="57">
        <v>85</v>
      </c>
      <c r="R120" s="57">
        <v>6813201.4000000004</v>
      </c>
      <c r="S120" s="57"/>
      <c r="T120" s="57"/>
      <c r="U120" s="57"/>
    </row>
    <row r="121" spans="1:22" ht="18" customHeight="1" x14ac:dyDescent="0.15">
      <c r="A121" s="5" t="s">
        <v>2004</v>
      </c>
      <c r="B121" s="6" t="s">
        <v>2005</v>
      </c>
      <c r="C121" s="6" t="s">
        <v>2011</v>
      </c>
      <c r="D121" s="8" t="s">
        <v>2041</v>
      </c>
      <c r="E121" s="8" t="s">
        <v>2005</v>
      </c>
      <c r="F121" s="43" t="s">
        <v>2008</v>
      </c>
      <c r="G121" s="43" t="s">
        <v>2009</v>
      </c>
      <c r="H121" s="50"/>
      <c r="I121" s="50"/>
      <c r="J121" s="50"/>
      <c r="K121" s="50"/>
      <c r="L121" s="6">
        <v>494048</v>
      </c>
      <c r="M121" s="57">
        <v>85</v>
      </c>
      <c r="N121" s="57">
        <v>4745</v>
      </c>
      <c r="O121" s="57">
        <v>0</v>
      </c>
      <c r="P121" s="57">
        <v>41061.5</v>
      </c>
      <c r="Q121" s="57">
        <v>85</v>
      </c>
      <c r="R121" s="57">
        <v>6813201.4000000004</v>
      </c>
      <c r="S121" s="57"/>
      <c r="T121" s="57"/>
      <c r="U121" s="57"/>
    </row>
    <row r="122" spans="1:22" ht="18" customHeight="1" x14ac:dyDescent="0.15">
      <c r="A122" s="5" t="s">
        <v>2004</v>
      </c>
      <c r="B122" s="6" t="s">
        <v>2005</v>
      </c>
      <c r="C122" s="6" t="s">
        <v>2012</v>
      </c>
      <c r="D122" s="8" t="s">
        <v>2041</v>
      </c>
      <c r="E122" s="8" t="s">
        <v>2005</v>
      </c>
      <c r="F122" s="43" t="s">
        <v>2008</v>
      </c>
      <c r="G122" s="43" t="s">
        <v>2009</v>
      </c>
      <c r="H122" s="50"/>
      <c r="I122" s="50"/>
      <c r="J122" s="50"/>
      <c r="K122" s="50"/>
      <c r="L122" s="6">
        <v>494048</v>
      </c>
      <c r="M122" s="57">
        <v>85</v>
      </c>
      <c r="N122" s="57">
        <v>4745</v>
      </c>
      <c r="O122" s="57">
        <v>0</v>
      </c>
      <c r="P122" s="57">
        <v>41061.5</v>
      </c>
      <c r="Q122" s="57">
        <v>85</v>
      </c>
      <c r="R122" s="57">
        <v>6813201.4000000004</v>
      </c>
      <c r="S122" s="57"/>
      <c r="T122" s="57"/>
      <c r="U122" s="57"/>
      <c r="V122" t="s">
        <v>2037</v>
      </c>
    </row>
    <row r="123" spans="1:22" ht="18" customHeight="1" x14ac:dyDescent="0.15">
      <c r="A123" s="5" t="s">
        <v>2004</v>
      </c>
      <c r="B123" s="6" t="s">
        <v>2005</v>
      </c>
      <c r="C123" s="6" t="s">
        <v>2013</v>
      </c>
      <c r="D123" s="8" t="s">
        <v>2041</v>
      </c>
      <c r="E123" s="8" t="s">
        <v>2005</v>
      </c>
      <c r="F123" s="43" t="s">
        <v>2008</v>
      </c>
      <c r="G123" s="43" t="s">
        <v>2009</v>
      </c>
      <c r="H123" s="50"/>
      <c r="I123" s="50"/>
      <c r="J123" s="50"/>
      <c r="K123" s="50"/>
      <c r="L123" s="6">
        <v>494048</v>
      </c>
      <c r="M123" s="57">
        <v>85</v>
      </c>
      <c r="N123" s="57">
        <v>4745</v>
      </c>
      <c r="O123" s="57">
        <v>0</v>
      </c>
      <c r="P123" s="57">
        <v>41061.5</v>
      </c>
      <c r="Q123" s="57">
        <v>85</v>
      </c>
      <c r="R123" s="57">
        <v>6813201.4000000004</v>
      </c>
      <c r="S123" s="57"/>
      <c r="T123" s="57"/>
      <c r="U123" s="57"/>
      <c r="V123" t="s">
        <v>2037</v>
      </c>
    </row>
    <row r="124" spans="1:22" ht="18" customHeight="1" x14ac:dyDescent="0.15">
      <c r="A124" s="5" t="s">
        <v>2004</v>
      </c>
      <c r="B124" s="6" t="s">
        <v>2005</v>
      </c>
      <c r="C124" s="6" t="s">
        <v>2006</v>
      </c>
      <c r="D124" s="8" t="s">
        <v>2042</v>
      </c>
      <c r="E124" s="8" t="s">
        <v>2005</v>
      </c>
      <c r="F124" s="43" t="s">
        <v>2008</v>
      </c>
      <c r="G124" s="43" t="s">
        <v>2009</v>
      </c>
      <c r="H124" s="50">
        <v>3.1354000000000002</v>
      </c>
      <c r="I124" s="50"/>
      <c r="J124" s="50"/>
      <c r="K124" s="50"/>
      <c r="L124" s="6">
        <v>493585</v>
      </c>
      <c r="M124" s="57">
        <v>432</v>
      </c>
      <c r="N124" s="57">
        <v>4734</v>
      </c>
      <c r="O124" s="57">
        <v>8</v>
      </c>
      <c r="P124" s="57">
        <v>40962.6</v>
      </c>
      <c r="Q124" s="57">
        <v>424</v>
      </c>
      <c r="R124" s="57">
        <v>6806989</v>
      </c>
      <c r="S124" s="57">
        <v>3.1354000000000002</v>
      </c>
      <c r="T124" s="57"/>
      <c r="U124" s="57"/>
    </row>
    <row r="125" spans="1:22" ht="18" customHeight="1" x14ac:dyDescent="0.15">
      <c r="A125" s="5" t="s">
        <v>2004</v>
      </c>
      <c r="B125" s="6" t="s">
        <v>2005</v>
      </c>
      <c r="C125" s="6" t="s">
        <v>2010</v>
      </c>
      <c r="D125" s="8" t="s">
        <v>2042</v>
      </c>
      <c r="E125" s="8" t="s">
        <v>2005</v>
      </c>
      <c r="F125" s="43" t="s">
        <v>2008</v>
      </c>
      <c r="G125" s="43" t="s">
        <v>2009</v>
      </c>
      <c r="H125" s="50">
        <v>3.1354000000000002</v>
      </c>
      <c r="I125" s="50">
        <v>1.5591999999999999</v>
      </c>
      <c r="J125" s="50">
        <v>6.3051000000000004</v>
      </c>
      <c r="K125" s="50">
        <v>1.3456202005134501E-3</v>
      </c>
      <c r="L125" s="6">
        <v>493585</v>
      </c>
      <c r="M125" s="57">
        <v>432</v>
      </c>
      <c r="N125" s="57">
        <v>4734</v>
      </c>
      <c r="O125" s="57">
        <v>8</v>
      </c>
      <c r="P125" s="57">
        <v>40962.6</v>
      </c>
      <c r="Q125" s="57">
        <v>424</v>
      </c>
      <c r="R125" s="57">
        <v>6806989</v>
      </c>
      <c r="S125" s="57">
        <v>3.1354000000000002</v>
      </c>
      <c r="T125" s="57"/>
      <c r="U125" s="57"/>
    </row>
    <row r="126" spans="1:22" ht="18" customHeight="1" x14ac:dyDescent="0.15">
      <c r="A126" s="5" t="s">
        <v>2004</v>
      </c>
      <c r="B126" s="6" t="s">
        <v>2005</v>
      </c>
      <c r="C126" s="6" t="s">
        <v>2011</v>
      </c>
      <c r="D126" s="8" t="s">
        <v>2042</v>
      </c>
      <c r="E126" s="8" t="s">
        <v>2005</v>
      </c>
      <c r="F126" s="43" t="s">
        <v>2008</v>
      </c>
      <c r="G126" s="43" t="s">
        <v>2009</v>
      </c>
      <c r="H126" s="50">
        <v>3.2854999999999999</v>
      </c>
      <c r="I126" s="50">
        <v>1.6315</v>
      </c>
      <c r="J126" s="50">
        <v>6.6162000000000001</v>
      </c>
      <c r="K126" s="50">
        <v>8.6652945127054003E-4</v>
      </c>
      <c r="L126" s="6">
        <v>493585</v>
      </c>
      <c r="M126" s="57">
        <v>432</v>
      </c>
      <c r="N126" s="57">
        <v>4734</v>
      </c>
      <c r="O126" s="57">
        <v>8</v>
      </c>
      <c r="P126" s="57">
        <v>40962.6</v>
      </c>
      <c r="Q126" s="57">
        <v>424</v>
      </c>
      <c r="R126" s="57">
        <v>6806989</v>
      </c>
      <c r="S126" s="57">
        <v>3.1354000000000002</v>
      </c>
      <c r="T126" s="57"/>
      <c r="U126" s="57"/>
    </row>
    <row r="127" spans="1:22" ht="18" customHeight="1" x14ac:dyDescent="0.15">
      <c r="A127" s="5" t="s">
        <v>2004</v>
      </c>
      <c r="B127" s="6" t="s">
        <v>2005</v>
      </c>
      <c r="C127" s="6" t="s">
        <v>2012</v>
      </c>
      <c r="D127" s="8" t="s">
        <v>2042</v>
      </c>
      <c r="E127" s="8" t="s">
        <v>2005</v>
      </c>
      <c r="F127" s="43" t="s">
        <v>2008</v>
      </c>
      <c r="G127" s="43" t="s">
        <v>2009</v>
      </c>
      <c r="H127" s="50">
        <v>3.1642000000000001</v>
      </c>
      <c r="I127" s="50">
        <v>1.5764</v>
      </c>
      <c r="J127" s="50">
        <v>6.3510999999999997</v>
      </c>
      <c r="K127" s="50">
        <v>1.1937249989696301E-3</v>
      </c>
      <c r="L127" s="6">
        <v>493585</v>
      </c>
      <c r="M127" s="57">
        <v>432</v>
      </c>
      <c r="N127" s="57">
        <v>4734</v>
      </c>
      <c r="O127" s="57">
        <v>8</v>
      </c>
      <c r="P127" s="57">
        <v>40962.6</v>
      </c>
      <c r="Q127" s="57">
        <v>424</v>
      </c>
      <c r="R127" s="57">
        <v>6806989</v>
      </c>
      <c r="S127" s="57">
        <v>3.1354000000000002</v>
      </c>
      <c r="T127" s="57"/>
      <c r="U127" s="57"/>
    </row>
    <row r="128" spans="1:22" ht="18" customHeight="1" x14ac:dyDescent="0.15">
      <c r="A128" s="5" t="s">
        <v>2004</v>
      </c>
      <c r="B128" s="6" t="s">
        <v>2005</v>
      </c>
      <c r="C128" s="6" t="s">
        <v>2013</v>
      </c>
      <c r="D128" s="8" t="s">
        <v>2042</v>
      </c>
      <c r="E128" s="8" t="s">
        <v>2005</v>
      </c>
      <c r="F128" s="43" t="s">
        <v>2008</v>
      </c>
      <c r="G128" s="43" t="s">
        <v>2009</v>
      </c>
      <c r="H128" s="50">
        <v>2.2427999999999999</v>
      </c>
      <c r="I128" s="50">
        <v>1.1054999999999999</v>
      </c>
      <c r="J128" s="50">
        <v>4.5500999999999996</v>
      </c>
      <c r="K128" s="50">
        <v>2.5223672563502889E-2</v>
      </c>
      <c r="L128" s="6">
        <v>493585</v>
      </c>
      <c r="M128" s="57">
        <v>432</v>
      </c>
      <c r="N128" s="57">
        <v>4734</v>
      </c>
      <c r="O128" s="57">
        <v>8</v>
      </c>
      <c r="P128" s="57">
        <v>40962.6</v>
      </c>
      <c r="Q128" s="57">
        <v>424</v>
      </c>
      <c r="R128" s="57">
        <v>6806989</v>
      </c>
      <c r="S128" s="57">
        <v>3.1354000000000002</v>
      </c>
      <c r="T128" s="57"/>
      <c r="U128" s="57"/>
    </row>
    <row r="129" spans="1:21" ht="18" customHeight="1" x14ac:dyDescent="0.15">
      <c r="A129" s="5" t="s">
        <v>2004</v>
      </c>
      <c r="B129" s="6" t="s">
        <v>2005</v>
      </c>
      <c r="C129" s="6" t="s">
        <v>2006</v>
      </c>
      <c r="D129" s="8" t="s">
        <v>2043</v>
      </c>
      <c r="E129" s="8" t="s">
        <v>2005</v>
      </c>
      <c r="F129" s="43" t="s">
        <v>2008</v>
      </c>
      <c r="G129" s="43" t="s">
        <v>2009</v>
      </c>
      <c r="H129" s="50">
        <v>1.6664000000000001</v>
      </c>
      <c r="I129" s="50"/>
      <c r="J129" s="50"/>
      <c r="K129" s="50"/>
      <c r="L129" s="6">
        <v>492622</v>
      </c>
      <c r="M129" s="57">
        <v>2839</v>
      </c>
      <c r="N129" s="57">
        <v>4691</v>
      </c>
      <c r="O129" s="57">
        <v>28</v>
      </c>
      <c r="P129" s="57">
        <v>40612.9</v>
      </c>
      <c r="Q129" s="57">
        <v>2811</v>
      </c>
      <c r="R129" s="57">
        <v>6794296.2999999998</v>
      </c>
      <c r="S129" s="57">
        <v>1.6664000000000001</v>
      </c>
      <c r="T129" s="57"/>
      <c r="U129" s="57"/>
    </row>
    <row r="130" spans="1:21" ht="18" customHeight="1" x14ac:dyDescent="0.15">
      <c r="A130" s="5" t="s">
        <v>2004</v>
      </c>
      <c r="B130" s="6" t="s">
        <v>2005</v>
      </c>
      <c r="C130" s="6" t="s">
        <v>2010</v>
      </c>
      <c r="D130" s="8" t="s">
        <v>2043</v>
      </c>
      <c r="E130" s="8" t="s">
        <v>2005</v>
      </c>
      <c r="F130" s="43" t="s">
        <v>2008</v>
      </c>
      <c r="G130" s="43" t="s">
        <v>2009</v>
      </c>
      <c r="H130" s="50">
        <v>1.6664000000000001</v>
      </c>
      <c r="I130" s="50">
        <v>1.1496</v>
      </c>
      <c r="J130" s="50">
        <v>2.4156</v>
      </c>
      <c r="K130" s="50">
        <v>7.0210038059500103E-3</v>
      </c>
      <c r="L130" s="6">
        <v>492622</v>
      </c>
      <c r="M130" s="57">
        <v>2839</v>
      </c>
      <c r="N130" s="57">
        <v>4691</v>
      </c>
      <c r="O130" s="57">
        <v>28</v>
      </c>
      <c r="P130" s="57">
        <v>40612.9</v>
      </c>
      <c r="Q130" s="57">
        <v>2811</v>
      </c>
      <c r="R130" s="57">
        <v>6794296.2999999998</v>
      </c>
      <c r="S130" s="57">
        <v>1.6664000000000001</v>
      </c>
      <c r="T130" s="57"/>
      <c r="U130" s="57"/>
    </row>
    <row r="131" spans="1:21" ht="18" customHeight="1" x14ac:dyDescent="0.15">
      <c r="A131" s="5" t="s">
        <v>2004</v>
      </c>
      <c r="B131" s="6" t="s">
        <v>2005</v>
      </c>
      <c r="C131" s="6" t="s">
        <v>2011</v>
      </c>
      <c r="D131" s="8" t="s">
        <v>2043</v>
      </c>
      <c r="E131" s="8" t="s">
        <v>2005</v>
      </c>
      <c r="F131" s="43" t="s">
        <v>2008</v>
      </c>
      <c r="G131" s="43" t="s">
        <v>2009</v>
      </c>
      <c r="H131" s="50">
        <v>1.4061999999999999</v>
      </c>
      <c r="I131" s="50">
        <v>0.97030000000000005</v>
      </c>
      <c r="J131" s="50">
        <v>2.0379999999999998</v>
      </c>
      <c r="K131" s="50">
        <v>7.1779086824515004E-2</v>
      </c>
      <c r="L131" s="6">
        <v>492622</v>
      </c>
      <c r="M131" s="57">
        <v>2839</v>
      </c>
      <c r="N131" s="57">
        <v>4691</v>
      </c>
      <c r="O131" s="57">
        <v>28</v>
      </c>
      <c r="P131" s="57">
        <v>40612.9</v>
      </c>
      <c r="Q131" s="57">
        <v>2811</v>
      </c>
      <c r="R131" s="57">
        <v>6794296.2999999998</v>
      </c>
      <c r="S131" s="57">
        <v>1.6664000000000001</v>
      </c>
      <c r="T131" s="57"/>
      <c r="U131" s="57"/>
    </row>
    <row r="132" spans="1:21" ht="18" customHeight="1" x14ac:dyDescent="0.15">
      <c r="A132" s="5" t="s">
        <v>2004</v>
      </c>
      <c r="B132" s="6" t="s">
        <v>2005</v>
      </c>
      <c r="C132" s="6" t="s">
        <v>2012</v>
      </c>
      <c r="D132" s="8" t="s">
        <v>2043</v>
      </c>
      <c r="E132" s="8" t="s">
        <v>2005</v>
      </c>
      <c r="F132" s="43" t="s">
        <v>2008</v>
      </c>
      <c r="G132" s="43" t="s">
        <v>2009</v>
      </c>
      <c r="H132" s="50">
        <v>1.3562000000000001</v>
      </c>
      <c r="I132" s="50">
        <v>0.93589999999999995</v>
      </c>
      <c r="J132" s="50">
        <v>1.9650000000000001</v>
      </c>
      <c r="K132" s="50">
        <v>0.10738090101804509</v>
      </c>
      <c r="L132" s="6">
        <v>492622</v>
      </c>
      <c r="M132" s="57">
        <v>2839</v>
      </c>
      <c r="N132" s="57">
        <v>4691</v>
      </c>
      <c r="O132" s="57">
        <v>28</v>
      </c>
      <c r="P132" s="57">
        <v>40612.9</v>
      </c>
      <c r="Q132" s="57">
        <v>2811</v>
      </c>
      <c r="R132" s="57">
        <v>6794296.2999999998</v>
      </c>
      <c r="S132" s="57">
        <v>1.6664000000000001</v>
      </c>
      <c r="T132" s="57"/>
      <c r="U132" s="57"/>
    </row>
    <row r="133" spans="1:21" ht="18" customHeight="1" x14ac:dyDescent="0.15">
      <c r="A133" s="5" t="s">
        <v>2004</v>
      </c>
      <c r="B133" s="6" t="s">
        <v>2005</v>
      </c>
      <c r="C133" s="6" t="s">
        <v>2013</v>
      </c>
      <c r="D133" s="8" t="s">
        <v>2043</v>
      </c>
      <c r="E133" s="8" t="s">
        <v>2005</v>
      </c>
      <c r="F133" s="43" t="s">
        <v>2008</v>
      </c>
      <c r="G133" s="43" t="s">
        <v>2009</v>
      </c>
      <c r="H133" s="50">
        <v>1.1742999999999999</v>
      </c>
      <c r="I133" s="50">
        <v>0.80969999999999998</v>
      </c>
      <c r="J133" s="50">
        <v>1.7033</v>
      </c>
      <c r="K133" s="50">
        <v>0.3969615962341223</v>
      </c>
      <c r="L133" s="6">
        <v>492622</v>
      </c>
      <c r="M133" s="57">
        <v>2839</v>
      </c>
      <c r="N133" s="57">
        <v>4691</v>
      </c>
      <c r="O133" s="57">
        <v>28</v>
      </c>
      <c r="P133" s="57">
        <v>40612.9</v>
      </c>
      <c r="Q133" s="57">
        <v>2811</v>
      </c>
      <c r="R133" s="57">
        <v>6794296.2999999998</v>
      </c>
      <c r="S133" s="57">
        <v>1.6664000000000001</v>
      </c>
      <c r="T133" s="57"/>
      <c r="U133" s="57"/>
    </row>
    <row r="134" spans="1:21" ht="18" customHeight="1" x14ac:dyDescent="0.15">
      <c r="A134" s="5" t="s">
        <v>2004</v>
      </c>
      <c r="B134" s="6" t="s">
        <v>2005</v>
      </c>
      <c r="C134" s="6" t="s">
        <v>2006</v>
      </c>
      <c r="D134" s="8" t="s">
        <v>2044</v>
      </c>
      <c r="E134" s="8" t="s">
        <v>2005</v>
      </c>
      <c r="F134" s="43" t="s">
        <v>2008</v>
      </c>
      <c r="G134" s="43" t="s">
        <v>2009</v>
      </c>
      <c r="H134" s="50">
        <v>1.7811999999999999</v>
      </c>
      <c r="I134" s="50"/>
      <c r="J134" s="50"/>
      <c r="K134" s="50"/>
      <c r="L134" s="6">
        <v>476502</v>
      </c>
      <c r="M134" s="57">
        <v>23357</v>
      </c>
      <c r="N134" s="57">
        <v>4287</v>
      </c>
      <c r="O134" s="57">
        <v>234</v>
      </c>
      <c r="P134" s="57">
        <v>37370</v>
      </c>
      <c r="Q134" s="57">
        <v>23123</v>
      </c>
      <c r="R134" s="57">
        <v>6577549.9000000004</v>
      </c>
      <c r="S134" s="57">
        <v>1.7811999999999999</v>
      </c>
      <c r="T134" s="57"/>
      <c r="U134" s="57"/>
    </row>
    <row r="135" spans="1:21" ht="18" customHeight="1" x14ac:dyDescent="0.15">
      <c r="A135" s="5" t="s">
        <v>2004</v>
      </c>
      <c r="B135" s="6" t="s">
        <v>2005</v>
      </c>
      <c r="C135" s="6" t="s">
        <v>2010</v>
      </c>
      <c r="D135" s="8" t="s">
        <v>2044</v>
      </c>
      <c r="E135" s="8" t="s">
        <v>2005</v>
      </c>
      <c r="F135" s="43" t="s">
        <v>2008</v>
      </c>
      <c r="G135" s="43" t="s">
        <v>2009</v>
      </c>
      <c r="H135" s="50">
        <v>1.7811999999999999</v>
      </c>
      <c r="I135" s="50">
        <v>1.5708</v>
      </c>
      <c r="J135" s="50">
        <v>2.0198</v>
      </c>
      <c r="K135" s="50">
        <v>2.2601075106573552E-19</v>
      </c>
      <c r="L135" s="6">
        <v>476502</v>
      </c>
      <c r="M135" s="57">
        <v>23357</v>
      </c>
      <c r="N135" s="57">
        <v>4287</v>
      </c>
      <c r="O135" s="57">
        <v>234</v>
      </c>
      <c r="P135" s="57">
        <v>37370</v>
      </c>
      <c r="Q135" s="57">
        <v>23123</v>
      </c>
      <c r="R135" s="57">
        <v>6577549.9000000004</v>
      </c>
      <c r="S135" s="57">
        <v>1.7811999999999999</v>
      </c>
      <c r="T135" s="57"/>
      <c r="U135" s="57"/>
    </row>
    <row r="136" spans="1:21" ht="18" customHeight="1" x14ac:dyDescent="0.15">
      <c r="A136" s="5" t="s">
        <v>2004</v>
      </c>
      <c r="B136" s="6" t="s">
        <v>2005</v>
      </c>
      <c r="C136" s="6" t="s">
        <v>2011</v>
      </c>
      <c r="D136" s="8" t="s">
        <v>2044</v>
      </c>
      <c r="E136" s="8" t="s">
        <v>2005</v>
      </c>
      <c r="F136" s="43" t="s">
        <v>2008</v>
      </c>
      <c r="G136" s="43" t="s">
        <v>2009</v>
      </c>
      <c r="H136" s="50">
        <v>1.6788000000000001</v>
      </c>
      <c r="I136" s="50">
        <v>1.4789000000000001</v>
      </c>
      <c r="J136" s="50">
        <v>1.9056</v>
      </c>
      <c r="K136" s="50">
        <v>1.134831010127416E-15</v>
      </c>
      <c r="L136" s="6">
        <v>476502</v>
      </c>
      <c r="M136" s="57">
        <v>23357</v>
      </c>
      <c r="N136" s="57">
        <v>4287</v>
      </c>
      <c r="O136" s="57">
        <v>234</v>
      </c>
      <c r="P136" s="57">
        <v>37370</v>
      </c>
      <c r="Q136" s="57">
        <v>23123</v>
      </c>
      <c r="R136" s="57">
        <v>6577549.9000000004</v>
      </c>
      <c r="S136" s="57">
        <v>1.7811999999999999</v>
      </c>
      <c r="T136" s="57"/>
      <c r="U136" s="57"/>
    </row>
    <row r="137" spans="1:21" ht="18" customHeight="1" x14ac:dyDescent="0.15">
      <c r="A137" s="5" t="s">
        <v>2004</v>
      </c>
      <c r="B137" s="6" t="s">
        <v>2005</v>
      </c>
      <c r="C137" s="6" t="s">
        <v>2012</v>
      </c>
      <c r="D137" s="8" t="s">
        <v>2044</v>
      </c>
      <c r="E137" s="8" t="s">
        <v>2005</v>
      </c>
      <c r="F137" s="43" t="s">
        <v>2008</v>
      </c>
      <c r="G137" s="43" t="s">
        <v>2009</v>
      </c>
      <c r="H137" s="50">
        <v>1.6221000000000001</v>
      </c>
      <c r="I137" s="50">
        <v>1.429</v>
      </c>
      <c r="J137" s="50">
        <v>1.8413999999999999</v>
      </c>
      <c r="K137" s="50">
        <v>7.4259137353795194E-14</v>
      </c>
      <c r="L137" s="6">
        <v>476502</v>
      </c>
      <c r="M137" s="57">
        <v>23357</v>
      </c>
      <c r="N137" s="57">
        <v>4287</v>
      </c>
      <c r="O137" s="57">
        <v>234</v>
      </c>
      <c r="P137" s="57">
        <v>37370</v>
      </c>
      <c r="Q137" s="57">
        <v>23123</v>
      </c>
      <c r="R137" s="57">
        <v>6577549.9000000004</v>
      </c>
      <c r="S137" s="57">
        <v>1.7811999999999999</v>
      </c>
      <c r="T137" s="57"/>
      <c r="U137" s="57"/>
    </row>
    <row r="138" spans="1:21" ht="18" customHeight="1" x14ac:dyDescent="0.15">
      <c r="A138" s="5" t="s">
        <v>2004</v>
      </c>
      <c r="B138" s="6" t="s">
        <v>2005</v>
      </c>
      <c r="C138" s="6" t="s">
        <v>2013</v>
      </c>
      <c r="D138" s="8" t="s">
        <v>2044</v>
      </c>
      <c r="E138" s="8" t="s">
        <v>2005</v>
      </c>
      <c r="F138" s="43" t="s">
        <v>2008</v>
      </c>
      <c r="G138" s="43" t="s">
        <v>2009</v>
      </c>
      <c r="H138" s="50">
        <v>1.4782999999999999</v>
      </c>
      <c r="I138" s="50">
        <v>1.3012999999999999</v>
      </c>
      <c r="J138" s="50">
        <v>1.6795</v>
      </c>
      <c r="K138" s="50">
        <v>1.9080423212397361E-9</v>
      </c>
      <c r="L138" s="6">
        <v>476502</v>
      </c>
      <c r="M138" s="57">
        <v>23357</v>
      </c>
      <c r="N138" s="57">
        <v>4287</v>
      </c>
      <c r="O138" s="57">
        <v>234</v>
      </c>
      <c r="P138" s="57">
        <v>37370</v>
      </c>
      <c r="Q138" s="57">
        <v>23123</v>
      </c>
      <c r="R138" s="57">
        <v>6577549.9000000004</v>
      </c>
      <c r="S138" s="57">
        <v>1.7811999999999999</v>
      </c>
      <c r="T138" s="57"/>
      <c r="U138" s="57"/>
    </row>
    <row r="139" spans="1:21" ht="18" customHeight="1" x14ac:dyDescent="0.15">
      <c r="A139" s="5" t="s">
        <v>2014</v>
      </c>
      <c r="B139" s="6" t="s">
        <v>2005</v>
      </c>
      <c r="C139" s="6" t="s">
        <v>2015</v>
      </c>
      <c r="D139" s="8" t="s">
        <v>2044</v>
      </c>
      <c r="E139" s="8" t="s">
        <v>2005</v>
      </c>
      <c r="F139" s="43" t="s">
        <v>2008</v>
      </c>
      <c r="G139" s="43" t="s">
        <v>2009</v>
      </c>
      <c r="H139" s="50">
        <v>1.7811999999999999</v>
      </c>
      <c r="I139" s="50">
        <v>1.5708</v>
      </c>
      <c r="J139" s="50">
        <v>2.0198</v>
      </c>
      <c r="K139" s="50">
        <v>2.2601075106573552E-19</v>
      </c>
      <c r="L139" s="6">
        <v>476502</v>
      </c>
      <c r="M139" s="57">
        <v>23357</v>
      </c>
      <c r="N139" s="57"/>
      <c r="O139" s="57"/>
      <c r="P139" s="57"/>
      <c r="Q139" s="57"/>
      <c r="R139" s="57"/>
      <c r="S139" s="57"/>
      <c r="T139" s="57"/>
      <c r="U139" s="57"/>
    </row>
    <row r="140" spans="1:21" ht="18" customHeight="1" x14ac:dyDescent="0.15">
      <c r="A140" s="5" t="s">
        <v>2014</v>
      </c>
      <c r="B140" s="6" t="s">
        <v>2005</v>
      </c>
      <c r="C140" s="6" t="s">
        <v>2016</v>
      </c>
      <c r="D140" s="8" t="s">
        <v>2044</v>
      </c>
      <c r="E140" s="8" t="s">
        <v>2005</v>
      </c>
      <c r="F140" s="43" t="s">
        <v>2008</v>
      </c>
      <c r="G140" s="43" t="s">
        <v>2009</v>
      </c>
      <c r="H140" s="50">
        <v>1.6788000000000001</v>
      </c>
      <c r="I140" s="50">
        <v>1.4789000000000001</v>
      </c>
      <c r="J140" s="50">
        <v>1.9056</v>
      </c>
      <c r="K140" s="50">
        <v>1.134831010127416E-15</v>
      </c>
      <c r="L140" s="6">
        <v>476502</v>
      </c>
      <c r="M140" s="57">
        <v>23357</v>
      </c>
      <c r="N140" s="57"/>
      <c r="O140" s="57"/>
      <c r="P140" s="57"/>
      <c r="Q140" s="57"/>
      <c r="R140" s="57"/>
      <c r="S140" s="57"/>
      <c r="T140" s="57"/>
      <c r="U140" s="57"/>
    </row>
    <row r="141" spans="1:21" ht="18" customHeight="1" x14ac:dyDescent="0.15">
      <c r="A141" s="5" t="s">
        <v>2014</v>
      </c>
      <c r="B141" s="6" t="s">
        <v>2005</v>
      </c>
      <c r="C141" s="6" t="s">
        <v>2017</v>
      </c>
      <c r="D141" s="8" t="s">
        <v>2044</v>
      </c>
      <c r="E141" s="8" t="s">
        <v>2005</v>
      </c>
      <c r="F141" s="43" t="s">
        <v>2008</v>
      </c>
      <c r="G141" s="43" t="s">
        <v>2009</v>
      </c>
      <c r="H141" s="50">
        <v>1.4473</v>
      </c>
      <c r="I141" s="50">
        <v>1.2765</v>
      </c>
      <c r="J141" s="50">
        <v>1.6409</v>
      </c>
      <c r="K141" s="50">
        <v>7.9166435237695754E-9</v>
      </c>
      <c r="L141" s="6">
        <v>476502</v>
      </c>
      <c r="M141" s="57">
        <v>23357</v>
      </c>
      <c r="N141" s="57"/>
      <c r="O141" s="57"/>
      <c r="P141" s="57"/>
      <c r="Q141" s="57"/>
      <c r="R141" s="57"/>
      <c r="S141" s="57"/>
      <c r="T141" s="57"/>
      <c r="U141" s="57"/>
    </row>
    <row r="142" spans="1:21" ht="18" customHeight="1" x14ac:dyDescent="0.15">
      <c r="A142" s="5" t="s">
        <v>2014</v>
      </c>
      <c r="B142" s="6" t="s">
        <v>2005</v>
      </c>
      <c r="C142" s="6" t="s">
        <v>2018</v>
      </c>
      <c r="D142" s="8" t="s">
        <v>2044</v>
      </c>
      <c r="E142" s="8" t="s">
        <v>2005</v>
      </c>
      <c r="F142" s="43" t="s">
        <v>2008</v>
      </c>
      <c r="G142" s="43" t="s">
        <v>2009</v>
      </c>
      <c r="H142" s="50">
        <v>1.1780999999999999</v>
      </c>
      <c r="I142" s="50">
        <v>0.95740000000000003</v>
      </c>
      <c r="J142" s="50">
        <v>1.4497</v>
      </c>
      <c r="K142" s="50">
        <v>0.1214039779031095</v>
      </c>
      <c r="L142" s="6">
        <v>476502</v>
      </c>
      <c r="M142" s="57">
        <v>23357</v>
      </c>
      <c r="N142" s="57"/>
      <c r="O142" s="57"/>
      <c r="P142" s="57"/>
      <c r="Q142" s="57"/>
      <c r="R142" s="57"/>
      <c r="S142" s="57"/>
      <c r="T142" s="57"/>
      <c r="U142" s="57"/>
    </row>
    <row r="143" spans="1:21" ht="18" customHeight="1" x14ac:dyDescent="0.15">
      <c r="A143" s="5" t="s">
        <v>2014</v>
      </c>
      <c r="B143" s="6" t="s">
        <v>2005</v>
      </c>
      <c r="C143" s="6" t="s">
        <v>2019</v>
      </c>
      <c r="D143" s="8" t="s">
        <v>2044</v>
      </c>
      <c r="E143" s="8" t="s">
        <v>2005</v>
      </c>
      <c r="F143" s="43" t="s">
        <v>2008</v>
      </c>
      <c r="G143" s="43" t="s">
        <v>1816</v>
      </c>
      <c r="H143" s="50">
        <v>4.4494999999999996</v>
      </c>
      <c r="I143" s="50">
        <v>3.4674</v>
      </c>
      <c r="J143" s="50">
        <v>5.7098000000000004</v>
      </c>
      <c r="K143" s="50">
        <v>8.7399689795158192E-32</v>
      </c>
      <c r="L143" s="6">
        <v>473712</v>
      </c>
      <c r="M143" s="57">
        <v>1925</v>
      </c>
      <c r="N143" s="57"/>
      <c r="O143" s="57"/>
      <c r="P143" s="57"/>
      <c r="Q143" s="57"/>
      <c r="R143" s="57"/>
      <c r="S143" s="57"/>
      <c r="T143" s="57"/>
      <c r="U143" s="57"/>
    </row>
    <row r="144" spans="1:21" ht="18" customHeight="1" x14ac:dyDescent="0.15">
      <c r="A144" s="5" t="s">
        <v>2014</v>
      </c>
      <c r="B144" s="6" t="s">
        <v>2005</v>
      </c>
      <c r="C144" s="6" t="s">
        <v>2020</v>
      </c>
      <c r="D144" s="8" t="s">
        <v>2044</v>
      </c>
      <c r="E144" s="8" t="s">
        <v>2005</v>
      </c>
      <c r="F144" s="43" t="s">
        <v>2008</v>
      </c>
      <c r="G144" s="43" t="s">
        <v>2009</v>
      </c>
      <c r="H144" s="50">
        <v>1.5593999999999999</v>
      </c>
      <c r="I144" s="50">
        <v>1.3696999999999999</v>
      </c>
      <c r="J144" s="50">
        <v>1.7754000000000001</v>
      </c>
      <c r="K144" s="50">
        <v>1.897273784987135E-11</v>
      </c>
      <c r="L144" s="6">
        <v>473712</v>
      </c>
      <c r="M144" s="57">
        <v>23308</v>
      </c>
      <c r="N144" s="57"/>
      <c r="O144" s="57"/>
      <c r="P144" s="57"/>
      <c r="Q144" s="57"/>
      <c r="R144" s="57"/>
      <c r="S144" s="57"/>
      <c r="T144" s="57"/>
      <c r="U144" s="57"/>
    </row>
    <row r="145" spans="1:21" ht="18" customHeight="1" x14ac:dyDescent="0.15">
      <c r="A145" s="5" t="s">
        <v>2021</v>
      </c>
      <c r="B145" s="6" t="s">
        <v>2005</v>
      </c>
      <c r="C145" s="6" t="s">
        <v>2022</v>
      </c>
      <c r="D145" s="8" t="s">
        <v>2044</v>
      </c>
      <c r="E145" s="8" t="s">
        <v>2005</v>
      </c>
      <c r="F145" s="43" t="s">
        <v>2008</v>
      </c>
      <c r="G145" s="43" t="s">
        <v>2009</v>
      </c>
      <c r="H145" s="50">
        <v>0.74670000000000003</v>
      </c>
      <c r="I145" s="50">
        <v>0.1966</v>
      </c>
      <c r="J145" s="50">
        <v>2.8351999999999999</v>
      </c>
      <c r="K145" s="50">
        <v>0.66781863611628878</v>
      </c>
      <c r="L145" s="6">
        <v>4765</v>
      </c>
      <c r="M145" s="57">
        <v>322</v>
      </c>
      <c r="N145" s="57"/>
      <c r="O145" s="57"/>
      <c r="P145" s="57"/>
      <c r="Q145" s="57"/>
      <c r="R145" s="57"/>
      <c r="S145" s="57"/>
      <c r="T145" s="57" t="s">
        <v>2023</v>
      </c>
      <c r="U145" s="57" t="s">
        <v>2024</v>
      </c>
    </row>
    <row r="146" spans="1:21" ht="18" customHeight="1" x14ac:dyDescent="0.15">
      <c r="A146" s="5" t="s">
        <v>2021</v>
      </c>
      <c r="B146" s="6" t="s">
        <v>2005</v>
      </c>
      <c r="C146" s="6" t="s">
        <v>2022</v>
      </c>
      <c r="D146" s="8" t="s">
        <v>2044</v>
      </c>
      <c r="E146" s="8" t="s">
        <v>2005</v>
      </c>
      <c r="F146" s="43" t="s">
        <v>2008</v>
      </c>
      <c r="G146" s="43" t="s">
        <v>2009</v>
      </c>
      <c r="H146" s="50">
        <v>1.6377999999999999</v>
      </c>
      <c r="I146" s="50">
        <v>1.2909999999999999</v>
      </c>
      <c r="J146" s="50">
        <v>2.0775999999999999</v>
      </c>
      <c r="K146" s="50">
        <v>4.8126861889664293E-5</v>
      </c>
      <c r="L146" s="6">
        <v>321281</v>
      </c>
      <c r="M146" s="57">
        <v>7856</v>
      </c>
      <c r="N146" s="57"/>
      <c r="O146" s="57"/>
      <c r="P146" s="57"/>
      <c r="Q146" s="57"/>
      <c r="R146" s="57"/>
      <c r="S146" s="57"/>
      <c r="T146" s="57" t="s">
        <v>2023</v>
      </c>
      <c r="U146" s="57" t="s">
        <v>2025</v>
      </c>
    </row>
    <row r="147" spans="1:21" ht="18" customHeight="1" x14ac:dyDescent="0.15">
      <c r="A147" s="5" t="s">
        <v>2021</v>
      </c>
      <c r="B147" s="6" t="s">
        <v>2005</v>
      </c>
      <c r="C147" s="6" t="s">
        <v>2022</v>
      </c>
      <c r="D147" s="8" t="s">
        <v>2044</v>
      </c>
      <c r="E147" s="8" t="s">
        <v>2005</v>
      </c>
      <c r="F147" s="43" t="s">
        <v>2008</v>
      </c>
      <c r="G147" s="43" t="s">
        <v>2009</v>
      </c>
      <c r="H147" s="50">
        <v>1.4914000000000001</v>
      </c>
      <c r="I147" s="50">
        <v>1.2857000000000001</v>
      </c>
      <c r="J147" s="50">
        <v>1.7302</v>
      </c>
      <c r="K147" s="50">
        <v>1.315421600543356E-7</v>
      </c>
      <c r="L147" s="6">
        <v>150456</v>
      </c>
      <c r="M147" s="57">
        <v>15179</v>
      </c>
      <c r="N147" s="57"/>
      <c r="O147" s="57"/>
      <c r="P147" s="57"/>
      <c r="Q147" s="57"/>
      <c r="R147" s="57"/>
      <c r="S147" s="57"/>
      <c r="T147" s="57" t="s">
        <v>2023</v>
      </c>
      <c r="U147" s="57" t="s">
        <v>2026</v>
      </c>
    </row>
    <row r="148" spans="1:21" ht="18" customHeight="1" x14ac:dyDescent="0.15">
      <c r="A148" s="5" t="s">
        <v>2021</v>
      </c>
      <c r="B148" s="6" t="s">
        <v>2005</v>
      </c>
      <c r="C148" s="6" t="s">
        <v>2022</v>
      </c>
      <c r="D148" s="8" t="s">
        <v>2044</v>
      </c>
      <c r="E148" s="8" t="s">
        <v>2005</v>
      </c>
      <c r="F148" s="43" t="s">
        <v>2008</v>
      </c>
      <c r="G148" s="43" t="s">
        <v>2009</v>
      </c>
      <c r="H148" s="50">
        <v>1.0507</v>
      </c>
      <c r="I148" s="50">
        <v>0.27650000000000002</v>
      </c>
      <c r="J148" s="50">
        <v>3.9923000000000002</v>
      </c>
      <c r="K148" s="50">
        <v>0.94211634901382524</v>
      </c>
      <c r="L148" s="6">
        <v>3381</v>
      </c>
      <c r="M148" s="57">
        <v>302</v>
      </c>
      <c r="N148" s="57"/>
      <c r="O148" s="57"/>
      <c r="P148" s="57"/>
      <c r="Q148" s="57"/>
      <c r="R148" s="57"/>
      <c r="S148" s="57"/>
      <c r="T148" s="57" t="s">
        <v>2027</v>
      </c>
      <c r="U148" s="57" t="s">
        <v>2024</v>
      </c>
    </row>
    <row r="149" spans="1:21" ht="18" customHeight="1" x14ac:dyDescent="0.15">
      <c r="A149" s="5" t="s">
        <v>2021</v>
      </c>
      <c r="B149" s="6" t="s">
        <v>2005</v>
      </c>
      <c r="C149" s="6" t="s">
        <v>2022</v>
      </c>
      <c r="D149" s="8" t="s">
        <v>2044</v>
      </c>
      <c r="E149" s="8" t="s">
        <v>2005</v>
      </c>
      <c r="F149" s="43" t="s">
        <v>2008</v>
      </c>
      <c r="G149" s="43" t="s">
        <v>2009</v>
      </c>
      <c r="H149" s="50">
        <v>1.7246999999999999</v>
      </c>
      <c r="I149" s="50">
        <v>1.4793000000000001</v>
      </c>
      <c r="J149" s="50">
        <v>2.0108999999999999</v>
      </c>
      <c r="K149" s="50">
        <v>3.424751855506546E-12</v>
      </c>
      <c r="L149" s="6">
        <v>423910</v>
      </c>
      <c r="M149" s="57">
        <v>16502</v>
      </c>
      <c r="N149" s="57"/>
      <c r="O149" s="57"/>
      <c r="P149" s="57"/>
      <c r="Q149" s="57"/>
      <c r="R149" s="57"/>
      <c r="S149" s="57"/>
      <c r="T149" s="57" t="s">
        <v>2027</v>
      </c>
      <c r="U149" s="57" t="s">
        <v>2025</v>
      </c>
    </row>
    <row r="150" spans="1:21" ht="18" customHeight="1" x14ac:dyDescent="0.15">
      <c r="A150" s="5" t="s">
        <v>2021</v>
      </c>
      <c r="B150" s="6" t="s">
        <v>2005</v>
      </c>
      <c r="C150" s="6" t="s">
        <v>2022</v>
      </c>
      <c r="D150" s="8" t="s">
        <v>2044</v>
      </c>
      <c r="E150" s="8" t="s">
        <v>2005</v>
      </c>
      <c r="F150" s="43" t="s">
        <v>2008</v>
      </c>
      <c r="G150" s="43" t="s">
        <v>2009</v>
      </c>
      <c r="H150" s="50">
        <v>1.3152999999999999</v>
      </c>
      <c r="I150" s="50">
        <v>1.0524</v>
      </c>
      <c r="J150" s="50">
        <v>1.6437999999999999</v>
      </c>
      <c r="K150" s="50">
        <v>1.601914277422737E-2</v>
      </c>
      <c r="L150" s="6">
        <v>49211</v>
      </c>
      <c r="M150" s="57">
        <v>6553</v>
      </c>
      <c r="N150" s="57"/>
      <c r="O150" s="57"/>
      <c r="P150" s="57"/>
      <c r="Q150" s="57"/>
      <c r="R150" s="57"/>
      <c r="S150" s="57"/>
      <c r="T150" s="57" t="s">
        <v>2027</v>
      </c>
      <c r="U150" s="57" t="s">
        <v>2026</v>
      </c>
    </row>
    <row r="151" spans="1:21" ht="18" customHeight="1" x14ac:dyDescent="0.15">
      <c r="A151" s="5" t="s">
        <v>2021</v>
      </c>
      <c r="B151" s="6" t="s">
        <v>2005</v>
      </c>
      <c r="C151" s="6" t="s">
        <v>2022</v>
      </c>
      <c r="D151" s="8" t="s">
        <v>2044</v>
      </c>
      <c r="E151" s="8" t="s">
        <v>2005</v>
      </c>
      <c r="F151" s="43" t="s">
        <v>2008</v>
      </c>
      <c r="G151" s="43" t="s">
        <v>2009</v>
      </c>
      <c r="H151" s="50">
        <v>1.6242000000000001</v>
      </c>
      <c r="I151" s="50">
        <v>1.4029</v>
      </c>
      <c r="J151" s="50">
        <v>1.8804000000000001</v>
      </c>
      <c r="K151" s="50">
        <v>8.6283684949829841E-11</v>
      </c>
      <c r="L151" s="6">
        <v>311589</v>
      </c>
      <c r="M151" s="57">
        <v>18267</v>
      </c>
      <c r="N151" s="57"/>
      <c r="O151" s="57"/>
      <c r="P151" s="57"/>
      <c r="Q151" s="57"/>
      <c r="R151" s="57"/>
      <c r="S151" s="57"/>
      <c r="T151" s="57" t="s">
        <v>2028</v>
      </c>
      <c r="U151" s="57" t="s">
        <v>2029</v>
      </c>
    </row>
    <row r="152" spans="1:21" ht="18" customHeight="1" x14ac:dyDescent="0.15">
      <c r="A152" s="5" t="s">
        <v>2021</v>
      </c>
      <c r="B152" s="6" t="s">
        <v>2005</v>
      </c>
      <c r="C152" s="6" t="s">
        <v>2022</v>
      </c>
      <c r="D152" s="8" t="s">
        <v>2044</v>
      </c>
      <c r="E152" s="8" t="s">
        <v>2005</v>
      </c>
      <c r="F152" s="43" t="s">
        <v>2008</v>
      </c>
      <c r="G152" s="43" t="s">
        <v>2009</v>
      </c>
      <c r="H152" s="50">
        <v>1.9705999999999999</v>
      </c>
      <c r="I152" s="50">
        <v>1.5305</v>
      </c>
      <c r="J152" s="50">
        <v>2.5371999999999999</v>
      </c>
      <c r="K152" s="50">
        <v>1.435132184227291E-7</v>
      </c>
      <c r="L152" s="6">
        <v>164913</v>
      </c>
      <c r="M152" s="57">
        <v>5090</v>
      </c>
      <c r="N152" s="57"/>
      <c r="O152" s="57"/>
      <c r="P152" s="57"/>
      <c r="Q152" s="57"/>
      <c r="R152" s="57"/>
      <c r="S152" s="57"/>
      <c r="T152" s="57" t="s">
        <v>2028</v>
      </c>
      <c r="U152" s="57" t="s">
        <v>2030</v>
      </c>
    </row>
    <row r="153" spans="1:21" ht="18" customHeight="1" x14ac:dyDescent="0.15">
      <c r="A153" s="5" t="s">
        <v>2004</v>
      </c>
      <c r="B153" s="6" t="s">
        <v>2005</v>
      </c>
      <c r="C153" s="6" t="s">
        <v>2006</v>
      </c>
      <c r="D153" s="8" t="s">
        <v>2045</v>
      </c>
      <c r="E153" s="8" t="s">
        <v>2005</v>
      </c>
      <c r="F153" s="43" t="s">
        <v>2008</v>
      </c>
      <c r="G153" s="43" t="s">
        <v>2009</v>
      </c>
      <c r="H153" s="50">
        <v>1.5636000000000001</v>
      </c>
      <c r="I153" s="50"/>
      <c r="J153" s="50"/>
      <c r="K153" s="50"/>
      <c r="L153" s="6">
        <v>493521</v>
      </c>
      <c r="M153" s="57">
        <v>322</v>
      </c>
      <c r="N153" s="57">
        <v>4727</v>
      </c>
      <c r="O153" s="57">
        <v>3</v>
      </c>
      <c r="P153" s="57">
        <v>40936</v>
      </c>
      <c r="Q153" s="57">
        <v>319</v>
      </c>
      <c r="R153" s="57">
        <v>6806197.7000000002</v>
      </c>
      <c r="S153" s="57">
        <v>1.5636000000000001</v>
      </c>
      <c r="T153" s="57"/>
      <c r="U153" s="57"/>
    </row>
    <row r="154" spans="1:21" ht="18" customHeight="1" x14ac:dyDescent="0.15">
      <c r="A154" s="5" t="s">
        <v>2004</v>
      </c>
      <c r="B154" s="6" t="s">
        <v>2005</v>
      </c>
      <c r="C154" s="6" t="s">
        <v>2010</v>
      </c>
      <c r="D154" s="8" t="s">
        <v>2045</v>
      </c>
      <c r="E154" s="8" t="s">
        <v>2005</v>
      </c>
      <c r="F154" s="43" t="s">
        <v>2008</v>
      </c>
      <c r="G154" s="43" t="s">
        <v>2009</v>
      </c>
      <c r="H154" s="50">
        <v>1.5636000000000001</v>
      </c>
      <c r="I154" s="50">
        <v>0.502</v>
      </c>
      <c r="J154" s="50">
        <v>4.8705999999999996</v>
      </c>
      <c r="K154" s="50">
        <v>0.44066600981655019</v>
      </c>
      <c r="L154" s="6">
        <v>493521</v>
      </c>
      <c r="M154" s="57">
        <v>322</v>
      </c>
      <c r="N154" s="57">
        <v>4727</v>
      </c>
      <c r="O154" s="57">
        <v>3</v>
      </c>
      <c r="P154" s="57">
        <v>40936</v>
      </c>
      <c r="Q154" s="57">
        <v>319</v>
      </c>
      <c r="R154" s="57">
        <v>6806197.7000000002</v>
      </c>
      <c r="S154" s="57">
        <v>1.5636000000000001</v>
      </c>
      <c r="T154" s="57"/>
      <c r="U154" s="57"/>
    </row>
    <row r="155" spans="1:21" ht="18" customHeight="1" x14ac:dyDescent="0.15">
      <c r="A155" s="5" t="s">
        <v>2004</v>
      </c>
      <c r="B155" s="6" t="s">
        <v>2005</v>
      </c>
      <c r="C155" s="6" t="s">
        <v>2011</v>
      </c>
      <c r="D155" s="8" t="s">
        <v>2045</v>
      </c>
      <c r="E155" s="8" t="s">
        <v>2005</v>
      </c>
      <c r="F155" s="43" t="s">
        <v>2008</v>
      </c>
      <c r="G155" s="43" t="s">
        <v>2009</v>
      </c>
      <c r="H155" s="50">
        <v>1.6615</v>
      </c>
      <c r="I155" s="50">
        <v>0.53349999999999997</v>
      </c>
      <c r="J155" s="50">
        <v>5.1745000000000001</v>
      </c>
      <c r="K155" s="50">
        <v>0.38101942748018602</v>
      </c>
      <c r="L155" s="6">
        <v>493521</v>
      </c>
      <c r="M155" s="57">
        <v>322</v>
      </c>
      <c r="N155" s="57">
        <v>4727</v>
      </c>
      <c r="O155" s="57">
        <v>3</v>
      </c>
      <c r="P155" s="57">
        <v>40936</v>
      </c>
      <c r="Q155" s="57">
        <v>319</v>
      </c>
      <c r="R155" s="57">
        <v>6806197.7000000002</v>
      </c>
      <c r="S155" s="57">
        <v>1.5636000000000001</v>
      </c>
      <c r="T155" s="57"/>
      <c r="U155" s="57"/>
    </row>
    <row r="156" spans="1:21" ht="18" customHeight="1" x14ac:dyDescent="0.15">
      <c r="A156" s="5" t="s">
        <v>2004</v>
      </c>
      <c r="B156" s="6" t="s">
        <v>2005</v>
      </c>
      <c r="C156" s="6" t="s">
        <v>2012</v>
      </c>
      <c r="D156" s="8" t="s">
        <v>2045</v>
      </c>
      <c r="E156" s="8" t="s">
        <v>2005</v>
      </c>
      <c r="F156" s="43" t="s">
        <v>2008</v>
      </c>
      <c r="G156" s="43" t="s">
        <v>2009</v>
      </c>
      <c r="H156" s="50">
        <v>1.5475000000000001</v>
      </c>
      <c r="I156" s="50">
        <v>0.49630000000000002</v>
      </c>
      <c r="J156" s="50">
        <v>4.8258999999999999</v>
      </c>
      <c r="K156" s="50">
        <v>0.45174209287037942</v>
      </c>
      <c r="L156" s="6">
        <v>493521</v>
      </c>
      <c r="M156" s="57">
        <v>322</v>
      </c>
      <c r="N156" s="57">
        <v>4727</v>
      </c>
      <c r="O156" s="57">
        <v>3</v>
      </c>
      <c r="P156" s="57">
        <v>40936</v>
      </c>
      <c r="Q156" s="57">
        <v>319</v>
      </c>
      <c r="R156" s="57">
        <v>6806197.7000000002</v>
      </c>
      <c r="S156" s="57">
        <v>1.5636000000000001</v>
      </c>
      <c r="T156" s="57"/>
      <c r="U156" s="57"/>
    </row>
    <row r="157" spans="1:21" ht="18" customHeight="1" x14ac:dyDescent="0.15">
      <c r="A157" s="5" t="s">
        <v>2004</v>
      </c>
      <c r="B157" s="6" t="s">
        <v>2005</v>
      </c>
      <c r="C157" s="6" t="s">
        <v>2013</v>
      </c>
      <c r="D157" s="8" t="s">
        <v>2045</v>
      </c>
      <c r="E157" s="8" t="s">
        <v>2005</v>
      </c>
      <c r="F157" s="43" t="s">
        <v>2008</v>
      </c>
      <c r="G157" s="43" t="s">
        <v>2009</v>
      </c>
      <c r="H157" s="50">
        <v>1.4966999999999999</v>
      </c>
      <c r="I157" s="50">
        <v>0.47449999999999998</v>
      </c>
      <c r="J157" s="50">
        <v>4.7210000000000001</v>
      </c>
      <c r="K157" s="50">
        <v>0.4913901244243043</v>
      </c>
      <c r="L157" s="6">
        <v>493521</v>
      </c>
      <c r="M157" s="57">
        <v>322</v>
      </c>
      <c r="N157" s="57">
        <v>4727</v>
      </c>
      <c r="O157" s="57">
        <v>3</v>
      </c>
      <c r="P157" s="57">
        <v>40936</v>
      </c>
      <c r="Q157" s="57">
        <v>319</v>
      </c>
      <c r="R157" s="57">
        <v>6806197.7000000002</v>
      </c>
      <c r="S157" s="57">
        <v>1.5636000000000001</v>
      </c>
      <c r="T157" s="57"/>
      <c r="U157" s="57"/>
    </row>
    <row r="158" spans="1:21" ht="18" customHeight="1" x14ac:dyDescent="0.15">
      <c r="A158" s="5" t="s">
        <v>2004</v>
      </c>
      <c r="B158" s="6" t="s">
        <v>2005</v>
      </c>
      <c r="C158" s="6" t="s">
        <v>2006</v>
      </c>
      <c r="D158" s="8" t="s">
        <v>2046</v>
      </c>
      <c r="E158" s="8" t="s">
        <v>2005</v>
      </c>
      <c r="F158" s="43" t="s">
        <v>2008</v>
      </c>
      <c r="G158" s="43" t="s">
        <v>2009</v>
      </c>
      <c r="H158" s="50">
        <v>2.3574000000000002</v>
      </c>
      <c r="I158" s="50"/>
      <c r="J158" s="50"/>
      <c r="K158" s="50"/>
      <c r="L158" s="6">
        <v>484442</v>
      </c>
      <c r="M158" s="57">
        <v>4456</v>
      </c>
      <c r="N158" s="57">
        <v>4504</v>
      </c>
      <c r="O158" s="57">
        <v>60</v>
      </c>
      <c r="P158" s="57">
        <v>38702.300000000003</v>
      </c>
      <c r="Q158" s="57">
        <v>4396</v>
      </c>
      <c r="R158" s="57">
        <v>6684728.9000000004</v>
      </c>
      <c r="S158" s="57">
        <v>2.3574000000000002</v>
      </c>
      <c r="T158" s="57"/>
      <c r="U158" s="57"/>
    </row>
    <row r="159" spans="1:21" ht="18" customHeight="1" x14ac:dyDescent="0.15">
      <c r="A159" s="5" t="s">
        <v>2004</v>
      </c>
      <c r="B159" s="6" t="s">
        <v>2005</v>
      </c>
      <c r="C159" s="6" t="s">
        <v>2010</v>
      </c>
      <c r="D159" s="8" t="s">
        <v>2046</v>
      </c>
      <c r="E159" s="8" t="s">
        <v>2005</v>
      </c>
      <c r="F159" s="43" t="s">
        <v>2008</v>
      </c>
      <c r="G159" s="43" t="s">
        <v>2009</v>
      </c>
      <c r="H159" s="50">
        <v>2.3574000000000002</v>
      </c>
      <c r="I159" s="50">
        <v>1.8318000000000001</v>
      </c>
      <c r="J159" s="50">
        <v>3.0339999999999998</v>
      </c>
      <c r="K159" s="50">
        <v>2.6982409416957989E-11</v>
      </c>
      <c r="L159" s="6">
        <v>484442</v>
      </c>
      <c r="M159" s="57">
        <v>4456</v>
      </c>
      <c r="N159" s="57">
        <v>4504</v>
      </c>
      <c r="O159" s="57">
        <v>60</v>
      </c>
      <c r="P159" s="57">
        <v>38702.300000000003</v>
      </c>
      <c r="Q159" s="57">
        <v>4396</v>
      </c>
      <c r="R159" s="57">
        <v>6684728.9000000004</v>
      </c>
      <c r="S159" s="57">
        <v>2.3574000000000002</v>
      </c>
      <c r="T159" s="57"/>
      <c r="U159" s="57"/>
    </row>
    <row r="160" spans="1:21" ht="18" customHeight="1" x14ac:dyDescent="0.15">
      <c r="A160" s="5" t="s">
        <v>2004</v>
      </c>
      <c r="B160" s="6" t="s">
        <v>2005</v>
      </c>
      <c r="C160" s="6" t="s">
        <v>2011</v>
      </c>
      <c r="D160" s="8" t="s">
        <v>2046</v>
      </c>
      <c r="E160" s="8" t="s">
        <v>2005</v>
      </c>
      <c r="F160" s="43" t="s">
        <v>2008</v>
      </c>
      <c r="G160" s="43" t="s">
        <v>2009</v>
      </c>
      <c r="H160" s="50">
        <v>2.5415000000000001</v>
      </c>
      <c r="I160" s="50">
        <v>1.9715</v>
      </c>
      <c r="J160" s="50">
        <v>3.2761999999999998</v>
      </c>
      <c r="K160" s="50">
        <v>6.0563715793964757E-13</v>
      </c>
      <c r="L160" s="6">
        <v>484442</v>
      </c>
      <c r="M160" s="57">
        <v>4456</v>
      </c>
      <c r="N160" s="57">
        <v>4504</v>
      </c>
      <c r="O160" s="57">
        <v>60</v>
      </c>
      <c r="P160" s="57">
        <v>38702.300000000003</v>
      </c>
      <c r="Q160" s="57">
        <v>4396</v>
      </c>
      <c r="R160" s="57">
        <v>6684728.9000000004</v>
      </c>
      <c r="S160" s="57">
        <v>2.3574000000000002</v>
      </c>
      <c r="T160" s="57"/>
      <c r="U160" s="57"/>
    </row>
    <row r="161" spans="1:21" ht="18" customHeight="1" x14ac:dyDescent="0.15">
      <c r="A161" s="5" t="s">
        <v>2004</v>
      </c>
      <c r="B161" s="6" t="s">
        <v>2005</v>
      </c>
      <c r="C161" s="6" t="s">
        <v>2012</v>
      </c>
      <c r="D161" s="8" t="s">
        <v>2046</v>
      </c>
      <c r="E161" s="8" t="s">
        <v>2005</v>
      </c>
      <c r="F161" s="43" t="s">
        <v>2008</v>
      </c>
      <c r="G161" s="43" t="s">
        <v>2009</v>
      </c>
      <c r="H161" s="50">
        <v>2.4628000000000001</v>
      </c>
      <c r="I161" s="50">
        <v>1.9101999999999999</v>
      </c>
      <c r="J161" s="50">
        <v>3.1753</v>
      </c>
      <c r="K161" s="50">
        <v>3.6043806036557542E-12</v>
      </c>
      <c r="L161" s="6">
        <v>484442</v>
      </c>
      <c r="M161" s="57">
        <v>4456</v>
      </c>
      <c r="N161" s="57">
        <v>4504</v>
      </c>
      <c r="O161" s="57">
        <v>60</v>
      </c>
      <c r="P161" s="57">
        <v>38702.300000000003</v>
      </c>
      <c r="Q161" s="57">
        <v>4396</v>
      </c>
      <c r="R161" s="57">
        <v>6684728.9000000004</v>
      </c>
      <c r="S161" s="57">
        <v>2.3574000000000002</v>
      </c>
      <c r="T161" s="57"/>
      <c r="U161" s="57"/>
    </row>
    <row r="162" spans="1:21" ht="18" customHeight="1" x14ac:dyDescent="0.15">
      <c r="A162" s="5" t="s">
        <v>2004</v>
      </c>
      <c r="B162" s="6" t="s">
        <v>2005</v>
      </c>
      <c r="C162" s="6" t="s">
        <v>2013</v>
      </c>
      <c r="D162" s="8" t="s">
        <v>2046</v>
      </c>
      <c r="E162" s="8" t="s">
        <v>2005</v>
      </c>
      <c r="F162" s="43" t="s">
        <v>2008</v>
      </c>
      <c r="G162" s="43" t="s">
        <v>2009</v>
      </c>
      <c r="H162" s="50">
        <v>1.5859000000000001</v>
      </c>
      <c r="I162" s="50">
        <v>1.2263999999999999</v>
      </c>
      <c r="J162" s="50">
        <v>2.0507</v>
      </c>
      <c r="K162" s="50">
        <v>4.3793701401546002E-4</v>
      </c>
      <c r="L162" s="6">
        <v>484442</v>
      </c>
      <c r="M162" s="57">
        <v>4456</v>
      </c>
      <c r="N162" s="57">
        <v>4504</v>
      </c>
      <c r="O162" s="57">
        <v>60</v>
      </c>
      <c r="P162" s="57">
        <v>38702.300000000003</v>
      </c>
      <c r="Q162" s="57">
        <v>4396</v>
      </c>
      <c r="R162" s="57">
        <v>6684728.9000000004</v>
      </c>
      <c r="S162" s="57">
        <v>2.3574000000000002</v>
      </c>
      <c r="T162" s="57"/>
      <c r="U162" s="57"/>
    </row>
    <row r="163" spans="1:21" ht="18" customHeight="1" x14ac:dyDescent="0.15">
      <c r="A163" s="5" t="s">
        <v>2014</v>
      </c>
      <c r="B163" s="6" t="s">
        <v>2005</v>
      </c>
      <c r="C163" s="6" t="s">
        <v>2015</v>
      </c>
      <c r="D163" s="8" t="s">
        <v>2046</v>
      </c>
      <c r="E163" s="8" t="s">
        <v>2005</v>
      </c>
      <c r="F163" s="43" t="s">
        <v>2008</v>
      </c>
      <c r="G163" s="43" t="s">
        <v>2009</v>
      </c>
      <c r="H163" s="50">
        <v>2.3574000000000002</v>
      </c>
      <c r="I163" s="50">
        <v>1.8318000000000001</v>
      </c>
      <c r="J163" s="50">
        <v>3.0339999999999998</v>
      </c>
      <c r="K163" s="50">
        <v>2.6982409416957989E-11</v>
      </c>
      <c r="L163" s="6">
        <v>484442</v>
      </c>
      <c r="M163" s="57">
        <v>4456</v>
      </c>
      <c r="N163" s="57"/>
      <c r="O163" s="57"/>
      <c r="P163" s="57"/>
      <c r="Q163" s="57"/>
      <c r="R163" s="57"/>
      <c r="S163" s="57"/>
      <c r="T163" s="57"/>
      <c r="U163" s="57"/>
    </row>
    <row r="164" spans="1:21" ht="18" customHeight="1" x14ac:dyDescent="0.15">
      <c r="A164" s="5" t="s">
        <v>2014</v>
      </c>
      <c r="B164" s="6" t="s">
        <v>2005</v>
      </c>
      <c r="C164" s="6" t="s">
        <v>2016</v>
      </c>
      <c r="D164" s="8" t="s">
        <v>2046</v>
      </c>
      <c r="E164" s="8" t="s">
        <v>2005</v>
      </c>
      <c r="F164" s="43" t="s">
        <v>2008</v>
      </c>
      <c r="G164" s="43" t="s">
        <v>2009</v>
      </c>
      <c r="H164" s="50">
        <v>2.5415000000000001</v>
      </c>
      <c r="I164" s="50">
        <v>1.9715</v>
      </c>
      <c r="J164" s="50">
        <v>3.2761999999999998</v>
      </c>
      <c r="K164" s="50">
        <v>6.0563715793964757E-13</v>
      </c>
      <c r="L164" s="6">
        <v>484442</v>
      </c>
      <c r="M164" s="57">
        <v>4456</v>
      </c>
      <c r="N164" s="57"/>
      <c r="O164" s="57"/>
      <c r="P164" s="57"/>
      <c r="Q164" s="57"/>
      <c r="R164" s="57"/>
      <c r="S164" s="57"/>
      <c r="T164" s="57"/>
      <c r="U164" s="57"/>
    </row>
    <row r="165" spans="1:21" ht="18" customHeight="1" x14ac:dyDescent="0.15">
      <c r="A165" s="5" t="s">
        <v>2014</v>
      </c>
      <c r="B165" s="6" t="s">
        <v>2005</v>
      </c>
      <c r="C165" s="6" t="s">
        <v>2017</v>
      </c>
      <c r="D165" s="8" t="s">
        <v>2046</v>
      </c>
      <c r="E165" s="8" t="s">
        <v>2005</v>
      </c>
      <c r="F165" s="43" t="s">
        <v>2008</v>
      </c>
      <c r="G165" s="43" t="s">
        <v>2009</v>
      </c>
      <c r="H165" s="50">
        <v>2.2484999999999999</v>
      </c>
      <c r="I165" s="50">
        <v>1.7456</v>
      </c>
      <c r="J165" s="50">
        <v>2.8963999999999999</v>
      </c>
      <c r="K165" s="50">
        <v>3.557396013833743E-10</v>
      </c>
      <c r="L165" s="6">
        <v>484442</v>
      </c>
      <c r="M165" s="57">
        <v>4456</v>
      </c>
      <c r="N165" s="57"/>
      <c r="O165" s="57"/>
      <c r="P165" s="57"/>
      <c r="Q165" s="57"/>
      <c r="R165" s="57"/>
      <c r="S165" s="57"/>
      <c r="T165" s="57"/>
      <c r="U165" s="57"/>
    </row>
    <row r="166" spans="1:21" ht="18" customHeight="1" x14ac:dyDescent="0.15">
      <c r="A166" s="5" t="s">
        <v>2014</v>
      </c>
      <c r="B166" s="6" t="s">
        <v>2005</v>
      </c>
      <c r="C166" s="6" t="s">
        <v>2018</v>
      </c>
      <c r="D166" s="8" t="s">
        <v>2046</v>
      </c>
      <c r="E166" s="8" t="s">
        <v>2005</v>
      </c>
      <c r="F166" s="43" t="s">
        <v>2008</v>
      </c>
      <c r="G166" s="43" t="s">
        <v>2009</v>
      </c>
      <c r="H166" s="50">
        <v>2.4176000000000002</v>
      </c>
      <c r="I166" s="50">
        <v>1.7496</v>
      </c>
      <c r="J166" s="50">
        <v>3.3407</v>
      </c>
      <c r="K166" s="50">
        <v>8.7949891103350439E-8</v>
      </c>
      <c r="L166" s="6">
        <v>484442</v>
      </c>
      <c r="M166" s="57">
        <v>4456</v>
      </c>
      <c r="N166" s="57"/>
      <c r="O166" s="57"/>
      <c r="P166" s="57"/>
      <c r="Q166" s="57"/>
      <c r="R166" s="57"/>
      <c r="S166" s="57"/>
      <c r="T166" s="57"/>
      <c r="U166" s="57"/>
    </row>
    <row r="167" spans="1:21" ht="18" customHeight="1" x14ac:dyDescent="0.15">
      <c r="A167" s="5" t="s">
        <v>2014</v>
      </c>
      <c r="B167" s="6" t="s">
        <v>2005</v>
      </c>
      <c r="C167" s="6" t="s">
        <v>2019</v>
      </c>
      <c r="D167" s="8" t="s">
        <v>2046</v>
      </c>
      <c r="E167" s="8" t="s">
        <v>2005</v>
      </c>
      <c r="F167" s="43" t="s">
        <v>2008</v>
      </c>
      <c r="G167" s="43" t="s">
        <v>1816</v>
      </c>
      <c r="H167" s="50">
        <v>2.2679</v>
      </c>
      <c r="I167" s="50">
        <v>1.4841</v>
      </c>
      <c r="J167" s="50">
        <v>3.4657</v>
      </c>
      <c r="K167" s="50">
        <v>1.5374904077890001E-4</v>
      </c>
      <c r="L167" s="6">
        <v>481562</v>
      </c>
      <c r="M167" s="57">
        <v>1325</v>
      </c>
      <c r="N167" s="57"/>
      <c r="O167" s="57"/>
      <c r="P167" s="57"/>
      <c r="Q167" s="57"/>
      <c r="R167" s="57"/>
      <c r="S167" s="57"/>
      <c r="T167" s="57"/>
      <c r="U167" s="57"/>
    </row>
    <row r="168" spans="1:21" ht="18" customHeight="1" x14ac:dyDescent="0.15">
      <c r="A168" s="5" t="s">
        <v>2014</v>
      </c>
      <c r="B168" s="6" t="s">
        <v>2005</v>
      </c>
      <c r="C168" s="6" t="s">
        <v>2020</v>
      </c>
      <c r="D168" s="8" t="s">
        <v>2046</v>
      </c>
      <c r="E168" s="8" t="s">
        <v>2005</v>
      </c>
      <c r="F168" s="43" t="s">
        <v>2008</v>
      </c>
      <c r="G168" s="43" t="s">
        <v>2009</v>
      </c>
      <c r="H168" s="50">
        <v>2.4371</v>
      </c>
      <c r="I168" s="50">
        <v>1.8863000000000001</v>
      </c>
      <c r="J168" s="50">
        <v>3.1486999999999998</v>
      </c>
      <c r="K168" s="50">
        <v>9.3889665584763691E-12</v>
      </c>
      <c r="L168" s="6">
        <v>481562</v>
      </c>
      <c r="M168" s="57">
        <v>4447</v>
      </c>
      <c r="N168" s="57"/>
      <c r="O168" s="57"/>
      <c r="P168" s="57"/>
      <c r="Q168" s="57"/>
      <c r="R168" s="57"/>
      <c r="S168" s="57"/>
      <c r="T168" s="57"/>
      <c r="U168" s="57"/>
    </row>
    <row r="169" spans="1:21" ht="18" customHeight="1" x14ac:dyDescent="0.15">
      <c r="A169" s="5" t="s">
        <v>2021</v>
      </c>
      <c r="B169" s="6" t="s">
        <v>2005</v>
      </c>
      <c r="C169" s="6" t="s">
        <v>2022</v>
      </c>
      <c r="D169" s="8" t="s">
        <v>2046</v>
      </c>
      <c r="E169" s="8" t="s">
        <v>2005</v>
      </c>
      <c r="F169" s="43" t="s">
        <v>2008</v>
      </c>
      <c r="G169" s="43" t="s">
        <v>2009</v>
      </c>
      <c r="H169" s="50">
        <v>2.8447</v>
      </c>
      <c r="I169" s="50">
        <v>0.41899999999999998</v>
      </c>
      <c r="J169" s="50">
        <v>19.313500000000001</v>
      </c>
      <c r="K169" s="50">
        <v>0.28469555637310751</v>
      </c>
      <c r="L169" s="6">
        <v>4823</v>
      </c>
      <c r="M169" s="57">
        <v>56</v>
      </c>
      <c r="N169" s="57"/>
      <c r="O169" s="57"/>
      <c r="P169" s="57"/>
      <c r="Q169" s="57"/>
      <c r="R169" s="57"/>
      <c r="S169" s="57"/>
      <c r="T169" s="57" t="s">
        <v>2023</v>
      </c>
      <c r="U169" s="57" t="s">
        <v>2024</v>
      </c>
    </row>
    <row r="170" spans="1:21" ht="18" customHeight="1" x14ac:dyDescent="0.15">
      <c r="A170" s="5" t="s">
        <v>2021</v>
      </c>
      <c r="B170" s="6" t="s">
        <v>2005</v>
      </c>
      <c r="C170" s="6" t="s">
        <v>2022</v>
      </c>
      <c r="D170" s="8" t="s">
        <v>2046</v>
      </c>
      <c r="E170" s="8" t="s">
        <v>2005</v>
      </c>
      <c r="F170" s="43" t="s">
        <v>2008</v>
      </c>
      <c r="G170" s="43" t="s">
        <v>2009</v>
      </c>
      <c r="H170" s="50">
        <v>2.536</v>
      </c>
      <c r="I170" s="50">
        <v>1.6520999999999999</v>
      </c>
      <c r="J170" s="50">
        <v>3.8927</v>
      </c>
      <c r="K170" s="50">
        <v>2.07786658784357E-5</v>
      </c>
      <c r="L170" s="6">
        <v>320811</v>
      </c>
      <c r="M170" s="57">
        <v>1887</v>
      </c>
      <c r="N170" s="57"/>
      <c r="O170" s="57"/>
      <c r="P170" s="57"/>
      <c r="Q170" s="57"/>
      <c r="R170" s="57"/>
      <c r="S170" s="57"/>
      <c r="T170" s="57" t="s">
        <v>2023</v>
      </c>
      <c r="U170" s="57" t="s">
        <v>2025</v>
      </c>
    </row>
    <row r="171" spans="1:21" ht="18" customHeight="1" x14ac:dyDescent="0.15">
      <c r="A171" s="5" t="s">
        <v>2021</v>
      </c>
      <c r="B171" s="6" t="s">
        <v>2005</v>
      </c>
      <c r="C171" s="6" t="s">
        <v>2022</v>
      </c>
      <c r="D171" s="8" t="s">
        <v>2046</v>
      </c>
      <c r="E171" s="8" t="s">
        <v>2005</v>
      </c>
      <c r="F171" s="43" t="s">
        <v>2008</v>
      </c>
      <c r="G171" s="43" t="s">
        <v>2009</v>
      </c>
      <c r="H171" s="50">
        <v>2.2385999999999999</v>
      </c>
      <c r="I171" s="50">
        <v>1.6289</v>
      </c>
      <c r="J171" s="50">
        <v>3.0764999999999998</v>
      </c>
      <c r="K171" s="50">
        <v>6.7677531813994632E-7</v>
      </c>
      <c r="L171" s="6">
        <v>158808</v>
      </c>
      <c r="M171" s="57">
        <v>2513</v>
      </c>
      <c r="N171" s="57"/>
      <c r="O171" s="57"/>
      <c r="P171" s="57"/>
      <c r="Q171" s="57"/>
      <c r="R171" s="57"/>
      <c r="S171" s="57"/>
      <c r="T171" s="57" t="s">
        <v>2023</v>
      </c>
      <c r="U171" s="57" t="s">
        <v>2026</v>
      </c>
    </row>
    <row r="172" spans="1:21" ht="18" customHeight="1" x14ac:dyDescent="0.15">
      <c r="A172" s="5" t="s">
        <v>2021</v>
      </c>
      <c r="B172" s="6" t="s">
        <v>2005</v>
      </c>
      <c r="C172" s="6" t="s">
        <v>2022</v>
      </c>
      <c r="D172" s="8" t="s">
        <v>2046</v>
      </c>
      <c r="E172" s="8" t="s">
        <v>2005</v>
      </c>
      <c r="F172" s="43" t="s">
        <v>2008</v>
      </c>
      <c r="G172" s="43" t="s">
        <v>2009</v>
      </c>
      <c r="H172" s="50">
        <v>9.7361000000000004</v>
      </c>
      <c r="I172" s="50">
        <v>2.4217</v>
      </c>
      <c r="J172" s="50">
        <v>39.142699999999998</v>
      </c>
      <c r="K172" s="50">
        <v>1.34653199587854E-3</v>
      </c>
      <c r="L172" s="6">
        <v>3512</v>
      </c>
      <c r="M172" s="57">
        <v>45</v>
      </c>
      <c r="N172" s="57"/>
      <c r="O172" s="57"/>
      <c r="P172" s="57"/>
      <c r="Q172" s="57"/>
      <c r="R172" s="57"/>
      <c r="S172" s="57"/>
      <c r="T172" s="57" t="s">
        <v>2027</v>
      </c>
      <c r="U172" s="57" t="s">
        <v>2024</v>
      </c>
    </row>
    <row r="173" spans="1:21" ht="18" customHeight="1" x14ac:dyDescent="0.15">
      <c r="A173" s="5" t="s">
        <v>2021</v>
      </c>
      <c r="B173" s="6" t="s">
        <v>2005</v>
      </c>
      <c r="C173" s="6" t="s">
        <v>2022</v>
      </c>
      <c r="D173" s="8" t="s">
        <v>2046</v>
      </c>
      <c r="E173" s="8" t="s">
        <v>2005</v>
      </c>
      <c r="F173" s="43" t="s">
        <v>2008</v>
      </c>
      <c r="G173" s="43" t="s">
        <v>2009</v>
      </c>
      <c r="H173" s="50">
        <v>2.4373</v>
      </c>
      <c r="I173" s="50">
        <v>1.7888999999999999</v>
      </c>
      <c r="J173" s="50">
        <v>3.3207</v>
      </c>
      <c r="K173" s="50">
        <v>1.6492707216894191E-8</v>
      </c>
      <c r="L173" s="6">
        <v>427118</v>
      </c>
      <c r="M173" s="57">
        <v>3396</v>
      </c>
      <c r="N173" s="57"/>
      <c r="O173" s="57"/>
      <c r="P173" s="57"/>
      <c r="Q173" s="57"/>
      <c r="R173" s="57"/>
      <c r="S173" s="57"/>
      <c r="T173" s="57" t="s">
        <v>2027</v>
      </c>
      <c r="U173" s="57" t="s">
        <v>2025</v>
      </c>
    </row>
    <row r="174" spans="1:21" ht="18" customHeight="1" x14ac:dyDescent="0.15">
      <c r="A174" s="5" t="s">
        <v>2021</v>
      </c>
      <c r="B174" s="6" t="s">
        <v>2005</v>
      </c>
      <c r="C174" s="6" t="s">
        <v>2022</v>
      </c>
      <c r="D174" s="8" t="s">
        <v>2046</v>
      </c>
      <c r="E174" s="8" t="s">
        <v>2005</v>
      </c>
      <c r="F174" s="43" t="s">
        <v>2008</v>
      </c>
      <c r="G174" s="43" t="s">
        <v>2009</v>
      </c>
      <c r="H174" s="50">
        <v>2.1145</v>
      </c>
      <c r="I174" s="50">
        <v>1.3263</v>
      </c>
      <c r="J174" s="50">
        <v>3.3711000000000002</v>
      </c>
      <c r="K174" s="50">
        <v>1.6511209549395301E-3</v>
      </c>
      <c r="L174" s="6">
        <v>53812</v>
      </c>
      <c r="M174" s="57">
        <v>1015</v>
      </c>
      <c r="N174" s="57"/>
      <c r="O174" s="57"/>
      <c r="P174" s="57"/>
      <c r="Q174" s="57"/>
      <c r="R174" s="57"/>
      <c r="S174" s="57"/>
      <c r="T174" s="57" t="s">
        <v>2027</v>
      </c>
      <c r="U174" s="57" t="s">
        <v>2026</v>
      </c>
    </row>
    <row r="175" spans="1:21" ht="18" customHeight="1" x14ac:dyDescent="0.15">
      <c r="A175" s="5" t="s">
        <v>2021</v>
      </c>
      <c r="B175" s="6" t="s">
        <v>2005</v>
      </c>
      <c r="C175" s="6" t="s">
        <v>2022</v>
      </c>
      <c r="D175" s="8" t="s">
        <v>2046</v>
      </c>
      <c r="E175" s="8" t="s">
        <v>2005</v>
      </c>
      <c r="F175" s="43" t="s">
        <v>2008</v>
      </c>
      <c r="G175" s="43" t="s">
        <v>2009</v>
      </c>
      <c r="H175" s="50">
        <v>2.5222000000000002</v>
      </c>
      <c r="I175" s="50">
        <v>1.8811</v>
      </c>
      <c r="J175" s="50">
        <v>3.3816999999999999</v>
      </c>
      <c r="K175" s="50">
        <v>6.3005301573776828E-10</v>
      </c>
      <c r="L175" s="6">
        <v>317672</v>
      </c>
      <c r="M175" s="57">
        <v>3374</v>
      </c>
      <c r="N175" s="57"/>
      <c r="O175" s="57"/>
      <c r="P175" s="57"/>
      <c r="Q175" s="57"/>
      <c r="R175" s="57"/>
      <c r="S175" s="57"/>
      <c r="T175" s="57" t="s">
        <v>2028</v>
      </c>
      <c r="U175" s="57" t="s">
        <v>2029</v>
      </c>
    </row>
    <row r="176" spans="1:21" ht="18" customHeight="1" x14ac:dyDescent="0.15">
      <c r="A176" s="5" t="s">
        <v>2021</v>
      </c>
      <c r="B176" s="6" t="s">
        <v>2005</v>
      </c>
      <c r="C176" s="6" t="s">
        <v>2022</v>
      </c>
      <c r="D176" s="8" t="s">
        <v>2046</v>
      </c>
      <c r="E176" s="8" t="s">
        <v>2005</v>
      </c>
      <c r="F176" s="43" t="s">
        <v>2008</v>
      </c>
      <c r="G176" s="43" t="s">
        <v>2009</v>
      </c>
      <c r="H176" s="50">
        <v>2.7118000000000002</v>
      </c>
      <c r="I176" s="50">
        <v>1.6366000000000001</v>
      </c>
      <c r="J176" s="50">
        <v>4.4934000000000003</v>
      </c>
      <c r="K176" s="50">
        <v>1.0801092320682E-4</v>
      </c>
      <c r="L176" s="6">
        <v>166770</v>
      </c>
      <c r="M176" s="57">
        <v>1082</v>
      </c>
      <c r="N176" s="57"/>
      <c r="O176" s="57"/>
      <c r="P176" s="57"/>
      <c r="Q176" s="57"/>
      <c r="R176" s="57"/>
      <c r="S176" s="57"/>
      <c r="T176" s="57" t="s">
        <v>2028</v>
      </c>
      <c r="U176" s="57" t="s">
        <v>2030</v>
      </c>
    </row>
    <row r="177" spans="1:21" ht="18" customHeight="1" x14ac:dyDescent="0.15">
      <c r="A177" s="5" t="s">
        <v>2004</v>
      </c>
      <c r="B177" s="6" t="s">
        <v>2047</v>
      </c>
      <c r="C177" s="6" t="s">
        <v>2006</v>
      </c>
      <c r="D177" s="8" t="s">
        <v>2007</v>
      </c>
      <c r="E177" s="8" t="s">
        <v>2047</v>
      </c>
      <c r="F177" s="43" t="s">
        <v>2048</v>
      </c>
      <c r="G177" s="43" t="s">
        <v>2009</v>
      </c>
      <c r="H177" s="50">
        <v>1.1829000000000001</v>
      </c>
      <c r="I177" s="50"/>
      <c r="J177" s="50"/>
      <c r="K177" s="50"/>
      <c r="L177" s="6">
        <v>373015</v>
      </c>
      <c r="M177" s="57">
        <v>40972</v>
      </c>
      <c r="N177" s="57">
        <v>17799</v>
      </c>
      <c r="O177" s="57">
        <v>1679</v>
      </c>
      <c r="P177" s="57">
        <v>179053</v>
      </c>
      <c r="Q177" s="57">
        <v>39293</v>
      </c>
      <c r="R177" s="57">
        <v>4956526.2</v>
      </c>
      <c r="S177" s="57">
        <v>1.1829000000000001</v>
      </c>
      <c r="T177" s="57"/>
      <c r="U177" s="57"/>
    </row>
    <row r="178" spans="1:21" ht="18" customHeight="1" x14ac:dyDescent="0.15">
      <c r="A178" s="5" t="s">
        <v>2004</v>
      </c>
      <c r="B178" s="6" t="s">
        <v>2047</v>
      </c>
      <c r="C178" s="6" t="s">
        <v>2010</v>
      </c>
      <c r="D178" s="8" t="s">
        <v>2007</v>
      </c>
      <c r="E178" s="8" t="s">
        <v>2047</v>
      </c>
      <c r="F178" s="43" t="s">
        <v>2048</v>
      </c>
      <c r="G178" s="43" t="s">
        <v>2009</v>
      </c>
      <c r="H178" s="50">
        <v>1.1829000000000001</v>
      </c>
      <c r="I178" s="50">
        <v>1.1292</v>
      </c>
      <c r="J178" s="50">
        <v>1.2390000000000001</v>
      </c>
      <c r="K178" s="50">
        <v>1.29580931469641E-12</v>
      </c>
      <c r="L178" s="6">
        <v>373015</v>
      </c>
      <c r="M178" s="57">
        <v>40972</v>
      </c>
      <c r="N178" s="57">
        <v>17799</v>
      </c>
      <c r="O178" s="57">
        <v>1679</v>
      </c>
      <c r="P178" s="57">
        <v>179053</v>
      </c>
      <c r="Q178" s="57">
        <v>39293</v>
      </c>
      <c r="R178" s="57">
        <v>4956526.2</v>
      </c>
      <c r="S178" s="57">
        <v>1.1829000000000001</v>
      </c>
      <c r="T178" s="57"/>
      <c r="U178" s="57"/>
    </row>
    <row r="179" spans="1:21" ht="18" customHeight="1" x14ac:dyDescent="0.15">
      <c r="A179" s="5" t="s">
        <v>2004</v>
      </c>
      <c r="B179" s="6" t="s">
        <v>2047</v>
      </c>
      <c r="C179" s="6" t="s">
        <v>2011</v>
      </c>
      <c r="D179" s="8" t="s">
        <v>2007</v>
      </c>
      <c r="E179" s="8" t="s">
        <v>2047</v>
      </c>
      <c r="F179" s="43" t="s">
        <v>2048</v>
      </c>
      <c r="G179" s="43" t="s">
        <v>2009</v>
      </c>
      <c r="H179" s="50">
        <v>1.1541999999999999</v>
      </c>
      <c r="I179" s="50">
        <v>1.1014999999999999</v>
      </c>
      <c r="J179" s="50">
        <v>1.2095</v>
      </c>
      <c r="K179" s="50">
        <v>1.8579788979051801E-9</v>
      </c>
      <c r="L179" s="6">
        <v>373015</v>
      </c>
      <c r="M179" s="57">
        <v>40972</v>
      </c>
      <c r="N179" s="57">
        <v>17799</v>
      </c>
      <c r="O179" s="57">
        <v>1679</v>
      </c>
      <c r="P179" s="57">
        <v>179053</v>
      </c>
      <c r="Q179" s="57">
        <v>39293</v>
      </c>
      <c r="R179" s="57">
        <v>4956526.2</v>
      </c>
      <c r="S179" s="57">
        <v>1.1829000000000001</v>
      </c>
      <c r="T179" s="57"/>
      <c r="U179" s="57"/>
    </row>
    <row r="180" spans="1:21" ht="18" customHeight="1" x14ac:dyDescent="0.15">
      <c r="A180" s="5" t="s">
        <v>2004</v>
      </c>
      <c r="B180" s="6" t="s">
        <v>2047</v>
      </c>
      <c r="C180" s="6" t="s">
        <v>2012</v>
      </c>
      <c r="D180" s="8" t="s">
        <v>2007</v>
      </c>
      <c r="E180" s="8" t="s">
        <v>2047</v>
      </c>
      <c r="F180" s="43" t="s">
        <v>2048</v>
      </c>
      <c r="G180" s="43" t="s">
        <v>2009</v>
      </c>
      <c r="H180" s="50">
        <v>1.2694000000000001</v>
      </c>
      <c r="I180" s="50">
        <v>1.2118</v>
      </c>
      <c r="J180" s="50">
        <v>1.3298000000000001</v>
      </c>
      <c r="K180" s="50">
        <v>8.0482937676757197E-24</v>
      </c>
      <c r="L180" s="6">
        <v>373015</v>
      </c>
      <c r="M180" s="57">
        <v>40972</v>
      </c>
      <c r="N180" s="57">
        <v>17799</v>
      </c>
      <c r="O180" s="57">
        <v>1679</v>
      </c>
      <c r="P180" s="57">
        <v>179053</v>
      </c>
      <c r="Q180" s="57">
        <v>39293</v>
      </c>
      <c r="R180" s="57">
        <v>4956526.2</v>
      </c>
      <c r="S180" s="57">
        <v>1.1829000000000001</v>
      </c>
      <c r="T180" s="57"/>
      <c r="U180" s="57"/>
    </row>
    <row r="181" spans="1:21" ht="18" customHeight="1" x14ac:dyDescent="0.15">
      <c r="A181" s="5" t="s">
        <v>2004</v>
      </c>
      <c r="B181" s="6" t="s">
        <v>2047</v>
      </c>
      <c r="C181" s="6" t="s">
        <v>2013</v>
      </c>
      <c r="D181" s="8" t="s">
        <v>2007</v>
      </c>
      <c r="E181" s="8" t="s">
        <v>2047</v>
      </c>
      <c r="F181" s="43" t="s">
        <v>2048</v>
      </c>
      <c r="G181" s="43" t="s">
        <v>2009</v>
      </c>
      <c r="H181" s="50">
        <v>1.2541</v>
      </c>
      <c r="I181" s="50">
        <v>1.1969000000000001</v>
      </c>
      <c r="J181" s="50">
        <v>1.3140000000000001</v>
      </c>
      <c r="K181" s="50">
        <v>2.0918499969057861E-21</v>
      </c>
      <c r="L181" s="6">
        <v>373015</v>
      </c>
      <c r="M181" s="57">
        <v>40972</v>
      </c>
      <c r="N181" s="57">
        <v>17799</v>
      </c>
      <c r="O181" s="57">
        <v>1679</v>
      </c>
      <c r="P181" s="57">
        <v>179053</v>
      </c>
      <c r="Q181" s="57">
        <v>39293</v>
      </c>
      <c r="R181" s="57">
        <v>4956526.2</v>
      </c>
      <c r="S181" s="57">
        <v>1.1829000000000001</v>
      </c>
      <c r="T181" s="57"/>
      <c r="U181" s="57"/>
    </row>
    <row r="182" spans="1:21" ht="18" customHeight="1" x14ac:dyDescent="0.15">
      <c r="A182" s="5" t="s">
        <v>2014</v>
      </c>
      <c r="B182" s="6" t="s">
        <v>2047</v>
      </c>
      <c r="C182" s="6" t="s">
        <v>2015</v>
      </c>
      <c r="D182" s="8" t="s">
        <v>2007</v>
      </c>
      <c r="E182" s="8" t="s">
        <v>2047</v>
      </c>
      <c r="F182" s="43" t="s">
        <v>2048</v>
      </c>
      <c r="G182" s="43" t="s">
        <v>2009</v>
      </c>
      <c r="H182" s="50">
        <v>1.1829000000000001</v>
      </c>
      <c r="I182" s="50">
        <v>1.1292</v>
      </c>
      <c r="J182" s="50">
        <v>1.2390000000000001</v>
      </c>
      <c r="K182" s="50">
        <v>1.29580931469641E-12</v>
      </c>
      <c r="L182" s="6">
        <v>373015</v>
      </c>
      <c r="M182" s="57">
        <v>40972</v>
      </c>
      <c r="N182" s="57"/>
      <c r="O182" s="57"/>
      <c r="P182" s="57"/>
      <c r="Q182" s="57"/>
      <c r="R182" s="57"/>
      <c r="S182" s="57"/>
      <c r="T182" s="57"/>
      <c r="U182" s="57"/>
    </row>
    <row r="183" spans="1:21" ht="18" customHeight="1" x14ac:dyDescent="0.15">
      <c r="A183" s="5" t="s">
        <v>2014</v>
      </c>
      <c r="B183" s="6" t="s">
        <v>2047</v>
      </c>
      <c r="C183" s="6" t="s">
        <v>2016</v>
      </c>
      <c r="D183" s="8" t="s">
        <v>2007</v>
      </c>
      <c r="E183" s="8" t="s">
        <v>2047</v>
      </c>
      <c r="F183" s="43" t="s">
        <v>2048</v>
      </c>
      <c r="G183" s="43" t="s">
        <v>2009</v>
      </c>
      <c r="H183" s="50">
        <v>1.1541999999999999</v>
      </c>
      <c r="I183" s="50">
        <v>1.1014999999999999</v>
      </c>
      <c r="J183" s="50">
        <v>1.2095</v>
      </c>
      <c r="K183" s="50">
        <v>1.8579788979051801E-9</v>
      </c>
      <c r="L183" s="6">
        <v>373015</v>
      </c>
      <c r="M183" s="57">
        <v>40972</v>
      </c>
      <c r="N183" s="57"/>
      <c r="O183" s="57"/>
      <c r="P183" s="57"/>
      <c r="Q183" s="57"/>
      <c r="R183" s="57"/>
      <c r="S183" s="57"/>
      <c r="T183" s="57"/>
      <c r="U183" s="57"/>
    </row>
    <row r="184" spans="1:21" ht="18" customHeight="1" x14ac:dyDescent="0.15">
      <c r="A184" s="5" t="s">
        <v>2014</v>
      </c>
      <c r="B184" s="6" t="s">
        <v>2047</v>
      </c>
      <c r="C184" s="6" t="s">
        <v>2017</v>
      </c>
      <c r="D184" s="8" t="s">
        <v>2007</v>
      </c>
      <c r="E184" s="8" t="s">
        <v>2047</v>
      </c>
      <c r="F184" s="43" t="s">
        <v>2048</v>
      </c>
      <c r="G184" s="43" t="s">
        <v>2009</v>
      </c>
      <c r="H184" s="50">
        <v>1.2612000000000001</v>
      </c>
      <c r="I184" s="50">
        <v>1.2041999999999999</v>
      </c>
      <c r="J184" s="50">
        <v>1.3208</v>
      </c>
      <c r="K184" s="50">
        <v>7.8681359891934927E-23</v>
      </c>
      <c r="L184" s="6">
        <v>373015</v>
      </c>
      <c r="M184" s="57">
        <v>40972</v>
      </c>
      <c r="N184" s="57"/>
      <c r="O184" s="57"/>
      <c r="P184" s="57"/>
      <c r="Q184" s="57"/>
      <c r="R184" s="57"/>
      <c r="S184" s="57"/>
      <c r="T184" s="57"/>
      <c r="U184" s="57"/>
    </row>
    <row r="185" spans="1:21" ht="18" customHeight="1" x14ac:dyDescent="0.15">
      <c r="A185" s="5" t="s">
        <v>2014</v>
      </c>
      <c r="B185" s="6" t="s">
        <v>2047</v>
      </c>
      <c r="C185" s="6" t="s">
        <v>2018</v>
      </c>
      <c r="D185" s="8" t="s">
        <v>2007</v>
      </c>
      <c r="E185" s="8" t="s">
        <v>2047</v>
      </c>
      <c r="F185" s="43" t="s">
        <v>2048</v>
      </c>
      <c r="G185" s="43" t="s">
        <v>2009</v>
      </c>
      <c r="H185" s="50">
        <v>1.2518</v>
      </c>
      <c r="I185" s="50">
        <v>1.1598999999999999</v>
      </c>
      <c r="J185" s="50">
        <v>1.3509</v>
      </c>
      <c r="K185" s="50">
        <v>7.6632346380434782E-9</v>
      </c>
      <c r="L185" s="6">
        <v>373015</v>
      </c>
      <c r="M185" s="57">
        <v>40972</v>
      </c>
      <c r="N185" s="57"/>
      <c r="O185" s="57"/>
      <c r="P185" s="57"/>
      <c r="Q185" s="57"/>
      <c r="R185" s="57"/>
      <c r="S185" s="57"/>
      <c r="T185" s="57"/>
      <c r="U185" s="57"/>
    </row>
    <row r="186" spans="1:21" ht="18" customHeight="1" x14ac:dyDescent="0.15">
      <c r="A186" s="5" t="s">
        <v>2014</v>
      </c>
      <c r="B186" s="6" t="s">
        <v>2047</v>
      </c>
      <c r="C186" s="6" t="s">
        <v>2019</v>
      </c>
      <c r="D186" s="8" t="s">
        <v>2007</v>
      </c>
      <c r="E186" s="8" t="s">
        <v>2047</v>
      </c>
      <c r="F186" s="43" t="s">
        <v>2048</v>
      </c>
      <c r="G186" s="43" t="s">
        <v>1816</v>
      </c>
      <c r="H186" s="50">
        <v>2.8334000000000001</v>
      </c>
      <c r="I186" s="50">
        <v>2.5615999999999999</v>
      </c>
      <c r="J186" s="50">
        <v>3.1339999999999999</v>
      </c>
      <c r="K186" s="50">
        <v>4.2216323232517581E-91</v>
      </c>
      <c r="L186" s="6">
        <v>370699</v>
      </c>
      <c r="M186" s="57">
        <v>4513</v>
      </c>
      <c r="N186" s="57"/>
      <c r="O186" s="57"/>
      <c r="P186" s="57"/>
      <c r="Q186" s="57"/>
      <c r="R186" s="57"/>
      <c r="S186" s="57"/>
      <c r="T186" s="57"/>
      <c r="U186" s="57"/>
    </row>
    <row r="187" spans="1:21" ht="18" customHeight="1" x14ac:dyDescent="0.15">
      <c r="A187" s="5" t="s">
        <v>2014</v>
      </c>
      <c r="B187" s="6" t="s">
        <v>2047</v>
      </c>
      <c r="C187" s="6" t="s">
        <v>2020</v>
      </c>
      <c r="D187" s="8" t="s">
        <v>2007</v>
      </c>
      <c r="E187" s="8" t="s">
        <v>2047</v>
      </c>
      <c r="F187" s="43" t="s">
        <v>2048</v>
      </c>
      <c r="G187" s="43" t="s">
        <v>2009</v>
      </c>
      <c r="H187" s="50">
        <v>1.2551000000000001</v>
      </c>
      <c r="I187" s="50">
        <v>1.1977</v>
      </c>
      <c r="J187" s="50">
        <v>1.3151999999999999</v>
      </c>
      <c r="K187" s="50">
        <v>1.7595365163266629E-21</v>
      </c>
      <c r="L187" s="6">
        <v>370700</v>
      </c>
      <c r="M187" s="57">
        <v>40839</v>
      </c>
      <c r="N187" s="57"/>
      <c r="O187" s="57"/>
      <c r="P187" s="57"/>
      <c r="Q187" s="57"/>
      <c r="R187" s="57"/>
      <c r="S187" s="57"/>
      <c r="T187" s="57"/>
      <c r="U187" s="57"/>
    </row>
    <row r="188" spans="1:21" ht="18" customHeight="1" x14ac:dyDescent="0.15">
      <c r="A188" s="5" t="s">
        <v>2021</v>
      </c>
      <c r="B188" s="6" t="s">
        <v>2047</v>
      </c>
      <c r="C188" s="6" t="s">
        <v>2022</v>
      </c>
      <c r="D188" s="8" t="s">
        <v>2007</v>
      </c>
      <c r="E188" s="8" t="s">
        <v>2047</v>
      </c>
      <c r="F188" s="43" t="s">
        <v>2048</v>
      </c>
      <c r="G188" s="43" t="s">
        <v>2009</v>
      </c>
      <c r="H188" s="50">
        <v>0.97319999999999995</v>
      </c>
      <c r="I188" s="50">
        <v>0.66069999999999995</v>
      </c>
      <c r="J188" s="50">
        <v>1.4336</v>
      </c>
      <c r="K188" s="50">
        <v>0.89082443494602337</v>
      </c>
      <c r="L188" s="6">
        <v>3750</v>
      </c>
      <c r="M188" s="57">
        <v>641</v>
      </c>
      <c r="N188" s="57"/>
      <c r="O188" s="57"/>
      <c r="P188" s="57"/>
      <c r="Q188" s="57"/>
      <c r="R188" s="57"/>
      <c r="S188" s="57"/>
      <c r="T188" s="57" t="s">
        <v>2023</v>
      </c>
      <c r="U188" s="57" t="s">
        <v>2024</v>
      </c>
    </row>
    <row r="189" spans="1:21" ht="18" customHeight="1" x14ac:dyDescent="0.15">
      <c r="A189" s="5" t="s">
        <v>2021</v>
      </c>
      <c r="B189" s="6" t="s">
        <v>2047</v>
      </c>
      <c r="C189" s="6" t="s">
        <v>2022</v>
      </c>
      <c r="D189" s="8" t="s">
        <v>2007</v>
      </c>
      <c r="E189" s="8" t="s">
        <v>2047</v>
      </c>
      <c r="F189" s="43" t="s">
        <v>2048</v>
      </c>
      <c r="G189" s="43" t="s">
        <v>2009</v>
      </c>
      <c r="H189" s="50">
        <v>1.1850000000000001</v>
      </c>
      <c r="I189" s="50">
        <v>1.1108</v>
      </c>
      <c r="J189" s="50">
        <v>1.2642</v>
      </c>
      <c r="K189" s="50">
        <v>2.6557045230018468E-7</v>
      </c>
      <c r="L189" s="6">
        <v>272449</v>
      </c>
      <c r="M189" s="57">
        <v>21727</v>
      </c>
      <c r="N189" s="57"/>
      <c r="O189" s="57"/>
      <c r="P189" s="57"/>
      <c r="Q189" s="57"/>
      <c r="R189" s="57"/>
      <c r="S189" s="57"/>
      <c r="T189" s="57" t="s">
        <v>2023</v>
      </c>
      <c r="U189" s="57" t="s">
        <v>2025</v>
      </c>
    </row>
    <row r="190" spans="1:21" ht="18" customHeight="1" x14ac:dyDescent="0.15">
      <c r="A190" s="5" t="s">
        <v>2021</v>
      </c>
      <c r="B190" s="6" t="s">
        <v>2047</v>
      </c>
      <c r="C190" s="6" t="s">
        <v>2022</v>
      </c>
      <c r="D190" s="8" t="s">
        <v>2007</v>
      </c>
      <c r="E190" s="8" t="s">
        <v>2047</v>
      </c>
      <c r="F190" s="43" t="s">
        <v>2048</v>
      </c>
      <c r="G190" s="43" t="s">
        <v>2009</v>
      </c>
      <c r="H190" s="50">
        <v>1.1123000000000001</v>
      </c>
      <c r="I190" s="50">
        <v>1.0399</v>
      </c>
      <c r="J190" s="50">
        <v>1.1898</v>
      </c>
      <c r="K190" s="50">
        <v>1.93013211101557E-3</v>
      </c>
      <c r="L190" s="6">
        <v>96816</v>
      </c>
      <c r="M190" s="57">
        <v>18604</v>
      </c>
      <c r="N190" s="57"/>
      <c r="O190" s="57"/>
      <c r="P190" s="57"/>
      <c r="Q190" s="57"/>
      <c r="R190" s="57"/>
      <c r="S190" s="57"/>
      <c r="T190" s="57" t="s">
        <v>2023</v>
      </c>
      <c r="U190" s="57" t="s">
        <v>2026</v>
      </c>
    </row>
    <row r="191" spans="1:21" ht="18" customHeight="1" x14ac:dyDescent="0.15">
      <c r="A191" s="5" t="s">
        <v>2021</v>
      </c>
      <c r="B191" s="6" t="s">
        <v>2047</v>
      </c>
      <c r="C191" s="6" t="s">
        <v>2022</v>
      </c>
      <c r="D191" s="8" t="s">
        <v>2007</v>
      </c>
      <c r="E191" s="8" t="s">
        <v>2047</v>
      </c>
      <c r="F191" s="43" t="s">
        <v>2048</v>
      </c>
      <c r="G191" s="43" t="s">
        <v>2009</v>
      </c>
      <c r="H191" s="50">
        <v>0.9627</v>
      </c>
      <c r="I191" s="50">
        <v>0.58550000000000002</v>
      </c>
      <c r="J191" s="50">
        <v>1.5829</v>
      </c>
      <c r="K191" s="50">
        <v>0.88086260713484998</v>
      </c>
      <c r="L191" s="6">
        <v>2511</v>
      </c>
      <c r="M191" s="57">
        <v>503</v>
      </c>
      <c r="N191" s="57"/>
      <c r="O191" s="57"/>
      <c r="P191" s="57"/>
      <c r="Q191" s="57"/>
      <c r="R191" s="57"/>
      <c r="S191" s="57"/>
      <c r="T191" s="57" t="s">
        <v>2027</v>
      </c>
      <c r="U191" s="57" t="s">
        <v>2024</v>
      </c>
    </row>
    <row r="192" spans="1:21" ht="18" customHeight="1" x14ac:dyDescent="0.15">
      <c r="A192" s="5" t="s">
        <v>2021</v>
      </c>
      <c r="B192" s="6" t="s">
        <v>2047</v>
      </c>
      <c r="C192" s="6" t="s">
        <v>2022</v>
      </c>
      <c r="D192" s="8" t="s">
        <v>2007</v>
      </c>
      <c r="E192" s="8" t="s">
        <v>2047</v>
      </c>
      <c r="F192" s="43" t="s">
        <v>2048</v>
      </c>
      <c r="G192" s="43" t="s">
        <v>2009</v>
      </c>
      <c r="H192" s="50">
        <v>1.1749000000000001</v>
      </c>
      <c r="I192" s="50">
        <v>1.1163000000000001</v>
      </c>
      <c r="J192" s="50">
        <v>1.2364999999999999</v>
      </c>
      <c r="K192" s="50">
        <v>6.6270297516538785E-10</v>
      </c>
      <c r="L192" s="6">
        <v>343642</v>
      </c>
      <c r="M192" s="57">
        <v>33962</v>
      </c>
      <c r="N192" s="57"/>
      <c r="O192" s="57"/>
      <c r="P192" s="57"/>
      <c r="Q192" s="57"/>
      <c r="R192" s="57"/>
      <c r="S192" s="57"/>
      <c r="T192" s="57" t="s">
        <v>2027</v>
      </c>
      <c r="U192" s="57" t="s">
        <v>2025</v>
      </c>
    </row>
    <row r="193" spans="1:21" ht="18" customHeight="1" x14ac:dyDescent="0.15">
      <c r="A193" s="5" t="s">
        <v>2021</v>
      </c>
      <c r="B193" s="6" t="s">
        <v>2047</v>
      </c>
      <c r="C193" s="6" t="s">
        <v>2022</v>
      </c>
      <c r="D193" s="8" t="s">
        <v>2007</v>
      </c>
      <c r="E193" s="8" t="s">
        <v>2047</v>
      </c>
      <c r="F193" s="43" t="s">
        <v>2048</v>
      </c>
      <c r="G193" s="43" t="s">
        <v>2009</v>
      </c>
      <c r="H193" s="50">
        <v>1.0862000000000001</v>
      </c>
      <c r="I193" s="50">
        <v>0.96940000000000004</v>
      </c>
      <c r="J193" s="50">
        <v>1.2171000000000001</v>
      </c>
      <c r="K193" s="50">
        <v>0.15444963823936861</v>
      </c>
      <c r="L193" s="6">
        <v>26862</v>
      </c>
      <c r="M193" s="57">
        <v>6507</v>
      </c>
      <c r="N193" s="57"/>
      <c r="O193" s="57"/>
      <c r="P193" s="57"/>
      <c r="Q193" s="57"/>
      <c r="R193" s="57"/>
      <c r="S193" s="57"/>
      <c r="T193" s="57" t="s">
        <v>2027</v>
      </c>
      <c r="U193" s="57" t="s">
        <v>2026</v>
      </c>
    </row>
    <row r="194" spans="1:21" ht="18" customHeight="1" x14ac:dyDescent="0.15">
      <c r="A194" s="5" t="s">
        <v>2021</v>
      </c>
      <c r="B194" s="6" t="s">
        <v>2047</v>
      </c>
      <c r="C194" s="6" t="s">
        <v>2022</v>
      </c>
      <c r="D194" s="8" t="s">
        <v>2007</v>
      </c>
      <c r="E194" s="8" t="s">
        <v>2047</v>
      </c>
      <c r="F194" s="43" t="s">
        <v>2048</v>
      </c>
      <c r="G194" s="43" t="s">
        <v>2009</v>
      </c>
      <c r="H194" s="50">
        <v>1.0871999999999999</v>
      </c>
      <c r="I194" s="50">
        <v>1.0278</v>
      </c>
      <c r="J194" s="50">
        <v>1.1499999999999999</v>
      </c>
      <c r="K194" s="50">
        <v>3.52862399848047E-3</v>
      </c>
      <c r="L194" s="6">
        <v>240197</v>
      </c>
      <c r="M194" s="57">
        <v>30971</v>
      </c>
      <c r="N194" s="57"/>
      <c r="O194" s="57"/>
      <c r="P194" s="57"/>
      <c r="Q194" s="57"/>
      <c r="R194" s="57"/>
      <c r="S194" s="57"/>
      <c r="T194" s="57" t="s">
        <v>2028</v>
      </c>
      <c r="U194" s="57" t="s">
        <v>2029</v>
      </c>
    </row>
    <row r="195" spans="1:21" ht="18" customHeight="1" x14ac:dyDescent="0.15">
      <c r="A195" s="5" t="s">
        <v>2021</v>
      </c>
      <c r="B195" s="6" t="s">
        <v>2047</v>
      </c>
      <c r="C195" s="6" t="s">
        <v>2022</v>
      </c>
      <c r="D195" s="8" t="s">
        <v>2007</v>
      </c>
      <c r="E195" s="8" t="s">
        <v>2047</v>
      </c>
      <c r="F195" s="43" t="s">
        <v>2048</v>
      </c>
      <c r="G195" s="43" t="s">
        <v>2009</v>
      </c>
      <c r="H195" s="50">
        <v>1.4496</v>
      </c>
      <c r="I195" s="50">
        <v>1.3324</v>
      </c>
      <c r="J195" s="50">
        <v>1.5771999999999999</v>
      </c>
      <c r="K195" s="50">
        <v>6.1660612724971427E-18</v>
      </c>
      <c r="L195" s="6">
        <v>132818</v>
      </c>
      <c r="M195" s="57">
        <v>10001</v>
      </c>
      <c r="N195" s="57"/>
      <c r="O195" s="57"/>
      <c r="P195" s="57"/>
      <c r="Q195" s="57"/>
      <c r="R195" s="57"/>
      <c r="S195" s="57"/>
      <c r="T195" s="57" t="s">
        <v>2028</v>
      </c>
      <c r="U195" s="57" t="s">
        <v>2030</v>
      </c>
    </row>
    <row r="196" spans="1:21" ht="18" customHeight="1" x14ac:dyDescent="0.15">
      <c r="A196" s="5" t="s">
        <v>2004</v>
      </c>
      <c r="B196" s="6" t="s">
        <v>2047</v>
      </c>
      <c r="C196" s="6" t="s">
        <v>2006</v>
      </c>
      <c r="D196" s="8" t="s">
        <v>2031</v>
      </c>
      <c r="E196" s="8" t="s">
        <v>2047</v>
      </c>
      <c r="F196" s="43" t="s">
        <v>2048</v>
      </c>
      <c r="G196" s="43" t="s">
        <v>2009</v>
      </c>
      <c r="H196" s="50">
        <v>0.77510000000000001</v>
      </c>
      <c r="I196" s="50"/>
      <c r="J196" s="50"/>
      <c r="K196" s="50"/>
      <c r="L196" s="6">
        <v>416996</v>
      </c>
      <c r="M196" s="57">
        <v>20580</v>
      </c>
      <c r="N196" s="57">
        <v>22567</v>
      </c>
      <c r="O196" s="57">
        <v>636</v>
      </c>
      <c r="P196" s="57">
        <v>226254.1</v>
      </c>
      <c r="Q196" s="57">
        <v>19944</v>
      </c>
      <c r="R196" s="57">
        <v>5499064.2999999998</v>
      </c>
      <c r="S196" s="57">
        <v>0.77510000000000001</v>
      </c>
      <c r="T196" s="57"/>
      <c r="U196" s="57"/>
    </row>
    <row r="197" spans="1:21" ht="18" customHeight="1" x14ac:dyDescent="0.15">
      <c r="A197" s="5" t="s">
        <v>2004</v>
      </c>
      <c r="B197" s="6" t="s">
        <v>2047</v>
      </c>
      <c r="C197" s="6" t="s">
        <v>2010</v>
      </c>
      <c r="D197" s="8" t="s">
        <v>2031</v>
      </c>
      <c r="E197" s="8" t="s">
        <v>2047</v>
      </c>
      <c r="F197" s="43" t="s">
        <v>2048</v>
      </c>
      <c r="G197" s="43" t="s">
        <v>2009</v>
      </c>
      <c r="H197" s="50">
        <v>0.77510000000000001</v>
      </c>
      <c r="I197" s="50">
        <v>0.71709999999999996</v>
      </c>
      <c r="J197" s="50">
        <v>0.8377</v>
      </c>
      <c r="K197" s="50">
        <v>1.3375997257485371E-10</v>
      </c>
      <c r="L197" s="6">
        <v>416996</v>
      </c>
      <c r="M197" s="57">
        <v>20580</v>
      </c>
      <c r="N197" s="57">
        <v>22567</v>
      </c>
      <c r="O197" s="57">
        <v>636</v>
      </c>
      <c r="P197" s="57">
        <v>226254.1</v>
      </c>
      <c r="Q197" s="57">
        <v>19944</v>
      </c>
      <c r="R197" s="57">
        <v>5499064.2999999998</v>
      </c>
      <c r="S197" s="57">
        <v>0.77510000000000001</v>
      </c>
      <c r="T197" s="57"/>
      <c r="U197" s="57"/>
    </row>
    <row r="198" spans="1:21" ht="18" customHeight="1" x14ac:dyDescent="0.15">
      <c r="A198" s="5" t="s">
        <v>2004</v>
      </c>
      <c r="B198" s="6" t="s">
        <v>2047</v>
      </c>
      <c r="C198" s="6" t="s">
        <v>2011</v>
      </c>
      <c r="D198" s="8" t="s">
        <v>2031</v>
      </c>
      <c r="E198" s="8" t="s">
        <v>2047</v>
      </c>
      <c r="F198" s="43" t="s">
        <v>2048</v>
      </c>
      <c r="G198" s="43" t="s">
        <v>2009</v>
      </c>
      <c r="H198" s="50">
        <v>0.80759999999999998</v>
      </c>
      <c r="I198" s="50">
        <v>0.74660000000000004</v>
      </c>
      <c r="J198" s="50">
        <v>0.87360000000000004</v>
      </c>
      <c r="K198" s="50">
        <v>9.6516313895238372E-8</v>
      </c>
      <c r="L198" s="6">
        <v>416996</v>
      </c>
      <c r="M198" s="57">
        <v>20580</v>
      </c>
      <c r="N198" s="57">
        <v>22567</v>
      </c>
      <c r="O198" s="57">
        <v>636</v>
      </c>
      <c r="P198" s="57">
        <v>226254.1</v>
      </c>
      <c r="Q198" s="57">
        <v>19944</v>
      </c>
      <c r="R198" s="57">
        <v>5499064.2999999998</v>
      </c>
      <c r="S198" s="57">
        <v>0.77510000000000001</v>
      </c>
      <c r="T198" s="57"/>
      <c r="U198" s="57"/>
    </row>
    <row r="199" spans="1:21" ht="18" customHeight="1" x14ac:dyDescent="0.15">
      <c r="A199" s="5" t="s">
        <v>2004</v>
      </c>
      <c r="B199" s="6" t="s">
        <v>2047</v>
      </c>
      <c r="C199" s="6" t="s">
        <v>2012</v>
      </c>
      <c r="D199" s="8" t="s">
        <v>2031</v>
      </c>
      <c r="E199" s="8" t="s">
        <v>2047</v>
      </c>
      <c r="F199" s="43" t="s">
        <v>2048</v>
      </c>
      <c r="G199" s="43" t="s">
        <v>2009</v>
      </c>
      <c r="H199" s="50">
        <v>1.0510999999999999</v>
      </c>
      <c r="I199" s="50">
        <v>0.97619999999999996</v>
      </c>
      <c r="J199" s="50">
        <v>1.1315999999999999</v>
      </c>
      <c r="K199" s="50">
        <v>0.1862074825122827</v>
      </c>
      <c r="L199" s="6">
        <v>416996</v>
      </c>
      <c r="M199" s="57">
        <v>20580</v>
      </c>
      <c r="N199" s="57">
        <v>22567</v>
      </c>
      <c r="O199" s="57">
        <v>636</v>
      </c>
      <c r="P199" s="57">
        <v>226254.1</v>
      </c>
      <c r="Q199" s="57">
        <v>19944</v>
      </c>
      <c r="R199" s="57">
        <v>5499064.2999999998</v>
      </c>
      <c r="S199" s="57">
        <v>0.77510000000000001</v>
      </c>
      <c r="T199" s="57"/>
      <c r="U199" s="57"/>
    </row>
    <row r="200" spans="1:21" ht="18" customHeight="1" x14ac:dyDescent="0.15">
      <c r="A200" s="5" t="s">
        <v>2004</v>
      </c>
      <c r="B200" s="6" t="s">
        <v>2047</v>
      </c>
      <c r="C200" s="6" t="s">
        <v>2013</v>
      </c>
      <c r="D200" s="8" t="s">
        <v>2031</v>
      </c>
      <c r="E200" s="8" t="s">
        <v>2047</v>
      </c>
      <c r="F200" s="43" t="s">
        <v>2048</v>
      </c>
      <c r="G200" s="43" t="s">
        <v>2009</v>
      </c>
      <c r="H200" s="50">
        <v>1.0355000000000001</v>
      </c>
      <c r="I200" s="50">
        <v>0.96140000000000003</v>
      </c>
      <c r="J200" s="50">
        <v>1.1153</v>
      </c>
      <c r="K200" s="50">
        <v>0.35728441540791872</v>
      </c>
      <c r="L200" s="6">
        <v>416996</v>
      </c>
      <c r="M200" s="57">
        <v>20580</v>
      </c>
      <c r="N200" s="57">
        <v>22567</v>
      </c>
      <c r="O200" s="57">
        <v>636</v>
      </c>
      <c r="P200" s="57">
        <v>226254.1</v>
      </c>
      <c r="Q200" s="57">
        <v>19944</v>
      </c>
      <c r="R200" s="57">
        <v>5499064.2999999998</v>
      </c>
      <c r="S200" s="57">
        <v>0.77510000000000001</v>
      </c>
      <c r="T200" s="57"/>
      <c r="U200" s="57"/>
    </row>
    <row r="201" spans="1:21" ht="18" customHeight="1" x14ac:dyDescent="0.15">
      <c r="A201" s="5" t="s">
        <v>2014</v>
      </c>
      <c r="B201" s="6" t="s">
        <v>2047</v>
      </c>
      <c r="C201" s="6" t="s">
        <v>2015</v>
      </c>
      <c r="D201" s="8" t="s">
        <v>2031</v>
      </c>
      <c r="E201" s="8" t="s">
        <v>2047</v>
      </c>
      <c r="F201" s="43" t="s">
        <v>2048</v>
      </c>
      <c r="G201" s="43" t="s">
        <v>2009</v>
      </c>
      <c r="H201" s="50">
        <v>0.77510000000000001</v>
      </c>
      <c r="I201" s="50">
        <v>0.71709999999999996</v>
      </c>
      <c r="J201" s="50">
        <v>0.8377</v>
      </c>
      <c r="K201" s="50">
        <v>1.3375997257485371E-10</v>
      </c>
      <c r="L201" s="6">
        <v>416996</v>
      </c>
      <c r="M201" s="57">
        <v>20580</v>
      </c>
      <c r="N201" s="57"/>
      <c r="O201" s="57"/>
      <c r="P201" s="57"/>
      <c r="Q201" s="57"/>
      <c r="R201" s="57"/>
      <c r="S201" s="57"/>
      <c r="T201" s="57"/>
      <c r="U201" s="57"/>
    </row>
    <row r="202" spans="1:21" ht="18" customHeight="1" x14ac:dyDescent="0.15">
      <c r="A202" s="5" t="s">
        <v>2014</v>
      </c>
      <c r="B202" s="6" t="s">
        <v>2047</v>
      </c>
      <c r="C202" s="6" t="s">
        <v>2016</v>
      </c>
      <c r="D202" s="8" t="s">
        <v>2031</v>
      </c>
      <c r="E202" s="8" t="s">
        <v>2047</v>
      </c>
      <c r="F202" s="43" t="s">
        <v>2048</v>
      </c>
      <c r="G202" s="43" t="s">
        <v>2009</v>
      </c>
      <c r="H202" s="50">
        <v>0.80759999999999998</v>
      </c>
      <c r="I202" s="50">
        <v>0.74660000000000004</v>
      </c>
      <c r="J202" s="50">
        <v>0.87360000000000004</v>
      </c>
      <c r="K202" s="50">
        <v>9.6516313895238372E-8</v>
      </c>
      <c r="L202" s="6">
        <v>416996</v>
      </c>
      <c r="M202" s="57">
        <v>20580</v>
      </c>
      <c r="N202" s="57"/>
      <c r="O202" s="57"/>
      <c r="P202" s="57"/>
      <c r="Q202" s="57"/>
      <c r="R202" s="57"/>
      <c r="S202" s="57"/>
      <c r="T202" s="57"/>
      <c r="U202" s="57"/>
    </row>
    <row r="203" spans="1:21" ht="18" customHeight="1" x14ac:dyDescent="0.15">
      <c r="A203" s="5" t="s">
        <v>2014</v>
      </c>
      <c r="B203" s="6" t="s">
        <v>2047</v>
      </c>
      <c r="C203" s="6" t="s">
        <v>2017</v>
      </c>
      <c r="D203" s="8" t="s">
        <v>2031</v>
      </c>
      <c r="E203" s="8" t="s">
        <v>2047</v>
      </c>
      <c r="F203" s="43" t="s">
        <v>2048</v>
      </c>
      <c r="G203" s="43" t="s">
        <v>2009</v>
      </c>
      <c r="H203" s="50">
        <v>1.0354000000000001</v>
      </c>
      <c r="I203" s="50">
        <v>0.96189999999999998</v>
      </c>
      <c r="J203" s="50">
        <v>1.1146</v>
      </c>
      <c r="K203" s="50">
        <v>0.35421598213948269</v>
      </c>
      <c r="L203" s="6">
        <v>416996</v>
      </c>
      <c r="M203" s="57">
        <v>20580</v>
      </c>
      <c r="N203" s="57"/>
      <c r="O203" s="57"/>
      <c r="P203" s="57"/>
      <c r="Q203" s="57"/>
      <c r="R203" s="57"/>
      <c r="S203" s="57"/>
      <c r="T203" s="57"/>
      <c r="U203" s="57"/>
    </row>
    <row r="204" spans="1:21" ht="18" customHeight="1" x14ac:dyDescent="0.15">
      <c r="A204" s="5" t="s">
        <v>2014</v>
      </c>
      <c r="B204" s="6" t="s">
        <v>2047</v>
      </c>
      <c r="C204" s="6" t="s">
        <v>2018</v>
      </c>
      <c r="D204" s="8" t="s">
        <v>2031</v>
      </c>
      <c r="E204" s="8" t="s">
        <v>2047</v>
      </c>
      <c r="F204" s="43" t="s">
        <v>2048</v>
      </c>
      <c r="G204" s="43" t="s">
        <v>2009</v>
      </c>
      <c r="H204" s="50">
        <v>1.0218</v>
      </c>
      <c r="I204" s="50">
        <v>0.91110000000000002</v>
      </c>
      <c r="J204" s="50">
        <v>1.1457999999999999</v>
      </c>
      <c r="K204" s="50">
        <v>0.71274127068686766</v>
      </c>
      <c r="L204" s="6">
        <v>416996</v>
      </c>
      <c r="M204" s="57">
        <v>20580</v>
      </c>
      <c r="N204" s="57"/>
      <c r="O204" s="57"/>
      <c r="P204" s="57"/>
      <c r="Q204" s="57"/>
      <c r="R204" s="57"/>
      <c r="S204" s="57"/>
      <c r="T204" s="57"/>
      <c r="U204" s="57"/>
    </row>
    <row r="205" spans="1:21" ht="18" customHeight="1" x14ac:dyDescent="0.15">
      <c r="A205" s="5" t="s">
        <v>2014</v>
      </c>
      <c r="B205" s="6" t="s">
        <v>2047</v>
      </c>
      <c r="C205" s="6" t="s">
        <v>2019</v>
      </c>
      <c r="D205" s="8" t="s">
        <v>2031</v>
      </c>
      <c r="E205" s="8" t="s">
        <v>2047</v>
      </c>
      <c r="F205" s="43" t="s">
        <v>2048</v>
      </c>
      <c r="G205" s="43" t="s">
        <v>1816</v>
      </c>
      <c r="H205" s="50">
        <v>2.5985999999999998</v>
      </c>
      <c r="I205" s="50">
        <v>2.2159</v>
      </c>
      <c r="J205" s="50">
        <v>3.0474000000000001</v>
      </c>
      <c r="K205" s="50">
        <v>7.2137880121723143E-32</v>
      </c>
      <c r="L205" s="6">
        <v>414261</v>
      </c>
      <c r="M205" s="57">
        <v>2218</v>
      </c>
      <c r="N205" s="57"/>
      <c r="O205" s="57"/>
      <c r="P205" s="57"/>
      <c r="Q205" s="57"/>
      <c r="R205" s="57"/>
      <c r="S205" s="57"/>
      <c r="T205" s="57"/>
      <c r="U205" s="57"/>
    </row>
    <row r="206" spans="1:21" ht="18" customHeight="1" x14ac:dyDescent="0.15">
      <c r="A206" s="5" t="s">
        <v>2014</v>
      </c>
      <c r="B206" s="6" t="s">
        <v>2047</v>
      </c>
      <c r="C206" s="6" t="s">
        <v>2020</v>
      </c>
      <c r="D206" s="8" t="s">
        <v>2031</v>
      </c>
      <c r="E206" s="8" t="s">
        <v>2047</v>
      </c>
      <c r="F206" s="43" t="s">
        <v>2048</v>
      </c>
      <c r="G206" s="43" t="s">
        <v>2009</v>
      </c>
      <c r="H206" s="50">
        <v>1.0417000000000001</v>
      </c>
      <c r="I206" s="50">
        <v>0.96709999999999996</v>
      </c>
      <c r="J206" s="50">
        <v>1.1220000000000001</v>
      </c>
      <c r="K206" s="50">
        <v>0.28110992415194042</v>
      </c>
      <c r="L206" s="6">
        <v>414262</v>
      </c>
      <c r="M206" s="57">
        <v>20518</v>
      </c>
      <c r="N206" s="57"/>
      <c r="O206" s="57"/>
      <c r="P206" s="57"/>
      <c r="Q206" s="57"/>
      <c r="R206" s="57"/>
      <c r="S206" s="57"/>
      <c r="T206" s="57"/>
      <c r="U206" s="57"/>
    </row>
    <row r="207" spans="1:21" ht="18" customHeight="1" x14ac:dyDescent="0.15">
      <c r="A207" s="5" t="s">
        <v>2021</v>
      </c>
      <c r="B207" s="6" t="s">
        <v>2047</v>
      </c>
      <c r="C207" s="6" t="s">
        <v>2022</v>
      </c>
      <c r="D207" s="8" t="s">
        <v>2031</v>
      </c>
      <c r="E207" s="8" t="s">
        <v>2047</v>
      </c>
      <c r="F207" s="43" t="s">
        <v>2048</v>
      </c>
      <c r="G207" s="43" t="s">
        <v>2009</v>
      </c>
      <c r="H207" s="50">
        <v>0.313</v>
      </c>
      <c r="I207" s="50">
        <v>0.11700000000000001</v>
      </c>
      <c r="J207" s="50">
        <v>0.83720000000000006</v>
      </c>
      <c r="K207" s="50">
        <v>2.067311209666825E-2</v>
      </c>
      <c r="L207" s="6">
        <v>4090</v>
      </c>
      <c r="M207" s="57">
        <v>319</v>
      </c>
      <c r="N207" s="57"/>
      <c r="O207" s="57"/>
      <c r="P207" s="57"/>
      <c r="Q207" s="57"/>
      <c r="R207" s="57"/>
      <c r="S207" s="57"/>
      <c r="T207" s="57" t="s">
        <v>2023</v>
      </c>
      <c r="U207" s="57" t="s">
        <v>2024</v>
      </c>
    </row>
    <row r="208" spans="1:21" ht="18" customHeight="1" x14ac:dyDescent="0.15">
      <c r="A208" s="5" t="s">
        <v>2021</v>
      </c>
      <c r="B208" s="6" t="s">
        <v>2047</v>
      </c>
      <c r="C208" s="6" t="s">
        <v>2022</v>
      </c>
      <c r="D208" s="8" t="s">
        <v>2031</v>
      </c>
      <c r="E208" s="8" t="s">
        <v>2047</v>
      </c>
      <c r="F208" s="43" t="s">
        <v>2048</v>
      </c>
      <c r="G208" s="43" t="s">
        <v>2009</v>
      </c>
      <c r="H208" s="50">
        <v>0.76300000000000001</v>
      </c>
      <c r="I208" s="50">
        <v>0.68220000000000003</v>
      </c>
      <c r="J208" s="50">
        <v>0.85350000000000004</v>
      </c>
      <c r="K208" s="50">
        <v>2.2183486691046381E-6</v>
      </c>
      <c r="L208" s="6">
        <v>277074</v>
      </c>
      <c r="M208" s="57">
        <v>11351</v>
      </c>
      <c r="N208" s="57"/>
      <c r="O208" s="57"/>
      <c r="P208" s="57"/>
      <c r="Q208" s="57"/>
      <c r="R208" s="57"/>
      <c r="S208" s="57"/>
      <c r="T208" s="57" t="s">
        <v>2023</v>
      </c>
      <c r="U208" s="57" t="s">
        <v>2025</v>
      </c>
    </row>
    <row r="209" spans="1:22" ht="18" customHeight="1" x14ac:dyDescent="0.15">
      <c r="A209" s="5" t="s">
        <v>2021</v>
      </c>
      <c r="B209" s="6" t="s">
        <v>2047</v>
      </c>
      <c r="C209" s="6" t="s">
        <v>2022</v>
      </c>
      <c r="D209" s="8" t="s">
        <v>2031</v>
      </c>
      <c r="E209" s="8" t="s">
        <v>2047</v>
      </c>
      <c r="F209" s="43" t="s">
        <v>2048</v>
      </c>
      <c r="G209" s="43" t="s">
        <v>2009</v>
      </c>
      <c r="H209" s="50">
        <v>0.81979999999999997</v>
      </c>
      <c r="I209" s="50">
        <v>0.73409999999999997</v>
      </c>
      <c r="J209" s="50">
        <v>0.91549999999999998</v>
      </c>
      <c r="K209" s="50">
        <v>4.2134651642204999E-4</v>
      </c>
      <c r="L209" s="6">
        <v>135832</v>
      </c>
      <c r="M209" s="57">
        <v>8910</v>
      </c>
      <c r="N209" s="57"/>
      <c r="O209" s="57"/>
      <c r="P209" s="57"/>
      <c r="Q209" s="57"/>
      <c r="R209" s="57"/>
      <c r="S209" s="57"/>
      <c r="T209" s="57" t="s">
        <v>2023</v>
      </c>
      <c r="U209" s="57" t="s">
        <v>2026</v>
      </c>
    </row>
    <row r="210" spans="1:22" ht="18" customHeight="1" x14ac:dyDescent="0.15">
      <c r="A210" s="5" t="s">
        <v>2021</v>
      </c>
      <c r="B210" s="6" t="s">
        <v>2047</v>
      </c>
      <c r="C210" s="6" t="s">
        <v>2022</v>
      </c>
      <c r="D210" s="8" t="s">
        <v>2031</v>
      </c>
      <c r="E210" s="8" t="s">
        <v>2047</v>
      </c>
      <c r="F210" s="43" t="s">
        <v>2048</v>
      </c>
      <c r="G210" s="43" t="s">
        <v>2009</v>
      </c>
      <c r="H210" s="50">
        <v>0.51280000000000003</v>
      </c>
      <c r="I210" s="50">
        <v>0.21390000000000001</v>
      </c>
      <c r="J210" s="50">
        <v>1.2293000000000001</v>
      </c>
      <c r="K210" s="50">
        <v>0.13436696657117969</v>
      </c>
      <c r="L210" s="6">
        <v>3014</v>
      </c>
      <c r="M210" s="57">
        <v>268</v>
      </c>
      <c r="N210" s="57"/>
      <c r="O210" s="57"/>
      <c r="P210" s="57"/>
      <c r="Q210" s="57"/>
      <c r="R210" s="57"/>
      <c r="S210" s="57"/>
      <c r="T210" s="57" t="s">
        <v>2027</v>
      </c>
      <c r="U210" s="57" t="s">
        <v>2024</v>
      </c>
    </row>
    <row r="211" spans="1:22" ht="18" customHeight="1" x14ac:dyDescent="0.15">
      <c r="A211" s="5" t="s">
        <v>2021</v>
      </c>
      <c r="B211" s="6" t="s">
        <v>2047</v>
      </c>
      <c r="C211" s="6" t="s">
        <v>2022</v>
      </c>
      <c r="D211" s="8" t="s">
        <v>2031</v>
      </c>
      <c r="E211" s="8" t="s">
        <v>2047</v>
      </c>
      <c r="F211" s="43" t="s">
        <v>2048</v>
      </c>
      <c r="G211" s="43" t="s">
        <v>2009</v>
      </c>
      <c r="H211" s="50">
        <v>0.7802</v>
      </c>
      <c r="I211" s="50">
        <v>0.71279999999999999</v>
      </c>
      <c r="J211" s="50">
        <v>0.85399999999999998</v>
      </c>
      <c r="K211" s="50">
        <v>7.3806682126023962E-8</v>
      </c>
      <c r="L211" s="6">
        <v>367642</v>
      </c>
      <c r="M211" s="57">
        <v>16225</v>
      </c>
      <c r="N211" s="57"/>
      <c r="O211" s="57"/>
      <c r="P211" s="57"/>
      <c r="Q211" s="57"/>
      <c r="R211" s="57"/>
      <c r="S211" s="57"/>
      <c r="T211" s="57" t="s">
        <v>2027</v>
      </c>
      <c r="U211" s="57" t="s">
        <v>2025</v>
      </c>
    </row>
    <row r="212" spans="1:22" ht="18" customHeight="1" x14ac:dyDescent="0.15">
      <c r="A212" s="5" t="s">
        <v>2021</v>
      </c>
      <c r="B212" s="6" t="s">
        <v>2047</v>
      </c>
      <c r="C212" s="6" t="s">
        <v>2022</v>
      </c>
      <c r="D212" s="8" t="s">
        <v>2031</v>
      </c>
      <c r="E212" s="8" t="s">
        <v>2047</v>
      </c>
      <c r="F212" s="43" t="s">
        <v>2048</v>
      </c>
      <c r="G212" s="43" t="s">
        <v>2009</v>
      </c>
      <c r="H212" s="50">
        <v>0.86029999999999995</v>
      </c>
      <c r="I212" s="50">
        <v>0.73319999999999996</v>
      </c>
      <c r="J212" s="50">
        <v>1.0095000000000001</v>
      </c>
      <c r="K212" s="50">
        <v>6.5206401581593881E-2</v>
      </c>
      <c r="L212" s="6">
        <v>46340</v>
      </c>
      <c r="M212" s="57">
        <v>4087</v>
      </c>
      <c r="N212" s="57"/>
      <c r="O212" s="57"/>
      <c r="P212" s="57"/>
      <c r="Q212" s="57"/>
      <c r="R212" s="57"/>
      <c r="S212" s="57"/>
      <c r="T212" s="57" t="s">
        <v>2027</v>
      </c>
      <c r="U212" s="57" t="s">
        <v>2026</v>
      </c>
    </row>
    <row r="213" spans="1:22" ht="18" customHeight="1" x14ac:dyDescent="0.15">
      <c r="A213" s="5" t="s">
        <v>2021</v>
      </c>
      <c r="B213" s="6" t="s">
        <v>2047</v>
      </c>
      <c r="C213" s="6" t="s">
        <v>2022</v>
      </c>
      <c r="D213" s="8" t="s">
        <v>2031</v>
      </c>
      <c r="E213" s="8" t="s">
        <v>2047</v>
      </c>
      <c r="F213" s="43" t="s">
        <v>2048</v>
      </c>
      <c r="G213" s="43" t="s">
        <v>2009</v>
      </c>
      <c r="H213" s="50">
        <v>0.7026</v>
      </c>
      <c r="I213" s="50">
        <v>0.63729999999999998</v>
      </c>
      <c r="J213" s="50">
        <v>0.77449999999999997</v>
      </c>
      <c r="K213" s="50">
        <v>1.2772892423399611E-12</v>
      </c>
      <c r="L213" s="6">
        <v>273292</v>
      </c>
      <c r="M213" s="57">
        <v>15634</v>
      </c>
      <c r="N213" s="57"/>
      <c r="O213" s="57"/>
      <c r="P213" s="57"/>
      <c r="Q213" s="57"/>
      <c r="R213" s="57"/>
      <c r="S213" s="57"/>
      <c r="T213" s="57" t="s">
        <v>2028</v>
      </c>
      <c r="U213" s="57" t="s">
        <v>2029</v>
      </c>
    </row>
    <row r="214" spans="1:22" ht="18" customHeight="1" x14ac:dyDescent="0.15">
      <c r="A214" s="5" t="s">
        <v>2021</v>
      </c>
      <c r="B214" s="6" t="s">
        <v>2047</v>
      </c>
      <c r="C214" s="6" t="s">
        <v>2022</v>
      </c>
      <c r="D214" s="8" t="s">
        <v>2031</v>
      </c>
      <c r="E214" s="8" t="s">
        <v>2047</v>
      </c>
      <c r="F214" s="43" t="s">
        <v>2048</v>
      </c>
      <c r="G214" s="43" t="s">
        <v>2009</v>
      </c>
      <c r="H214" s="50">
        <v>1.1761999999999999</v>
      </c>
      <c r="I214" s="50">
        <v>1.0297000000000001</v>
      </c>
      <c r="J214" s="50">
        <v>1.3433999999999999</v>
      </c>
      <c r="K214" s="50">
        <v>1.6768080618790981E-2</v>
      </c>
      <c r="L214" s="6">
        <v>143704</v>
      </c>
      <c r="M214" s="57">
        <v>4946</v>
      </c>
      <c r="N214" s="57"/>
      <c r="O214" s="57"/>
      <c r="P214" s="57"/>
      <c r="Q214" s="57"/>
      <c r="R214" s="57"/>
      <c r="S214" s="57"/>
      <c r="T214" s="57" t="s">
        <v>2028</v>
      </c>
      <c r="U214" s="57" t="s">
        <v>2030</v>
      </c>
    </row>
    <row r="215" spans="1:22" ht="18" customHeight="1" x14ac:dyDescent="0.15">
      <c r="A215" s="5" t="s">
        <v>2004</v>
      </c>
      <c r="B215" s="6" t="s">
        <v>2047</v>
      </c>
      <c r="C215" s="6" t="s">
        <v>2006</v>
      </c>
      <c r="D215" s="8" t="s">
        <v>2032</v>
      </c>
      <c r="E215" s="8" t="s">
        <v>2047</v>
      </c>
      <c r="F215" s="43" t="s">
        <v>2048</v>
      </c>
      <c r="G215" s="43" t="s">
        <v>2009</v>
      </c>
      <c r="H215" s="50">
        <v>1.2361</v>
      </c>
      <c r="I215" s="50"/>
      <c r="J215" s="50"/>
      <c r="K215" s="50"/>
      <c r="L215" s="6">
        <v>431961</v>
      </c>
      <c r="M215" s="57">
        <v>478</v>
      </c>
      <c r="N215" s="57">
        <v>25354</v>
      </c>
      <c r="O215" s="57">
        <v>25</v>
      </c>
      <c r="P215" s="57">
        <v>252652.6</v>
      </c>
      <c r="Q215" s="57">
        <v>453</v>
      </c>
      <c r="R215" s="57">
        <v>5659013</v>
      </c>
      <c r="S215" s="57">
        <v>1.2361</v>
      </c>
      <c r="T215" s="57"/>
      <c r="U215" s="57"/>
    </row>
    <row r="216" spans="1:22" ht="18" customHeight="1" x14ac:dyDescent="0.15">
      <c r="A216" s="5" t="s">
        <v>2004</v>
      </c>
      <c r="B216" s="6" t="s">
        <v>2047</v>
      </c>
      <c r="C216" s="6" t="s">
        <v>2010</v>
      </c>
      <c r="D216" s="8" t="s">
        <v>2032</v>
      </c>
      <c r="E216" s="8" t="s">
        <v>2047</v>
      </c>
      <c r="F216" s="43" t="s">
        <v>2048</v>
      </c>
      <c r="G216" s="43" t="s">
        <v>2009</v>
      </c>
      <c r="H216" s="50">
        <v>1.2361</v>
      </c>
      <c r="I216" s="50">
        <v>0.8266</v>
      </c>
      <c r="J216" s="50">
        <v>1.8486</v>
      </c>
      <c r="K216" s="50">
        <v>0.30191497089014913</v>
      </c>
      <c r="L216" s="6">
        <v>431961</v>
      </c>
      <c r="M216" s="57">
        <v>478</v>
      </c>
      <c r="N216" s="57">
        <v>25354</v>
      </c>
      <c r="O216" s="57">
        <v>25</v>
      </c>
      <c r="P216" s="57">
        <v>252652.6</v>
      </c>
      <c r="Q216" s="57">
        <v>453</v>
      </c>
      <c r="R216" s="57">
        <v>5659013</v>
      </c>
      <c r="S216" s="57">
        <v>1.2361</v>
      </c>
      <c r="T216" s="57"/>
      <c r="U216" s="57"/>
    </row>
    <row r="217" spans="1:22" ht="18" customHeight="1" x14ac:dyDescent="0.15">
      <c r="A217" s="5" t="s">
        <v>2004</v>
      </c>
      <c r="B217" s="6" t="s">
        <v>2047</v>
      </c>
      <c r="C217" s="6" t="s">
        <v>2011</v>
      </c>
      <c r="D217" s="8" t="s">
        <v>2032</v>
      </c>
      <c r="E217" s="8" t="s">
        <v>2047</v>
      </c>
      <c r="F217" s="43" t="s">
        <v>2048</v>
      </c>
      <c r="G217" s="43" t="s">
        <v>2009</v>
      </c>
      <c r="H217" s="50">
        <v>1.274</v>
      </c>
      <c r="I217" s="50">
        <v>0.85</v>
      </c>
      <c r="J217" s="50">
        <v>1.9096</v>
      </c>
      <c r="K217" s="50">
        <v>0.2409191568719081</v>
      </c>
      <c r="L217" s="6">
        <v>431961</v>
      </c>
      <c r="M217" s="57">
        <v>478</v>
      </c>
      <c r="N217" s="57">
        <v>25354</v>
      </c>
      <c r="O217" s="57">
        <v>25</v>
      </c>
      <c r="P217" s="57">
        <v>252652.6</v>
      </c>
      <c r="Q217" s="57">
        <v>453</v>
      </c>
      <c r="R217" s="57">
        <v>5659013</v>
      </c>
      <c r="S217" s="57">
        <v>1.2361</v>
      </c>
      <c r="T217" s="57"/>
      <c r="U217" s="57"/>
    </row>
    <row r="218" spans="1:22" ht="18" customHeight="1" x14ac:dyDescent="0.15">
      <c r="A218" s="5" t="s">
        <v>2004</v>
      </c>
      <c r="B218" s="6" t="s">
        <v>2047</v>
      </c>
      <c r="C218" s="6" t="s">
        <v>2012</v>
      </c>
      <c r="D218" s="8" t="s">
        <v>2032</v>
      </c>
      <c r="E218" s="8" t="s">
        <v>2047</v>
      </c>
      <c r="F218" s="43" t="s">
        <v>2048</v>
      </c>
      <c r="G218" s="43" t="s">
        <v>2009</v>
      </c>
      <c r="H218" s="50">
        <v>1.2017</v>
      </c>
      <c r="I218" s="50">
        <v>0.80179999999999996</v>
      </c>
      <c r="J218" s="50">
        <v>1.8010999999999999</v>
      </c>
      <c r="K218" s="50">
        <v>0.37341085428106058</v>
      </c>
      <c r="L218" s="6">
        <v>431961</v>
      </c>
      <c r="M218" s="57">
        <v>478</v>
      </c>
      <c r="N218" s="57">
        <v>25354</v>
      </c>
      <c r="O218" s="57">
        <v>25</v>
      </c>
      <c r="P218" s="57">
        <v>252652.6</v>
      </c>
      <c r="Q218" s="57">
        <v>453</v>
      </c>
      <c r="R218" s="57">
        <v>5659013</v>
      </c>
      <c r="S218" s="57">
        <v>1.2361</v>
      </c>
      <c r="T218" s="57"/>
      <c r="U218" s="57"/>
    </row>
    <row r="219" spans="1:22" ht="18" customHeight="1" x14ac:dyDescent="0.15">
      <c r="A219" s="5" t="s">
        <v>2004</v>
      </c>
      <c r="B219" s="6" t="s">
        <v>2047</v>
      </c>
      <c r="C219" s="6" t="s">
        <v>2013</v>
      </c>
      <c r="D219" s="8" t="s">
        <v>2032</v>
      </c>
      <c r="E219" s="8" t="s">
        <v>2047</v>
      </c>
      <c r="F219" s="43" t="s">
        <v>2048</v>
      </c>
      <c r="G219" s="43" t="s">
        <v>2009</v>
      </c>
      <c r="H219" s="50">
        <v>1.2031000000000001</v>
      </c>
      <c r="I219" s="50">
        <v>0.80249999999999999</v>
      </c>
      <c r="J219" s="50">
        <v>1.8036000000000001</v>
      </c>
      <c r="K219" s="50">
        <v>0.37086556825254952</v>
      </c>
      <c r="L219" s="6">
        <v>431961</v>
      </c>
      <c r="M219" s="57">
        <v>478</v>
      </c>
      <c r="N219" s="57">
        <v>25354</v>
      </c>
      <c r="O219" s="57">
        <v>25</v>
      </c>
      <c r="P219" s="57">
        <v>252652.6</v>
      </c>
      <c r="Q219" s="57">
        <v>453</v>
      </c>
      <c r="R219" s="57">
        <v>5659013</v>
      </c>
      <c r="S219" s="57">
        <v>1.2361</v>
      </c>
      <c r="T219" s="57"/>
      <c r="U219" s="57"/>
    </row>
    <row r="220" spans="1:22" ht="18" customHeight="1" x14ac:dyDescent="0.15">
      <c r="A220" s="5" t="s">
        <v>2014</v>
      </c>
      <c r="B220" s="6" t="s">
        <v>2047</v>
      </c>
      <c r="C220" s="6" t="s">
        <v>2015</v>
      </c>
      <c r="D220" s="8" t="s">
        <v>2032</v>
      </c>
      <c r="E220" s="8" t="s">
        <v>2047</v>
      </c>
      <c r="F220" s="43" t="s">
        <v>2048</v>
      </c>
      <c r="G220" s="43" t="s">
        <v>2009</v>
      </c>
      <c r="H220" s="50">
        <v>1.2361</v>
      </c>
      <c r="I220" s="50">
        <v>0.8266</v>
      </c>
      <c r="J220" s="50">
        <v>1.8486</v>
      </c>
      <c r="K220" s="50">
        <v>0.30191497089014913</v>
      </c>
      <c r="L220" s="6">
        <v>431961</v>
      </c>
      <c r="M220" s="57">
        <v>478</v>
      </c>
      <c r="N220" s="57"/>
      <c r="O220" s="57"/>
      <c r="P220" s="57"/>
      <c r="Q220" s="57"/>
      <c r="R220" s="57"/>
      <c r="S220" s="57"/>
      <c r="T220" s="57"/>
      <c r="U220" s="57"/>
    </row>
    <row r="221" spans="1:22" ht="18" customHeight="1" x14ac:dyDescent="0.15">
      <c r="A221" s="5" t="s">
        <v>2014</v>
      </c>
      <c r="B221" s="6" t="s">
        <v>2047</v>
      </c>
      <c r="C221" s="6" t="s">
        <v>2016</v>
      </c>
      <c r="D221" s="8" t="s">
        <v>2032</v>
      </c>
      <c r="E221" s="8" t="s">
        <v>2047</v>
      </c>
      <c r="F221" s="43" t="s">
        <v>2048</v>
      </c>
      <c r="G221" s="43" t="s">
        <v>2009</v>
      </c>
      <c r="H221" s="50">
        <v>1.274</v>
      </c>
      <c r="I221" s="50">
        <v>0.85</v>
      </c>
      <c r="J221" s="50">
        <v>1.9096</v>
      </c>
      <c r="K221" s="50">
        <v>0.2409191568719081</v>
      </c>
      <c r="L221" s="6">
        <v>431961</v>
      </c>
      <c r="M221" s="57">
        <v>478</v>
      </c>
      <c r="N221" s="57"/>
      <c r="O221" s="57"/>
      <c r="P221" s="57"/>
      <c r="Q221" s="57"/>
      <c r="R221" s="57"/>
      <c r="S221" s="57"/>
      <c r="T221" s="57"/>
      <c r="U221" s="57"/>
    </row>
    <row r="222" spans="1:22" ht="18" customHeight="1" x14ac:dyDescent="0.15">
      <c r="A222" s="5" t="s">
        <v>2014</v>
      </c>
      <c r="B222" s="6" t="s">
        <v>2047</v>
      </c>
      <c r="C222" s="6" t="s">
        <v>2017</v>
      </c>
      <c r="D222" s="8" t="s">
        <v>2032</v>
      </c>
      <c r="E222" s="8" t="s">
        <v>2047</v>
      </c>
      <c r="F222" s="43" t="s">
        <v>2048</v>
      </c>
      <c r="G222" s="43" t="s">
        <v>2009</v>
      </c>
      <c r="H222" s="50">
        <v>1.0438000000000001</v>
      </c>
      <c r="I222" s="50">
        <v>0.69610000000000005</v>
      </c>
      <c r="J222" s="50">
        <v>1.5650999999999999</v>
      </c>
      <c r="K222" s="50">
        <v>0.83567871076168032</v>
      </c>
      <c r="L222" s="6">
        <v>431961</v>
      </c>
      <c r="M222" s="57">
        <v>478</v>
      </c>
      <c r="N222" s="57"/>
      <c r="O222" s="57"/>
      <c r="P222" s="57"/>
      <c r="Q222" s="57"/>
      <c r="R222" s="57"/>
      <c r="S222" s="57"/>
      <c r="T222" s="57"/>
      <c r="U222" s="57"/>
    </row>
    <row r="223" spans="1:22" ht="18" customHeight="1" x14ac:dyDescent="0.15">
      <c r="A223" s="5" t="s">
        <v>2014</v>
      </c>
      <c r="B223" s="6" t="s">
        <v>2047</v>
      </c>
      <c r="C223" s="6" t="s">
        <v>2018</v>
      </c>
      <c r="D223" s="8" t="s">
        <v>2032</v>
      </c>
      <c r="E223" s="8" t="s">
        <v>2047</v>
      </c>
      <c r="F223" s="43" t="s">
        <v>2048</v>
      </c>
      <c r="G223" s="43" t="s">
        <v>2009</v>
      </c>
      <c r="H223" s="50">
        <v>1.8587</v>
      </c>
      <c r="I223" s="50">
        <v>1.0389999999999999</v>
      </c>
      <c r="J223" s="50">
        <v>3.3252000000000002</v>
      </c>
      <c r="K223" s="50">
        <v>3.6712927797136828E-2</v>
      </c>
      <c r="L223" s="6">
        <v>431961</v>
      </c>
      <c r="M223" s="57">
        <v>478</v>
      </c>
      <c r="N223" s="57"/>
      <c r="O223" s="57"/>
      <c r="P223" s="57"/>
      <c r="Q223" s="57"/>
      <c r="R223" s="57"/>
      <c r="S223" s="57"/>
      <c r="T223" s="57"/>
      <c r="U223" s="57"/>
    </row>
    <row r="224" spans="1:22" ht="18" customHeight="1" x14ac:dyDescent="0.15">
      <c r="A224" s="5" t="s">
        <v>2014</v>
      </c>
      <c r="B224" s="6" t="s">
        <v>2047</v>
      </c>
      <c r="C224" s="6" t="s">
        <v>2019</v>
      </c>
      <c r="D224" s="8" t="s">
        <v>2032</v>
      </c>
      <c r="E224" s="8" t="s">
        <v>2047</v>
      </c>
      <c r="F224" s="43" t="s">
        <v>2048</v>
      </c>
      <c r="G224" s="43" t="s">
        <v>1816</v>
      </c>
      <c r="H224" s="50">
        <v>1.4682999999999999</v>
      </c>
      <c r="I224" s="50">
        <v>0.44500000000000001</v>
      </c>
      <c r="J224" s="50">
        <v>4.8442999999999996</v>
      </c>
      <c r="K224" s="50">
        <v>0.52826782641987591</v>
      </c>
      <c r="L224" s="6">
        <v>428934</v>
      </c>
      <c r="M224" s="57">
        <v>38</v>
      </c>
      <c r="N224" s="57"/>
      <c r="O224" s="57"/>
      <c r="P224" s="57"/>
      <c r="Q224" s="57"/>
      <c r="R224" s="57"/>
      <c r="S224" s="57"/>
      <c r="T224" s="57"/>
      <c r="U224" s="57"/>
      <c r="V224" t="s">
        <v>2036</v>
      </c>
    </row>
    <row r="225" spans="1:22" ht="18" customHeight="1" x14ac:dyDescent="0.15">
      <c r="A225" s="5" t="s">
        <v>2014</v>
      </c>
      <c r="B225" s="6" t="s">
        <v>2047</v>
      </c>
      <c r="C225" s="6" t="s">
        <v>2020</v>
      </c>
      <c r="D225" s="8" t="s">
        <v>2032</v>
      </c>
      <c r="E225" s="8" t="s">
        <v>2047</v>
      </c>
      <c r="F225" s="43" t="s">
        <v>2048</v>
      </c>
      <c r="G225" s="43" t="s">
        <v>2009</v>
      </c>
      <c r="H225" s="50">
        <v>1.2155</v>
      </c>
      <c r="I225" s="50">
        <v>0.81089999999999995</v>
      </c>
      <c r="J225" s="50">
        <v>1.8219000000000001</v>
      </c>
      <c r="K225" s="50">
        <v>0.3446436037099514</v>
      </c>
      <c r="L225" s="6">
        <v>428935</v>
      </c>
      <c r="M225" s="57">
        <v>474</v>
      </c>
      <c r="N225" s="57"/>
      <c r="O225" s="57"/>
      <c r="P225" s="57"/>
      <c r="Q225" s="57"/>
      <c r="R225" s="57"/>
      <c r="S225" s="57"/>
      <c r="T225" s="57"/>
      <c r="U225" s="57"/>
    </row>
    <row r="226" spans="1:22" ht="18" customHeight="1" x14ac:dyDescent="0.15">
      <c r="A226" s="5" t="s">
        <v>2021</v>
      </c>
      <c r="B226" s="6" t="s">
        <v>2047</v>
      </c>
      <c r="C226" s="6" t="s">
        <v>2022</v>
      </c>
      <c r="D226" s="8" t="s">
        <v>2032</v>
      </c>
      <c r="E226" s="8" t="s">
        <v>2047</v>
      </c>
      <c r="F226" s="43" t="s">
        <v>2048</v>
      </c>
      <c r="G226" s="43" t="s">
        <v>2009</v>
      </c>
      <c r="H226" s="50"/>
      <c r="I226" s="50"/>
      <c r="J226" s="50"/>
      <c r="K226" s="50"/>
      <c r="L226" s="6">
        <v>4238</v>
      </c>
      <c r="M226" s="57">
        <v>14</v>
      </c>
      <c r="N226" s="57"/>
      <c r="O226" s="57"/>
      <c r="P226" s="57"/>
      <c r="Q226" s="57"/>
      <c r="R226" s="57"/>
      <c r="S226" s="57"/>
      <c r="T226" s="57" t="s">
        <v>2023</v>
      </c>
      <c r="U226" s="57" t="s">
        <v>2024</v>
      </c>
      <c r="V226" t="s">
        <v>2037</v>
      </c>
    </row>
    <row r="227" spans="1:22" ht="18" customHeight="1" x14ac:dyDescent="0.15">
      <c r="A227" s="5" t="s">
        <v>2021</v>
      </c>
      <c r="B227" s="6" t="s">
        <v>2047</v>
      </c>
      <c r="C227" s="6" t="s">
        <v>2022</v>
      </c>
      <c r="D227" s="8" t="s">
        <v>2032</v>
      </c>
      <c r="E227" s="8" t="s">
        <v>2047</v>
      </c>
      <c r="F227" s="43" t="s">
        <v>2048</v>
      </c>
      <c r="G227" s="43" t="s">
        <v>2009</v>
      </c>
      <c r="H227" s="50">
        <v>2.1892999999999998</v>
      </c>
      <c r="I227" s="50">
        <v>1.1132</v>
      </c>
      <c r="J227" s="50">
        <v>4.3057999999999996</v>
      </c>
      <c r="K227" s="50">
        <v>2.3161520050626959E-2</v>
      </c>
      <c r="L227" s="6">
        <v>286503</v>
      </c>
      <c r="M227" s="57">
        <v>109</v>
      </c>
      <c r="N227" s="57"/>
      <c r="O227" s="57"/>
      <c r="P227" s="57"/>
      <c r="Q227" s="57"/>
      <c r="R227" s="57"/>
      <c r="S227" s="57"/>
      <c r="T227" s="57" t="s">
        <v>2023</v>
      </c>
      <c r="U227" s="57" t="s">
        <v>2025</v>
      </c>
      <c r="V227" t="s">
        <v>2037</v>
      </c>
    </row>
    <row r="228" spans="1:22" ht="18" customHeight="1" x14ac:dyDescent="0.15">
      <c r="A228" s="5" t="s">
        <v>2021</v>
      </c>
      <c r="B228" s="6" t="s">
        <v>2047</v>
      </c>
      <c r="C228" s="6" t="s">
        <v>2022</v>
      </c>
      <c r="D228" s="8" t="s">
        <v>2032</v>
      </c>
      <c r="E228" s="8" t="s">
        <v>2047</v>
      </c>
      <c r="F228" s="43" t="s">
        <v>2048</v>
      </c>
      <c r="G228" s="43" t="s">
        <v>2009</v>
      </c>
      <c r="H228" s="50">
        <v>0.91020000000000001</v>
      </c>
      <c r="I228" s="50">
        <v>0.54859999999999998</v>
      </c>
      <c r="J228" s="50">
        <v>1.51</v>
      </c>
      <c r="K228" s="50">
        <v>0.71548475535718203</v>
      </c>
      <c r="L228" s="6">
        <v>141220</v>
      </c>
      <c r="M228" s="57">
        <v>355</v>
      </c>
      <c r="N228" s="57"/>
      <c r="O228" s="57"/>
      <c r="P228" s="57"/>
      <c r="Q228" s="57"/>
      <c r="R228" s="57"/>
      <c r="S228" s="57"/>
      <c r="T228" s="57" t="s">
        <v>2023</v>
      </c>
      <c r="U228" s="57" t="s">
        <v>2026</v>
      </c>
      <c r="V228" t="s">
        <v>2037</v>
      </c>
    </row>
    <row r="229" spans="1:22" ht="18" customHeight="1" x14ac:dyDescent="0.15">
      <c r="A229" s="5" t="s">
        <v>2021</v>
      </c>
      <c r="B229" s="6" t="s">
        <v>2047</v>
      </c>
      <c r="C229" s="6" t="s">
        <v>2022</v>
      </c>
      <c r="D229" s="8" t="s">
        <v>2032</v>
      </c>
      <c r="E229" s="8" t="s">
        <v>2047</v>
      </c>
      <c r="F229" s="43" t="s">
        <v>2048</v>
      </c>
      <c r="G229" s="43" t="s">
        <v>2009</v>
      </c>
      <c r="H229" s="50">
        <v>1.252</v>
      </c>
      <c r="I229" s="50">
        <v>0.16400000000000001</v>
      </c>
      <c r="J229" s="50">
        <v>9.5554000000000006</v>
      </c>
      <c r="K229" s="50">
        <v>0.82842791949797423</v>
      </c>
      <c r="L229" s="6">
        <v>3133</v>
      </c>
      <c r="M229" s="57">
        <v>20</v>
      </c>
      <c r="N229" s="57"/>
      <c r="O229" s="57"/>
      <c r="P229" s="57"/>
      <c r="Q229" s="57"/>
      <c r="R229" s="57"/>
      <c r="S229" s="57"/>
      <c r="T229" s="57" t="s">
        <v>2027</v>
      </c>
      <c r="U229" s="57" t="s">
        <v>2024</v>
      </c>
      <c r="V229" t="s">
        <v>2037</v>
      </c>
    </row>
    <row r="230" spans="1:22" ht="18" customHeight="1" x14ac:dyDescent="0.15">
      <c r="A230" s="5" t="s">
        <v>2021</v>
      </c>
      <c r="B230" s="6" t="s">
        <v>2047</v>
      </c>
      <c r="C230" s="6" t="s">
        <v>2022</v>
      </c>
      <c r="D230" s="8" t="s">
        <v>2032</v>
      </c>
      <c r="E230" s="8" t="s">
        <v>2047</v>
      </c>
      <c r="F230" s="43" t="s">
        <v>2048</v>
      </c>
      <c r="G230" s="43" t="s">
        <v>2009</v>
      </c>
      <c r="H230" s="50">
        <v>1.7355</v>
      </c>
      <c r="I230" s="50">
        <v>0.88939999999999997</v>
      </c>
      <c r="J230" s="50">
        <v>3.3862999999999999</v>
      </c>
      <c r="K230" s="50">
        <v>0.10601358413835769</v>
      </c>
      <c r="L230" s="6">
        <v>380765</v>
      </c>
      <c r="M230" s="57">
        <v>134</v>
      </c>
      <c r="N230" s="57"/>
      <c r="O230" s="57"/>
      <c r="P230" s="57"/>
      <c r="Q230" s="57"/>
      <c r="R230" s="57"/>
      <c r="S230" s="57"/>
      <c r="T230" s="57" t="s">
        <v>2027</v>
      </c>
      <c r="U230" s="57" t="s">
        <v>2025</v>
      </c>
      <c r="V230" t="s">
        <v>2037</v>
      </c>
    </row>
    <row r="231" spans="1:22" ht="18" customHeight="1" x14ac:dyDescent="0.15">
      <c r="A231" s="5" t="s">
        <v>2021</v>
      </c>
      <c r="B231" s="6" t="s">
        <v>2047</v>
      </c>
      <c r="C231" s="6" t="s">
        <v>2022</v>
      </c>
      <c r="D231" s="8" t="s">
        <v>2032</v>
      </c>
      <c r="E231" s="8" t="s">
        <v>2047</v>
      </c>
      <c r="F231" s="43" t="s">
        <v>2048</v>
      </c>
      <c r="G231" s="43" t="s">
        <v>2009</v>
      </c>
      <c r="H231" s="50">
        <v>0.88949999999999996</v>
      </c>
      <c r="I231" s="50">
        <v>0.52690000000000003</v>
      </c>
      <c r="J231" s="50">
        <v>1.5016</v>
      </c>
      <c r="K231" s="50">
        <v>0.66107506548206096</v>
      </c>
      <c r="L231" s="6">
        <v>48063</v>
      </c>
      <c r="M231" s="57">
        <v>324</v>
      </c>
      <c r="N231" s="57"/>
      <c r="O231" s="57"/>
      <c r="P231" s="57"/>
      <c r="Q231" s="57"/>
      <c r="R231" s="57"/>
      <c r="S231" s="57"/>
      <c r="T231" s="57" t="s">
        <v>2027</v>
      </c>
      <c r="U231" s="57" t="s">
        <v>2026</v>
      </c>
      <c r="V231" t="s">
        <v>2037</v>
      </c>
    </row>
    <row r="232" spans="1:22" ht="18" customHeight="1" x14ac:dyDescent="0.15">
      <c r="A232" s="5" t="s">
        <v>2021</v>
      </c>
      <c r="B232" s="6" t="s">
        <v>2047</v>
      </c>
      <c r="C232" s="6" t="s">
        <v>2022</v>
      </c>
      <c r="D232" s="8" t="s">
        <v>2032</v>
      </c>
      <c r="E232" s="8" t="s">
        <v>2047</v>
      </c>
      <c r="F232" s="43" t="s">
        <v>2048</v>
      </c>
      <c r="G232" s="43" t="s">
        <v>2009</v>
      </c>
      <c r="H232" s="50">
        <v>1.2014</v>
      </c>
      <c r="I232" s="50">
        <v>0.75649999999999995</v>
      </c>
      <c r="J232" s="50">
        <v>1.9078999999999999</v>
      </c>
      <c r="K232" s="50">
        <v>0.43690063077957692</v>
      </c>
      <c r="L232" s="6">
        <v>284380</v>
      </c>
      <c r="M232" s="57">
        <v>389</v>
      </c>
      <c r="N232" s="57"/>
      <c r="O232" s="57"/>
      <c r="P232" s="57"/>
      <c r="Q232" s="57"/>
      <c r="R232" s="57"/>
      <c r="S232" s="57"/>
      <c r="T232" s="57" t="s">
        <v>2028</v>
      </c>
      <c r="U232" s="57" t="s">
        <v>2029</v>
      </c>
      <c r="V232" t="s">
        <v>2037</v>
      </c>
    </row>
    <row r="233" spans="1:22" ht="18" customHeight="1" x14ac:dyDescent="0.15">
      <c r="A233" s="5" t="s">
        <v>2021</v>
      </c>
      <c r="B233" s="6" t="s">
        <v>2047</v>
      </c>
      <c r="C233" s="6" t="s">
        <v>2022</v>
      </c>
      <c r="D233" s="8" t="s">
        <v>2032</v>
      </c>
      <c r="E233" s="8" t="s">
        <v>2047</v>
      </c>
      <c r="F233" s="43" t="s">
        <v>2048</v>
      </c>
      <c r="G233" s="43" t="s">
        <v>2009</v>
      </c>
      <c r="H233" s="50">
        <v>1.6978</v>
      </c>
      <c r="I233" s="50">
        <v>0.73440000000000005</v>
      </c>
      <c r="J233" s="50">
        <v>3.9249999999999998</v>
      </c>
      <c r="K233" s="50">
        <v>0.21574407661853451</v>
      </c>
      <c r="L233" s="6">
        <v>147581</v>
      </c>
      <c r="M233" s="57">
        <v>89</v>
      </c>
      <c r="N233" s="57"/>
      <c r="O233" s="57"/>
      <c r="P233" s="57"/>
      <c r="Q233" s="57"/>
      <c r="R233" s="57"/>
      <c r="S233" s="57"/>
      <c r="T233" s="57" t="s">
        <v>2028</v>
      </c>
      <c r="U233" s="57" t="s">
        <v>2030</v>
      </c>
      <c r="V233" t="s">
        <v>2037</v>
      </c>
    </row>
    <row r="234" spans="1:22" ht="18" customHeight="1" x14ac:dyDescent="0.15">
      <c r="A234" s="5" t="s">
        <v>2004</v>
      </c>
      <c r="B234" s="6" t="s">
        <v>2047</v>
      </c>
      <c r="C234" s="6" t="s">
        <v>2006</v>
      </c>
      <c r="D234" s="8" t="s">
        <v>2033</v>
      </c>
      <c r="E234" s="8" t="s">
        <v>2047</v>
      </c>
      <c r="F234" s="43" t="s">
        <v>2048</v>
      </c>
      <c r="G234" s="43" t="s">
        <v>2009</v>
      </c>
      <c r="H234" s="50">
        <v>0.61350000000000005</v>
      </c>
      <c r="I234" s="50"/>
      <c r="J234" s="50"/>
      <c r="K234" s="50"/>
      <c r="L234" s="6">
        <v>432603</v>
      </c>
      <c r="M234" s="57">
        <v>150</v>
      </c>
      <c r="N234" s="57">
        <v>25398</v>
      </c>
      <c r="O234" s="57">
        <v>4</v>
      </c>
      <c r="P234" s="57">
        <v>253068</v>
      </c>
      <c r="Q234" s="57">
        <v>146</v>
      </c>
      <c r="R234" s="57">
        <v>5666801.0999999996</v>
      </c>
      <c r="S234" s="57">
        <v>0.61350000000000005</v>
      </c>
      <c r="T234" s="57"/>
      <c r="U234" s="57"/>
    </row>
    <row r="235" spans="1:22" ht="18" customHeight="1" x14ac:dyDescent="0.15">
      <c r="A235" s="5" t="s">
        <v>2004</v>
      </c>
      <c r="B235" s="6" t="s">
        <v>2047</v>
      </c>
      <c r="C235" s="6" t="s">
        <v>2010</v>
      </c>
      <c r="D235" s="8" t="s">
        <v>2033</v>
      </c>
      <c r="E235" s="8" t="s">
        <v>2047</v>
      </c>
      <c r="F235" s="43" t="s">
        <v>2048</v>
      </c>
      <c r="G235" s="43" t="s">
        <v>2009</v>
      </c>
      <c r="H235" s="50">
        <v>0.61350000000000005</v>
      </c>
      <c r="I235" s="50">
        <v>0.22720000000000001</v>
      </c>
      <c r="J235" s="50">
        <v>1.6565000000000001</v>
      </c>
      <c r="K235" s="50">
        <v>0.33499494137019209</v>
      </c>
      <c r="L235" s="6">
        <v>432603</v>
      </c>
      <c r="M235" s="57">
        <v>150</v>
      </c>
      <c r="N235" s="57">
        <v>25398</v>
      </c>
      <c r="O235" s="57">
        <v>4</v>
      </c>
      <c r="P235" s="57">
        <v>253068</v>
      </c>
      <c r="Q235" s="57">
        <v>146</v>
      </c>
      <c r="R235" s="57">
        <v>5666801.0999999996</v>
      </c>
      <c r="S235" s="57">
        <v>0.61350000000000005</v>
      </c>
      <c r="T235" s="57"/>
      <c r="U235" s="57"/>
    </row>
    <row r="236" spans="1:22" ht="18" customHeight="1" x14ac:dyDescent="0.15">
      <c r="A236" s="5" t="s">
        <v>2004</v>
      </c>
      <c r="B236" s="6" t="s">
        <v>2047</v>
      </c>
      <c r="C236" s="6" t="s">
        <v>2011</v>
      </c>
      <c r="D236" s="8" t="s">
        <v>2033</v>
      </c>
      <c r="E236" s="8" t="s">
        <v>2047</v>
      </c>
      <c r="F236" s="43" t="s">
        <v>2048</v>
      </c>
      <c r="G236" s="43" t="s">
        <v>2009</v>
      </c>
      <c r="H236" s="50">
        <v>0.65169999999999995</v>
      </c>
      <c r="I236" s="50">
        <v>0.2407</v>
      </c>
      <c r="J236" s="50">
        <v>1.7647999999999999</v>
      </c>
      <c r="K236" s="50">
        <v>0.39956361165187498</v>
      </c>
      <c r="L236" s="6">
        <v>432603</v>
      </c>
      <c r="M236" s="57">
        <v>150</v>
      </c>
      <c r="N236" s="57">
        <v>25398</v>
      </c>
      <c r="O236" s="57">
        <v>4</v>
      </c>
      <c r="P236" s="57">
        <v>253068</v>
      </c>
      <c r="Q236" s="57">
        <v>146</v>
      </c>
      <c r="R236" s="57">
        <v>5666801.0999999996</v>
      </c>
      <c r="S236" s="57">
        <v>0.61350000000000005</v>
      </c>
      <c r="T236" s="57"/>
      <c r="U236" s="57"/>
    </row>
    <row r="237" spans="1:22" ht="18" customHeight="1" x14ac:dyDescent="0.15">
      <c r="A237" s="5" t="s">
        <v>2004</v>
      </c>
      <c r="B237" s="6" t="s">
        <v>2047</v>
      </c>
      <c r="C237" s="6" t="s">
        <v>2012</v>
      </c>
      <c r="D237" s="8" t="s">
        <v>2033</v>
      </c>
      <c r="E237" s="8" t="s">
        <v>2047</v>
      </c>
      <c r="F237" s="43" t="s">
        <v>2048</v>
      </c>
      <c r="G237" s="43" t="s">
        <v>2009</v>
      </c>
      <c r="H237" s="50">
        <v>0.61580000000000001</v>
      </c>
      <c r="I237" s="50">
        <v>0.2281</v>
      </c>
      <c r="J237" s="50">
        <v>1.6621999999999999</v>
      </c>
      <c r="K237" s="50">
        <v>0.33855518456247707</v>
      </c>
      <c r="L237" s="6">
        <v>432603</v>
      </c>
      <c r="M237" s="57">
        <v>150</v>
      </c>
      <c r="N237" s="57">
        <v>25398</v>
      </c>
      <c r="O237" s="57">
        <v>4</v>
      </c>
      <c r="P237" s="57">
        <v>253068</v>
      </c>
      <c r="Q237" s="57">
        <v>146</v>
      </c>
      <c r="R237" s="57">
        <v>5666801.0999999996</v>
      </c>
      <c r="S237" s="57">
        <v>0.61350000000000005</v>
      </c>
      <c r="T237" s="57"/>
      <c r="U237" s="57"/>
    </row>
    <row r="238" spans="1:22" ht="18" customHeight="1" x14ac:dyDescent="0.15">
      <c r="A238" s="5" t="s">
        <v>2004</v>
      </c>
      <c r="B238" s="6" t="s">
        <v>2047</v>
      </c>
      <c r="C238" s="6" t="s">
        <v>2013</v>
      </c>
      <c r="D238" s="8" t="s">
        <v>2033</v>
      </c>
      <c r="E238" s="8" t="s">
        <v>2047</v>
      </c>
      <c r="F238" s="43" t="s">
        <v>2048</v>
      </c>
      <c r="G238" s="43" t="s">
        <v>2009</v>
      </c>
      <c r="H238" s="50">
        <v>0.61019999999999996</v>
      </c>
      <c r="I238" s="50">
        <v>0.2261</v>
      </c>
      <c r="J238" s="50">
        <v>1.647</v>
      </c>
      <c r="K238" s="50">
        <v>0.32952231775361351</v>
      </c>
      <c r="L238" s="6">
        <v>432603</v>
      </c>
      <c r="M238" s="57">
        <v>150</v>
      </c>
      <c r="N238" s="57">
        <v>25398</v>
      </c>
      <c r="O238" s="57">
        <v>4</v>
      </c>
      <c r="P238" s="57">
        <v>253068</v>
      </c>
      <c r="Q238" s="57">
        <v>146</v>
      </c>
      <c r="R238" s="57">
        <v>5666801.0999999996</v>
      </c>
      <c r="S238" s="57">
        <v>0.61350000000000005</v>
      </c>
      <c r="T238" s="57"/>
      <c r="U238" s="57"/>
    </row>
    <row r="239" spans="1:22" ht="18" customHeight="1" x14ac:dyDescent="0.15">
      <c r="A239" s="5" t="s">
        <v>2004</v>
      </c>
      <c r="B239" s="6" t="s">
        <v>2047</v>
      </c>
      <c r="C239" s="6" t="s">
        <v>2006</v>
      </c>
      <c r="D239" s="8" t="s">
        <v>2034</v>
      </c>
      <c r="E239" s="8" t="s">
        <v>2047</v>
      </c>
      <c r="F239" s="43" t="s">
        <v>2048</v>
      </c>
      <c r="G239" s="43" t="s">
        <v>2009</v>
      </c>
      <c r="H239" s="50">
        <v>1.4754</v>
      </c>
      <c r="I239" s="50"/>
      <c r="J239" s="50"/>
      <c r="K239" s="50"/>
      <c r="L239" s="6">
        <v>432520</v>
      </c>
      <c r="M239" s="57">
        <v>178</v>
      </c>
      <c r="N239" s="57">
        <v>25387</v>
      </c>
      <c r="O239" s="57">
        <v>11</v>
      </c>
      <c r="P239" s="57">
        <v>252950.1</v>
      </c>
      <c r="Q239" s="57">
        <v>167</v>
      </c>
      <c r="R239" s="57">
        <v>5665767.4000000004</v>
      </c>
      <c r="S239" s="57">
        <v>1.4754</v>
      </c>
      <c r="T239" s="57"/>
      <c r="U239" s="57"/>
    </row>
    <row r="240" spans="1:22" ht="18" customHeight="1" x14ac:dyDescent="0.15">
      <c r="A240" s="5" t="s">
        <v>2004</v>
      </c>
      <c r="B240" s="6" t="s">
        <v>2047</v>
      </c>
      <c r="C240" s="6" t="s">
        <v>2010</v>
      </c>
      <c r="D240" s="8" t="s">
        <v>2034</v>
      </c>
      <c r="E240" s="8" t="s">
        <v>2047</v>
      </c>
      <c r="F240" s="43" t="s">
        <v>2048</v>
      </c>
      <c r="G240" s="43" t="s">
        <v>2009</v>
      </c>
      <c r="H240" s="50">
        <v>1.4754</v>
      </c>
      <c r="I240" s="50">
        <v>0.80159999999999998</v>
      </c>
      <c r="J240" s="50">
        <v>2.7153</v>
      </c>
      <c r="K240" s="50">
        <v>0.2114524657036089</v>
      </c>
      <c r="L240" s="6">
        <v>432520</v>
      </c>
      <c r="M240" s="57">
        <v>178</v>
      </c>
      <c r="N240" s="57">
        <v>25387</v>
      </c>
      <c r="O240" s="57">
        <v>11</v>
      </c>
      <c r="P240" s="57">
        <v>252950.1</v>
      </c>
      <c r="Q240" s="57">
        <v>167</v>
      </c>
      <c r="R240" s="57">
        <v>5665767.4000000004</v>
      </c>
      <c r="S240" s="57">
        <v>1.4754</v>
      </c>
      <c r="T240" s="57"/>
      <c r="U240" s="57"/>
    </row>
    <row r="241" spans="1:22" ht="18" customHeight="1" x14ac:dyDescent="0.15">
      <c r="A241" s="5" t="s">
        <v>2004</v>
      </c>
      <c r="B241" s="6" t="s">
        <v>2047</v>
      </c>
      <c r="C241" s="6" t="s">
        <v>2011</v>
      </c>
      <c r="D241" s="8" t="s">
        <v>2034</v>
      </c>
      <c r="E241" s="8" t="s">
        <v>2047</v>
      </c>
      <c r="F241" s="43" t="s">
        <v>2048</v>
      </c>
      <c r="G241" s="43" t="s">
        <v>2009</v>
      </c>
      <c r="H241" s="50">
        <v>1.4746999999999999</v>
      </c>
      <c r="I241" s="50">
        <v>0.79200000000000004</v>
      </c>
      <c r="J241" s="50">
        <v>2.746</v>
      </c>
      <c r="K241" s="50">
        <v>0.22066270925629319</v>
      </c>
      <c r="L241" s="6">
        <v>432520</v>
      </c>
      <c r="M241" s="57">
        <v>178</v>
      </c>
      <c r="N241" s="57">
        <v>25387</v>
      </c>
      <c r="O241" s="57">
        <v>11</v>
      </c>
      <c r="P241" s="57">
        <v>252950.1</v>
      </c>
      <c r="Q241" s="57">
        <v>167</v>
      </c>
      <c r="R241" s="57">
        <v>5665767.4000000004</v>
      </c>
      <c r="S241" s="57">
        <v>1.4754</v>
      </c>
      <c r="T241" s="57"/>
      <c r="U241" s="57"/>
    </row>
    <row r="242" spans="1:22" ht="18" customHeight="1" x14ac:dyDescent="0.15">
      <c r="A242" s="5" t="s">
        <v>2004</v>
      </c>
      <c r="B242" s="6" t="s">
        <v>2047</v>
      </c>
      <c r="C242" s="6" t="s">
        <v>2012</v>
      </c>
      <c r="D242" s="8" t="s">
        <v>2034</v>
      </c>
      <c r="E242" s="8" t="s">
        <v>2047</v>
      </c>
      <c r="F242" s="43" t="s">
        <v>2048</v>
      </c>
      <c r="G242" s="43" t="s">
        <v>2009</v>
      </c>
      <c r="H242" s="50">
        <v>1.4414</v>
      </c>
      <c r="I242" s="50">
        <v>0.77359999999999995</v>
      </c>
      <c r="J242" s="50">
        <v>2.6857000000000002</v>
      </c>
      <c r="K242" s="50">
        <v>0.2495847331435789</v>
      </c>
      <c r="L242" s="6">
        <v>432520</v>
      </c>
      <c r="M242" s="57">
        <v>178</v>
      </c>
      <c r="N242" s="57">
        <v>25387</v>
      </c>
      <c r="O242" s="57">
        <v>11</v>
      </c>
      <c r="P242" s="57">
        <v>252950.1</v>
      </c>
      <c r="Q242" s="57">
        <v>167</v>
      </c>
      <c r="R242" s="57">
        <v>5665767.4000000004</v>
      </c>
      <c r="S242" s="57">
        <v>1.4754</v>
      </c>
      <c r="T242" s="57"/>
      <c r="U242" s="57"/>
    </row>
    <row r="243" spans="1:22" ht="18" customHeight="1" x14ac:dyDescent="0.15">
      <c r="A243" s="5" t="s">
        <v>2004</v>
      </c>
      <c r="B243" s="6" t="s">
        <v>2047</v>
      </c>
      <c r="C243" s="6" t="s">
        <v>2013</v>
      </c>
      <c r="D243" s="8" t="s">
        <v>2034</v>
      </c>
      <c r="E243" s="8" t="s">
        <v>2047</v>
      </c>
      <c r="F243" s="43" t="s">
        <v>2048</v>
      </c>
      <c r="G243" s="43" t="s">
        <v>2009</v>
      </c>
      <c r="H243" s="50">
        <v>1.4733000000000001</v>
      </c>
      <c r="I243" s="50">
        <v>0.78910000000000002</v>
      </c>
      <c r="J243" s="50">
        <v>2.7507000000000001</v>
      </c>
      <c r="K243" s="50">
        <v>0.22380943486532179</v>
      </c>
      <c r="L243" s="6">
        <v>432520</v>
      </c>
      <c r="M243" s="57">
        <v>178</v>
      </c>
      <c r="N243" s="57">
        <v>25387</v>
      </c>
      <c r="O243" s="57">
        <v>11</v>
      </c>
      <c r="P243" s="57">
        <v>252950.1</v>
      </c>
      <c r="Q243" s="57">
        <v>167</v>
      </c>
      <c r="R243" s="57">
        <v>5665767.4000000004</v>
      </c>
      <c r="S243" s="57">
        <v>1.4754</v>
      </c>
      <c r="T243" s="57"/>
      <c r="U243" s="57"/>
    </row>
    <row r="244" spans="1:22" ht="18" customHeight="1" x14ac:dyDescent="0.15">
      <c r="A244" s="5" t="s">
        <v>2004</v>
      </c>
      <c r="B244" s="6" t="s">
        <v>2047</v>
      </c>
      <c r="C244" s="6" t="s">
        <v>2006</v>
      </c>
      <c r="D244" s="8" t="s">
        <v>2035</v>
      </c>
      <c r="E244" s="8" t="s">
        <v>2047</v>
      </c>
      <c r="F244" s="43" t="s">
        <v>2048</v>
      </c>
      <c r="G244" s="43" t="s">
        <v>2009</v>
      </c>
      <c r="H244" s="50">
        <v>0.87019999999999997</v>
      </c>
      <c r="I244" s="50"/>
      <c r="J244" s="50"/>
      <c r="K244" s="50"/>
      <c r="L244" s="6">
        <v>431257</v>
      </c>
      <c r="M244" s="57">
        <v>749</v>
      </c>
      <c r="N244" s="57">
        <v>25292</v>
      </c>
      <c r="O244" s="57">
        <v>28</v>
      </c>
      <c r="P244" s="57">
        <v>252138.4</v>
      </c>
      <c r="Q244" s="57">
        <v>721</v>
      </c>
      <c r="R244" s="57">
        <v>5650143.5</v>
      </c>
      <c r="S244" s="57">
        <v>0.87019999999999997</v>
      </c>
      <c r="T244" s="57"/>
      <c r="U244" s="57"/>
    </row>
    <row r="245" spans="1:22" ht="18" customHeight="1" x14ac:dyDescent="0.15">
      <c r="A245" s="5" t="s">
        <v>2004</v>
      </c>
      <c r="B245" s="6" t="s">
        <v>2047</v>
      </c>
      <c r="C245" s="6" t="s">
        <v>2010</v>
      </c>
      <c r="D245" s="8" t="s">
        <v>2035</v>
      </c>
      <c r="E245" s="8" t="s">
        <v>2047</v>
      </c>
      <c r="F245" s="43" t="s">
        <v>2048</v>
      </c>
      <c r="G245" s="43" t="s">
        <v>2009</v>
      </c>
      <c r="H245" s="50">
        <v>0.87019999999999997</v>
      </c>
      <c r="I245" s="50">
        <v>0.59670000000000001</v>
      </c>
      <c r="J245" s="50">
        <v>1.2690999999999999</v>
      </c>
      <c r="K245" s="50">
        <v>0.47030896693148772</v>
      </c>
      <c r="L245" s="6">
        <v>431257</v>
      </c>
      <c r="M245" s="57">
        <v>749</v>
      </c>
      <c r="N245" s="57">
        <v>25292</v>
      </c>
      <c r="O245" s="57">
        <v>28</v>
      </c>
      <c r="P245" s="57">
        <v>252138.4</v>
      </c>
      <c r="Q245" s="57">
        <v>721</v>
      </c>
      <c r="R245" s="57">
        <v>5650143.5</v>
      </c>
      <c r="S245" s="57">
        <v>0.87019999999999997</v>
      </c>
      <c r="T245" s="57"/>
      <c r="U245" s="57"/>
    </row>
    <row r="246" spans="1:22" ht="18" customHeight="1" x14ac:dyDescent="0.15">
      <c r="A246" s="5" t="s">
        <v>2004</v>
      </c>
      <c r="B246" s="6" t="s">
        <v>2047</v>
      </c>
      <c r="C246" s="6" t="s">
        <v>2011</v>
      </c>
      <c r="D246" s="8" t="s">
        <v>2035</v>
      </c>
      <c r="E246" s="8" t="s">
        <v>2047</v>
      </c>
      <c r="F246" s="43" t="s">
        <v>2048</v>
      </c>
      <c r="G246" s="43" t="s">
        <v>2009</v>
      </c>
      <c r="H246" s="50">
        <v>0.88049999999999995</v>
      </c>
      <c r="I246" s="50">
        <v>0.60150000000000003</v>
      </c>
      <c r="J246" s="50">
        <v>1.2887999999999999</v>
      </c>
      <c r="K246" s="50">
        <v>0.51261363748479316</v>
      </c>
      <c r="L246" s="6">
        <v>431257</v>
      </c>
      <c r="M246" s="57">
        <v>749</v>
      </c>
      <c r="N246" s="57">
        <v>25292</v>
      </c>
      <c r="O246" s="57">
        <v>28</v>
      </c>
      <c r="P246" s="57">
        <v>252138.4</v>
      </c>
      <c r="Q246" s="57">
        <v>721</v>
      </c>
      <c r="R246" s="57">
        <v>5650143.5</v>
      </c>
      <c r="S246" s="57">
        <v>0.87019999999999997</v>
      </c>
      <c r="T246" s="57"/>
      <c r="U246" s="57"/>
    </row>
    <row r="247" spans="1:22" ht="18" customHeight="1" x14ac:dyDescent="0.15">
      <c r="A247" s="5" t="s">
        <v>2004</v>
      </c>
      <c r="B247" s="6" t="s">
        <v>2047</v>
      </c>
      <c r="C247" s="6" t="s">
        <v>2012</v>
      </c>
      <c r="D247" s="8" t="s">
        <v>2035</v>
      </c>
      <c r="E247" s="8" t="s">
        <v>2047</v>
      </c>
      <c r="F247" s="43" t="s">
        <v>2048</v>
      </c>
      <c r="G247" s="43" t="s">
        <v>2009</v>
      </c>
      <c r="H247" s="50">
        <v>0.84840000000000004</v>
      </c>
      <c r="I247" s="50">
        <v>0.57930000000000004</v>
      </c>
      <c r="J247" s="50">
        <v>1.2424999999999999</v>
      </c>
      <c r="K247" s="50">
        <v>0.3983593877831868</v>
      </c>
      <c r="L247" s="6">
        <v>431257</v>
      </c>
      <c r="M247" s="57">
        <v>749</v>
      </c>
      <c r="N247" s="57">
        <v>25292</v>
      </c>
      <c r="O247" s="57">
        <v>28</v>
      </c>
      <c r="P247" s="57">
        <v>252138.4</v>
      </c>
      <c r="Q247" s="57">
        <v>721</v>
      </c>
      <c r="R247" s="57">
        <v>5650143.5</v>
      </c>
      <c r="S247" s="57">
        <v>0.87019999999999997</v>
      </c>
      <c r="T247" s="57"/>
      <c r="U247" s="57"/>
    </row>
    <row r="248" spans="1:22" ht="18" customHeight="1" x14ac:dyDescent="0.15">
      <c r="A248" s="5" t="s">
        <v>2004</v>
      </c>
      <c r="B248" s="6" t="s">
        <v>2047</v>
      </c>
      <c r="C248" s="6" t="s">
        <v>2013</v>
      </c>
      <c r="D248" s="8" t="s">
        <v>2035</v>
      </c>
      <c r="E248" s="8" t="s">
        <v>2047</v>
      </c>
      <c r="F248" s="43" t="s">
        <v>2048</v>
      </c>
      <c r="G248" s="43" t="s">
        <v>2009</v>
      </c>
      <c r="H248" s="50">
        <v>0.83120000000000005</v>
      </c>
      <c r="I248" s="50">
        <v>0.56579999999999997</v>
      </c>
      <c r="J248" s="50">
        <v>1.2212000000000001</v>
      </c>
      <c r="K248" s="50">
        <v>0.3462282162140925</v>
      </c>
      <c r="L248" s="6">
        <v>431257</v>
      </c>
      <c r="M248" s="57">
        <v>749</v>
      </c>
      <c r="N248" s="57">
        <v>25292</v>
      </c>
      <c r="O248" s="57">
        <v>28</v>
      </c>
      <c r="P248" s="57">
        <v>252138.4</v>
      </c>
      <c r="Q248" s="57">
        <v>721</v>
      </c>
      <c r="R248" s="57">
        <v>5650143.5</v>
      </c>
      <c r="S248" s="57">
        <v>0.87019999999999997</v>
      </c>
      <c r="T248" s="57"/>
      <c r="U248" s="57"/>
    </row>
    <row r="249" spans="1:22" ht="18" customHeight="1" x14ac:dyDescent="0.15">
      <c r="A249" s="5" t="s">
        <v>2014</v>
      </c>
      <c r="B249" s="6" t="s">
        <v>2047</v>
      </c>
      <c r="C249" s="6" t="s">
        <v>2015</v>
      </c>
      <c r="D249" s="8" t="s">
        <v>2035</v>
      </c>
      <c r="E249" s="8" t="s">
        <v>2047</v>
      </c>
      <c r="F249" s="43" t="s">
        <v>2048</v>
      </c>
      <c r="G249" s="43" t="s">
        <v>2009</v>
      </c>
      <c r="H249" s="50">
        <v>0.87019999999999997</v>
      </c>
      <c r="I249" s="50">
        <v>0.59670000000000001</v>
      </c>
      <c r="J249" s="50">
        <v>1.2690999999999999</v>
      </c>
      <c r="K249" s="50">
        <v>0.47030896693148772</v>
      </c>
      <c r="L249" s="6">
        <v>431257</v>
      </c>
      <c r="M249" s="57">
        <v>749</v>
      </c>
      <c r="N249" s="57"/>
      <c r="O249" s="57"/>
      <c r="P249" s="57"/>
      <c r="Q249" s="57"/>
      <c r="R249" s="57"/>
      <c r="S249" s="57"/>
      <c r="T249" s="57"/>
      <c r="U249" s="57"/>
    </row>
    <row r="250" spans="1:22" ht="18" customHeight="1" x14ac:dyDescent="0.15">
      <c r="A250" s="5" t="s">
        <v>2014</v>
      </c>
      <c r="B250" s="6" t="s">
        <v>2047</v>
      </c>
      <c r="C250" s="6" t="s">
        <v>2016</v>
      </c>
      <c r="D250" s="8" t="s">
        <v>2035</v>
      </c>
      <c r="E250" s="8" t="s">
        <v>2047</v>
      </c>
      <c r="F250" s="43" t="s">
        <v>2048</v>
      </c>
      <c r="G250" s="43" t="s">
        <v>2009</v>
      </c>
      <c r="H250" s="50">
        <v>0.88049999999999995</v>
      </c>
      <c r="I250" s="50">
        <v>0.60150000000000003</v>
      </c>
      <c r="J250" s="50">
        <v>1.2887999999999999</v>
      </c>
      <c r="K250" s="50">
        <v>0.51261363748479316</v>
      </c>
      <c r="L250" s="6">
        <v>431257</v>
      </c>
      <c r="M250" s="57">
        <v>749</v>
      </c>
      <c r="N250" s="57"/>
      <c r="O250" s="57"/>
      <c r="P250" s="57"/>
      <c r="Q250" s="57"/>
      <c r="R250" s="57"/>
      <c r="S250" s="57"/>
      <c r="T250" s="57"/>
      <c r="U250" s="57"/>
    </row>
    <row r="251" spans="1:22" ht="18" customHeight="1" x14ac:dyDescent="0.15">
      <c r="A251" s="5" t="s">
        <v>2014</v>
      </c>
      <c r="B251" s="6" t="s">
        <v>2047</v>
      </c>
      <c r="C251" s="6" t="s">
        <v>2017</v>
      </c>
      <c r="D251" s="8" t="s">
        <v>2035</v>
      </c>
      <c r="E251" s="8" t="s">
        <v>2047</v>
      </c>
      <c r="F251" s="43" t="s">
        <v>2048</v>
      </c>
      <c r="G251" s="43" t="s">
        <v>2009</v>
      </c>
      <c r="H251" s="50">
        <v>0.74770000000000003</v>
      </c>
      <c r="I251" s="50">
        <v>0.51100000000000001</v>
      </c>
      <c r="J251" s="50">
        <v>1.0942000000000001</v>
      </c>
      <c r="K251" s="50">
        <v>0.13453038269022541</v>
      </c>
      <c r="L251" s="6">
        <v>431257</v>
      </c>
      <c r="M251" s="57">
        <v>749</v>
      </c>
      <c r="N251" s="57"/>
      <c r="O251" s="57"/>
      <c r="P251" s="57"/>
      <c r="Q251" s="57"/>
      <c r="R251" s="57"/>
      <c r="S251" s="57"/>
      <c r="T251" s="57"/>
      <c r="U251" s="57"/>
    </row>
    <row r="252" spans="1:22" ht="18" customHeight="1" x14ac:dyDescent="0.15">
      <c r="A252" s="5" t="s">
        <v>2014</v>
      </c>
      <c r="B252" s="6" t="s">
        <v>2047</v>
      </c>
      <c r="C252" s="6" t="s">
        <v>2018</v>
      </c>
      <c r="D252" s="8" t="s">
        <v>2035</v>
      </c>
      <c r="E252" s="8" t="s">
        <v>2047</v>
      </c>
      <c r="F252" s="43" t="s">
        <v>2048</v>
      </c>
      <c r="G252" s="43" t="s">
        <v>2009</v>
      </c>
      <c r="H252" s="50">
        <v>0.9919</v>
      </c>
      <c r="I252" s="50">
        <v>0.54310000000000003</v>
      </c>
      <c r="J252" s="50">
        <v>1.8118000000000001</v>
      </c>
      <c r="K252" s="50">
        <v>0.97899724733348559</v>
      </c>
      <c r="L252" s="6">
        <v>431257</v>
      </c>
      <c r="M252" s="57">
        <v>749</v>
      </c>
      <c r="N252" s="57"/>
      <c r="O252" s="57"/>
      <c r="P252" s="57"/>
      <c r="Q252" s="57"/>
      <c r="R252" s="57"/>
      <c r="S252" s="57"/>
      <c r="T252" s="57"/>
      <c r="U252" s="57"/>
    </row>
    <row r="253" spans="1:22" ht="18" customHeight="1" x14ac:dyDescent="0.15">
      <c r="A253" s="5" t="s">
        <v>2014</v>
      </c>
      <c r="B253" s="6" t="s">
        <v>2047</v>
      </c>
      <c r="C253" s="6" t="s">
        <v>2019</v>
      </c>
      <c r="D253" s="8" t="s">
        <v>2035</v>
      </c>
      <c r="E253" s="8" t="s">
        <v>2047</v>
      </c>
      <c r="F253" s="43" t="s">
        <v>2048</v>
      </c>
      <c r="G253" s="43" t="s">
        <v>1816</v>
      </c>
      <c r="H253" s="50">
        <v>1.0496000000000001</v>
      </c>
      <c r="I253" s="50">
        <v>0.42270000000000002</v>
      </c>
      <c r="J253" s="50">
        <v>2.6061999999999999</v>
      </c>
      <c r="K253" s="50">
        <v>0.91684958006862582</v>
      </c>
      <c r="L253" s="6">
        <v>428240</v>
      </c>
      <c r="M253" s="57">
        <v>87</v>
      </c>
      <c r="N253" s="57"/>
      <c r="O253" s="57"/>
      <c r="P253" s="57"/>
      <c r="Q253" s="57"/>
      <c r="R253" s="57"/>
      <c r="S253" s="57"/>
      <c r="T253" s="57"/>
      <c r="U253" s="57"/>
      <c r="V253" t="s">
        <v>2036</v>
      </c>
    </row>
    <row r="254" spans="1:22" ht="18" customHeight="1" x14ac:dyDescent="0.15">
      <c r="A254" s="5" t="s">
        <v>2014</v>
      </c>
      <c r="B254" s="6" t="s">
        <v>2047</v>
      </c>
      <c r="C254" s="6" t="s">
        <v>2020</v>
      </c>
      <c r="D254" s="8" t="s">
        <v>2035</v>
      </c>
      <c r="E254" s="8" t="s">
        <v>2047</v>
      </c>
      <c r="F254" s="43" t="s">
        <v>2048</v>
      </c>
      <c r="G254" s="43" t="s">
        <v>2009</v>
      </c>
      <c r="H254" s="50">
        <v>0.85150000000000003</v>
      </c>
      <c r="I254" s="50">
        <v>0.58140000000000003</v>
      </c>
      <c r="J254" s="50">
        <v>1.2470000000000001</v>
      </c>
      <c r="K254" s="50">
        <v>0.40887048166046253</v>
      </c>
      <c r="L254" s="6">
        <v>428241</v>
      </c>
      <c r="M254" s="57">
        <v>747</v>
      </c>
      <c r="N254" s="57"/>
      <c r="O254" s="57"/>
      <c r="P254" s="57"/>
      <c r="Q254" s="57"/>
      <c r="R254" s="57"/>
      <c r="S254" s="57"/>
      <c r="T254" s="57"/>
      <c r="U254" s="57"/>
    </row>
    <row r="255" spans="1:22" ht="18" customHeight="1" x14ac:dyDescent="0.15">
      <c r="A255" s="5" t="s">
        <v>2021</v>
      </c>
      <c r="B255" s="6" t="s">
        <v>2047</v>
      </c>
      <c r="C255" s="6" t="s">
        <v>2022</v>
      </c>
      <c r="D255" s="8" t="s">
        <v>2035</v>
      </c>
      <c r="E255" s="8" t="s">
        <v>2047</v>
      </c>
      <c r="F255" s="43" t="s">
        <v>2048</v>
      </c>
      <c r="G255" s="43" t="s">
        <v>2009</v>
      </c>
      <c r="H255" s="50"/>
      <c r="I255" s="50"/>
      <c r="J255" s="50"/>
      <c r="K255" s="50"/>
      <c r="L255" s="6">
        <v>4248</v>
      </c>
      <c r="M255" s="57">
        <v>10</v>
      </c>
      <c r="N255" s="57"/>
      <c r="O255" s="57"/>
      <c r="P255" s="57"/>
      <c r="Q255" s="57"/>
      <c r="R255" s="57"/>
      <c r="S255" s="57"/>
      <c r="T255" s="57" t="s">
        <v>2023</v>
      </c>
      <c r="U255" s="57" t="s">
        <v>2024</v>
      </c>
      <c r="V255" t="s">
        <v>2037</v>
      </c>
    </row>
    <row r="256" spans="1:22" ht="18" customHeight="1" x14ac:dyDescent="0.15">
      <c r="A256" s="5" t="s">
        <v>2021</v>
      </c>
      <c r="B256" s="6" t="s">
        <v>2047</v>
      </c>
      <c r="C256" s="6" t="s">
        <v>2022</v>
      </c>
      <c r="D256" s="8" t="s">
        <v>2035</v>
      </c>
      <c r="E256" s="8" t="s">
        <v>2047</v>
      </c>
      <c r="F256" s="43" t="s">
        <v>2048</v>
      </c>
      <c r="G256" s="43" t="s">
        <v>2009</v>
      </c>
      <c r="H256" s="50">
        <v>0.81120000000000003</v>
      </c>
      <c r="I256" s="50">
        <v>0.29649999999999999</v>
      </c>
      <c r="J256" s="50">
        <v>2.2191999999999998</v>
      </c>
      <c r="K256" s="50">
        <v>0.68366244845852764</v>
      </c>
      <c r="L256" s="6">
        <v>286554</v>
      </c>
      <c r="M256" s="57">
        <v>115</v>
      </c>
      <c r="N256" s="57"/>
      <c r="O256" s="57"/>
      <c r="P256" s="57"/>
      <c r="Q256" s="57"/>
      <c r="R256" s="57"/>
      <c r="S256" s="57"/>
      <c r="T256" s="57" t="s">
        <v>2023</v>
      </c>
      <c r="U256" s="57" t="s">
        <v>2025</v>
      </c>
      <c r="V256" t="s">
        <v>2037</v>
      </c>
    </row>
    <row r="257" spans="1:22" ht="18" customHeight="1" x14ac:dyDescent="0.15">
      <c r="A257" s="5" t="s">
        <v>2021</v>
      </c>
      <c r="B257" s="6" t="s">
        <v>2047</v>
      </c>
      <c r="C257" s="6" t="s">
        <v>2022</v>
      </c>
      <c r="D257" s="8" t="s">
        <v>2035</v>
      </c>
      <c r="E257" s="8" t="s">
        <v>2047</v>
      </c>
      <c r="F257" s="43" t="s">
        <v>2048</v>
      </c>
      <c r="G257" s="43" t="s">
        <v>2009</v>
      </c>
      <c r="H257" s="50">
        <v>0.77580000000000005</v>
      </c>
      <c r="I257" s="50">
        <v>0.5141</v>
      </c>
      <c r="J257" s="50">
        <v>1.1706000000000001</v>
      </c>
      <c r="K257" s="50">
        <v>0.22648983582174981</v>
      </c>
      <c r="L257" s="6">
        <v>140455</v>
      </c>
      <c r="M257" s="57">
        <v>624</v>
      </c>
      <c r="N257" s="57"/>
      <c r="O257" s="57"/>
      <c r="P257" s="57"/>
      <c r="Q257" s="57"/>
      <c r="R257" s="57"/>
      <c r="S257" s="57"/>
      <c r="T257" s="57" t="s">
        <v>2023</v>
      </c>
      <c r="U257" s="57" t="s">
        <v>2026</v>
      </c>
      <c r="V257" t="s">
        <v>2037</v>
      </c>
    </row>
    <row r="258" spans="1:22" ht="18" customHeight="1" x14ac:dyDescent="0.15">
      <c r="A258" s="5" t="s">
        <v>2021</v>
      </c>
      <c r="B258" s="6" t="s">
        <v>2047</v>
      </c>
      <c r="C258" s="6" t="s">
        <v>2022</v>
      </c>
      <c r="D258" s="8" t="s">
        <v>2035</v>
      </c>
      <c r="E258" s="8" t="s">
        <v>2047</v>
      </c>
      <c r="F258" s="43" t="s">
        <v>2048</v>
      </c>
      <c r="G258" s="43" t="s">
        <v>2009</v>
      </c>
      <c r="H258" s="50"/>
      <c r="I258" s="50"/>
      <c r="J258" s="50"/>
      <c r="K258" s="50"/>
      <c r="L258" s="6">
        <v>3139</v>
      </c>
      <c r="M258" s="57">
        <v>7</v>
      </c>
      <c r="N258" s="57"/>
      <c r="O258" s="57"/>
      <c r="P258" s="57"/>
      <c r="Q258" s="57"/>
      <c r="R258" s="57"/>
      <c r="S258" s="57"/>
      <c r="T258" s="57" t="s">
        <v>2027</v>
      </c>
      <c r="U258" s="57" t="s">
        <v>2024</v>
      </c>
      <c r="V258" t="s">
        <v>2037</v>
      </c>
    </row>
    <row r="259" spans="1:22" ht="18" customHeight="1" x14ac:dyDescent="0.15">
      <c r="A259" s="5" t="s">
        <v>2021</v>
      </c>
      <c r="B259" s="6" t="s">
        <v>2047</v>
      </c>
      <c r="C259" s="6" t="s">
        <v>2022</v>
      </c>
      <c r="D259" s="8" t="s">
        <v>2035</v>
      </c>
      <c r="E259" s="8" t="s">
        <v>2047</v>
      </c>
      <c r="F259" s="43" t="s">
        <v>2048</v>
      </c>
      <c r="G259" s="43" t="s">
        <v>2009</v>
      </c>
      <c r="H259" s="50">
        <v>1.0149999999999999</v>
      </c>
      <c r="I259" s="50">
        <v>0.53469999999999995</v>
      </c>
      <c r="J259" s="50">
        <v>1.9268000000000001</v>
      </c>
      <c r="K259" s="50">
        <v>0.96359706398279354</v>
      </c>
      <c r="L259" s="6">
        <v>380767</v>
      </c>
      <c r="M259" s="57">
        <v>239</v>
      </c>
      <c r="N259" s="57"/>
      <c r="O259" s="57"/>
      <c r="P259" s="57"/>
      <c r="Q259" s="57"/>
      <c r="R259" s="57"/>
      <c r="S259" s="57"/>
      <c r="T259" s="57" t="s">
        <v>2027</v>
      </c>
      <c r="U259" s="57" t="s">
        <v>2025</v>
      </c>
      <c r="V259" t="s">
        <v>2037</v>
      </c>
    </row>
    <row r="260" spans="1:22" ht="18" customHeight="1" x14ac:dyDescent="0.15">
      <c r="A260" s="5" t="s">
        <v>2021</v>
      </c>
      <c r="B260" s="6" t="s">
        <v>2047</v>
      </c>
      <c r="C260" s="6" t="s">
        <v>2022</v>
      </c>
      <c r="D260" s="8" t="s">
        <v>2035</v>
      </c>
      <c r="E260" s="8" t="s">
        <v>2047</v>
      </c>
      <c r="F260" s="43" t="s">
        <v>2048</v>
      </c>
      <c r="G260" s="43" t="s">
        <v>2009</v>
      </c>
      <c r="H260" s="50">
        <v>0.70309999999999995</v>
      </c>
      <c r="I260" s="50">
        <v>0.43809999999999999</v>
      </c>
      <c r="J260" s="50">
        <v>1.1285000000000001</v>
      </c>
      <c r="K260" s="50">
        <v>0.14449358501492091</v>
      </c>
      <c r="L260" s="6">
        <v>47351</v>
      </c>
      <c r="M260" s="57">
        <v>503</v>
      </c>
      <c r="N260" s="57"/>
      <c r="O260" s="57"/>
      <c r="P260" s="57"/>
      <c r="Q260" s="57"/>
      <c r="R260" s="57"/>
      <c r="S260" s="57"/>
      <c r="T260" s="57" t="s">
        <v>2027</v>
      </c>
      <c r="U260" s="57" t="s">
        <v>2026</v>
      </c>
      <c r="V260" t="s">
        <v>2037</v>
      </c>
    </row>
    <row r="261" spans="1:22" ht="18" customHeight="1" x14ac:dyDescent="0.15">
      <c r="A261" s="5" t="s">
        <v>2021</v>
      </c>
      <c r="B261" s="6" t="s">
        <v>2047</v>
      </c>
      <c r="C261" s="6" t="s">
        <v>2022</v>
      </c>
      <c r="D261" s="8" t="s">
        <v>2035</v>
      </c>
      <c r="E261" s="8" t="s">
        <v>2047</v>
      </c>
      <c r="F261" s="43" t="s">
        <v>2048</v>
      </c>
      <c r="G261" s="43" t="s">
        <v>2009</v>
      </c>
      <c r="H261" s="50">
        <v>0.77300000000000002</v>
      </c>
      <c r="I261" s="50">
        <v>0.49419999999999997</v>
      </c>
      <c r="J261" s="50">
        <v>1.2092000000000001</v>
      </c>
      <c r="K261" s="50">
        <v>0.25944415504041263</v>
      </c>
      <c r="L261" s="6">
        <v>283776</v>
      </c>
      <c r="M261" s="57">
        <v>619</v>
      </c>
      <c r="N261" s="57"/>
      <c r="O261" s="57"/>
      <c r="P261" s="57"/>
      <c r="Q261" s="57"/>
      <c r="R261" s="57"/>
      <c r="S261" s="57"/>
      <c r="T261" s="57" t="s">
        <v>2028</v>
      </c>
      <c r="U261" s="57" t="s">
        <v>2029</v>
      </c>
      <c r="V261" t="s">
        <v>2037</v>
      </c>
    </row>
    <row r="262" spans="1:22" ht="18" customHeight="1" x14ac:dyDescent="0.15">
      <c r="A262" s="5" t="s">
        <v>2021</v>
      </c>
      <c r="B262" s="6" t="s">
        <v>2047</v>
      </c>
      <c r="C262" s="6" t="s">
        <v>2022</v>
      </c>
      <c r="D262" s="8" t="s">
        <v>2035</v>
      </c>
      <c r="E262" s="8" t="s">
        <v>2047</v>
      </c>
      <c r="F262" s="43" t="s">
        <v>2048</v>
      </c>
      <c r="G262" s="43" t="s">
        <v>2009</v>
      </c>
      <c r="H262" s="50">
        <v>1.4702999999999999</v>
      </c>
      <c r="I262" s="50">
        <v>0.70240000000000002</v>
      </c>
      <c r="J262" s="50">
        <v>3.0779000000000001</v>
      </c>
      <c r="K262" s="50">
        <v>0.30648336814047411</v>
      </c>
      <c r="L262" s="6">
        <v>147481</v>
      </c>
      <c r="M262" s="57">
        <v>130</v>
      </c>
      <c r="N262" s="57"/>
      <c r="O262" s="57"/>
      <c r="P262" s="57"/>
      <c r="Q262" s="57"/>
      <c r="R262" s="57"/>
      <c r="S262" s="57"/>
      <c r="T262" s="57" t="s">
        <v>2028</v>
      </c>
      <c r="U262" s="57" t="s">
        <v>2030</v>
      </c>
      <c r="V262" t="s">
        <v>2037</v>
      </c>
    </row>
    <row r="263" spans="1:22" ht="18" customHeight="1" x14ac:dyDescent="0.15">
      <c r="A263" s="5" t="s">
        <v>2004</v>
      </c>
      <c r="B263" s="6" t="s">
        <v>2047</v>
      </c>
      <c r="C263" s="6" t="s">
        <v>2006</v>
      </c>
      <c r="D263" s="8" t="s">
        <v>2038</v>
      </c>
      <c r="E263" s="8" t="s">
        <v>2047</v>
      </c>
      <c r="F263" s="43" t="s">
        <v>2048</v>
      </c>
      <c r="G263" s="43" t="s">
        <v>2009</v>
      </c>
      <c r="H263" s="50">
        <v>1.5</v>
      </c>
      <c r="I263" s="50"/>
      <c r="J263" s="50"/>
      <c r="K263" s="50"/>
      <c r="L263" s="6">
        <v>399912</v>
      </c>
      <c r="M263" s="57">
        <v>17827</v>
      </c>
      <c r="N263" s="57">
        <v>21940</v>
      </c>
      <c r="O263" s="57">
        <v>1050</v>
      </c>
      <c r="P263" s="57">
        <v>219589.6</v>
      </c>
      <c r="Q263" s="57">
        <v>16777</v>
      </c>
      <c r="R263" s="57">
        <v>5262805.0999999996</v>
      </c>
      <c r="S263" s="57">
        <v>1.5</v>
      </c>
      <c r="T263" s="57"/>
      <c r="U263" s="57"/>
    </row>
    <row r="264" spans="1:22" ht="18" customHeight="1" x14ac:dyDescent="0.15">
      <c r="A264" s="5" t="s">
        <v>2004</v>
      </c>
      <c r="B264" s="6" t="s">
        <v>2047</v>
      </c>
      <c r="C264" s="6" t="s">
        <v>2010</v>
      </c>
      <c r="D264" s="8" t="s">
        <v>2038</v>
      </c>
      <c r="E264" s="8" t="s">
        <v>2047</v>
      </c>
      <c r="F264" s="43" t="s">
        <v>2048</v>
      </c>
      <c r="G264" s="43" t="s">
        <v>2009</v>
      </c>
      <c r="H264" s="50">
        <v>1.5</v>
      </c>
      <c r="I264" s="50">
        <v>1.4115</v>
      </c>
      <c r="J264" s="50">
        <v>1.5940000000000001</v>
      </c>
      <c r="K264" s="50">
        <v>4.9554589476285819E-39</v>
      </c>
      <c r="L264" s="6">
        <v>399912</v>
      </c>
      <c r="M264" s="57">
        <v>17827</v>
      </c>
      <c r="N264" s="57">
        <v>21940</v>
      </c>
      <c r="O264" s="57">
        <v>1050</v>
      </c>
      <c r="P264" s="57">
        <v>219589.6</v>
      </c>
      <c r="Q264" s="57">
        <v>16777</v>
      </c>
      <c r="R264" s="57">
        <v>5262805.0999999996</v>
      </c>
      <c r="S264" s="57">
        <v>1.5</v>
      </c>
      <c r="T264" s="57"/>
      <c r="U264" s="57"/>
    </row>
    <row r="265" spans="1:22" ht="18" customHeight="1" x14ac:dyDescent="0.15">
      <c r="A265" s="5" t="s">
        <v>2004</v>
      </c>
      <c r="B265" s="6" t="s">
        <v>2047</v>
      </c>
      <c r="C265" s="6" t="s">
        <v>2011</v>
      </c>
      <c r="D265" s="8" t="s">
        <v>2038</v>
      </c>
      <c r="E265" s="8" t="s">
        <v>2047</v>
      </c>
      <c r="F265" s="43" t="s">
        <v>2048</v>
      </c>
      <c r="G265" s="43" t="s">
        <v>2009</v>
      </c>
      <c r="H265" s="50">
        <v>1.4512</v>
      </c>
      <c r="I265" s="50">
        <v>1.3647</v>
      </c>
      <c r="J265" s="50">
        <v>1.5431999999999999</v>
      </c>
      <c r="K265" s="50">
        <v>1.637760104495193E-32</v>
      </c>
      <c r="L265" s="6">
        <v>399912</v>
      </c>
      <c r="M265" s="57">
        <v>17827</v>
      </c>
      <c r="N265" s="57">
        <v>21940</v>
      </c>
      <c r="O265" s="57">
        <v>1050</v>
      </c>
      <c r="P265" s="57">
        <v>219589.6</v>
      </c>
      <c r="Q265" s="57">
        <v>16777</v>
      </c>
      <c r="R265" s="57">
        <v>5262805.0999999996</v>
      </c>
      <c r="S265" s="57">
        <v>1.5</v>
      </c>
      <c r="T265" s="57"/>
      <c r="U265" s="57"/>
    </row>
    <row r="266" spans="1:22" ht="18" customHeight="1" x14ac:dyDescent="0.15">
      <c r="A266" s="5" t="s">
        <v>2004</v>
      </c>
      <c r="B266" s="6" t="s">
        <v>2047</v>
      </c>
      <c r="C266" s="6" t="s">
        <v>2012</v>
      </c>
      <c r="D266" s="8" t="s">
        <v>2038</v>
      </c>
      <c r="E266" s="8" t="s">
        <v>2047</v>
      </c>
      <c r="F266" s="43" t="s">
        <v>2048</v>
      </c>
      <c r="G266" s="43" t="s">
        <v>2009</v>
      </c>
      <c r="H266" s="50">
        <v>1.4362999999999999</v>
      </c>
      <c r="I266" s="50">
        <v>1.3509</v>
      </c>
      <c r="J266" s="50">
        <v>1.5271999999999999</v>
      </c>
      <c r="K266" s="50">
        <v>5.4522485065834214E-31</v>
      </c>
      <c r="L266" s="6">
        <v>399912</v>
      </c>
      <c r="M266" s="57">
        <v>17827</v>
      </c>
      <c r="N266" s="57">
        <v>21940</v>
      </c>
      <c r="O266" s="57">
        <v>1050</v>
      </c>
      <c r="P266" s="57">
        <v>219589.6</v>
      </c>
      <c r="Q266" s="57">
        <v>16777</v>
      </c>
      <c r="R266" s="57">
        <v>5262805.0999999996</v>
      </c>
      <c r="S266" s="57">
        <v>1.5</v>
      </c>
      <c r="T266" s="57"/>
      <c r="U266" s="57"/>
    </row>
    <row r="267" spans="1:22" ht="18" customHeight="1" x14ac:dyDescent="0.15">
      <c r="A267" s="5" t="s">
        <v>2004</v>
      </c>
      <c r="B267" s="6" t="s">
        <v>2047</v>
      </c>
      <c r="C267" s="6" t="s">
        <v>2013</v>
      </c>
      <c r="D267" s="8" t="s">
        <v>2038</v>
      </c>
      <c r="E267" s="8" t="s">
        <v>2047</v>
      </c>
      <c r="F267" s="43" t="s">
        <v>2048</v>
      </c>
      <c r="G267" s="43" t="s">
        <v>2009</v>
      </c>
      <c r="H267" s="50">
        <v>1.4213</v>
      </c>
      <c r="I267" s="50">
        <v>1.3364</v>
      </c>
      <c r="J267" s="50">
        <v>1.5115000000000001</v>
      </c>
      <c r="K267" s="50">
        <v>4.4728309581616021E-29</v>
      </c>
      <c r="L267" s="6">
        <v>399912</v>
      </c>
      <c r="M267" s="57">
        <v>17827</v>
      </c>
      <c r="N267" s="57">
        <v>21940</v>
      </c>
      <c r="O267" s="57">
        <v>1050</v>
      </c>
      <c r="P267" s="57">
        <v>219589.6</v>
      </c>
      <c r="Q267" s="57">
        <v>16777</v>
      </c>
      <c r="R267" s="57">
        <v>5262805.0999999996</v>
      </c>
      <c r="S267" s="57">
        <v>1.5</v>
      </c>
      <c r="T267" s="57"/>
      <c r="U267" s="57"/>
    </row>
    <row r="268" spans="1:22" ht="18" customHeight="1" x14ac:dyDescent="0.15">
      <c r="A268" s="5" t="s">
        <v>2014</v>
      </c>
      <c r="B268" s="6" t="s">
        <v>2047</v>
      </c>
      <c r="C268" s="6" t="s">
        <v>2015</v>
      </c>
      <c r="D268" s="8" t="s">
        <v>2038</v>
      </c>
      <c r="E268" s="8" t="s">
        <v>2047</v>
      </c>
      <c r="F268" s="43" t="s">
        <v>2048</v>
      </c>
      <c r="G268" s="43" t="s">
        <v>2009</v>
      </c>
      <c r="H268" s="50">
        <v>1.5</v>
      </c>
      <c r="I268" s="50">
        <v>1.4115</v>
      </c>
      <c r="J268" s="50">
        <v>1.5940000000000001</v>
      </c>
      <c r="K268" s="50">
        <v>4.9554589476285819E-39</v>
      </c>
      <c r="L268" s="6">
        <v>399912</v>
      </c>
      <c r="M268" s="57">
        <v>17827</v>
      </c>
      <c r="N268" s="57"/>
      <c r="O268" s="57"/>
      <c r="P268" s="57"/>
      <c r="Q268" s="57"/>
      <c r="R268" s="57"/>
      <c r="S268" s="57"/>
      <c r="T268" s="57"/>
      <c r="U268" s="57"/>
    </row>
    <row r="269" spans="1:22" ht="18" customHeight="1" x14ac:dyDescent="0.15">
      <c r="A269" s="5" t="s">
        <v>2014</v>
      </c>
      <c r="B269" s="6" t="s">
        <v>2047</v>
      </c>
      <c r="C269" s="6" t="s">
        <v>2016</v>
      </c>
      <c r="D269" s="8" t="s">
        <v>2038</v>
      </c>
      <c r="E269" s="8" t="s">
        <v>2047</v>
      </c>
      <c r="F269" s="43" t="s">
        <v>2048</v>
      </c>
      <c r="G269" s="43" t="s">
        <v>2009</v>
      </c>
      <c r="H269" s="50">
        <v>1.4512</v>
      </c>
      <c r="I269" s="50">
        <v>1.3647</v>
      </c>
      <c r="J269" s="50">
        <v>1.5431999999999999</v>
      </c>
      <c r="K269" s="50">
        <v>1.637760104495193E-32</v>
      </c>
      <c r="L269" s="6">
        <v>399912</v>
      </c>
      <c r="M269" s="57">
        <v>17827</v>
      </c>
      <c r="N269" s="57"/>
      <c r="O269" s="57"/>
      <c r="P269" s="57"/>
      <c r="Q269" s="57"/>
      <c r="R269" s="57"/>
      <c r="S269" s="57"/>
      <c r="T269" s="57"/>
      <c r="U269" s="57"/>
    </row>
    <row r="270" spans="1:22" ht="18" customHeight="1" x14ac:dyDescent="0.15">
      <c r="A270" s="5" t="s">
        <v>2014</v>
      </c>
      <c r="B270" s="6" t="s">
        <v>2047</v>
      </c>
      <c r="C270" s="6" t="s">
        <v>2017</v>
      </c>
      <c r="D270" s="8" t="s">
        <v>2038</v>
      </c>
      <c r="E270" s="8" t="s">
        <v>2047</v>
      </c>
      <c r="F270" s="43" t="s">
        <v>2048</v>
      </c>
      <c r="G270" s="43" t="s">
        <v>2009</v>
      </c>
      <c r="H270" s="50">
        <v>1.3588</v>
      </c>
      <c r="I270" s="50">
        <v>1.2788999999999999</v>
      </c>
      <c r="J270" s="50">
        <v>1.4437</v>
      </c>
      <c r="K270" s="50">
        <v>3.4531246072838418E-23</v>
      </c>
      <c r="L270" s="6">
        <v>399912</v>
      </c>
      <c r="M270" s="57">
        <v>17827</v>
      </c>
      <c r="N270" s="57"/>
      <c r="O270" s="57"/>
      <c r="P270" s="57"/>
      <c r="Q270" s="57"/>
      <c r="R270" s="57"/>
      <c r="S270" s="57"/>
      <c r="T270" s="57"/>
      <c r="U270" s="57"/>
    </row>
    <row r="271" spans="1:22" ht="18" customHeight="1" x14ac:dyDescent="0.15">
      <c r="A271" s="5" t="s">
        <v>2014</v>
      </c>
      <c r="B271" s="6" t="s">
        <v>2047</v>
      </c>
      <c r="C271" s="6" t="s">
        <v>2018</v>
      </c>
      <c r="D271" s="8" t="s">
        <v>2038</v>
      </c>
      <c r="E271" s="8" t="s">
        <v>2047</v>
      </c>
      <c r="F271" s="43" t="s">
        <v>2048</v>
      </c>
      <c r="G271" s="43" t="s">
        <v>2009</v>
      </c>
      <c r="H271" s="50">
        <v>1.5143</v>
      </c>
      <c r="I271" s="50">
        <v>1.3703000000000001</v>
      </c>
      <c r="J271" s="50">
        <v>1.6733</v>
      </c>
      <c r="K271" s="50">
        <v>3.8893104876428011E-16</v>
      </c>
      <c r="L271" s="6">
        <v>399912</v>
      </c>
      <c r="M271" s="57">
        <v>17827</v>
      </c>
      <c r="N271" s="57"/>
      <c r="O271" s="57"/>
      <c r="P271" s="57"/>
      <c r="Q271" s="57"/>
      <c r="R271" s="57"/>
      <c r="S271" s="57"/>
      <c r="T271" s="57"/>
      <c r="U271" s="57"/>
    </row>
    <row r="272" spans="1:22" ht="18" customHeight="1" x14ac:dyDescent="0.15">
      <c r="A272" s="5" t="s">
        <v>2014</v>
      </c>
      <c r="B272" s="6" t="s">
        <v>2047</v>
      </c>
      <c r="C272" s="6" t="s">
        <v>2019</v>
      </c>
      <c r="D272" s="8" t="s">
        <v>2038</v>
      </c>
      <c r="E272" s="8" t="s">
        <v>2047</v>
      </c>
      <c r="F272" s="43" t="s">
        <v>2048</v>
      </c>
      <c r="G272" s="43" t="s">
        <v>1816</v>
      </c>
      <c r="H272" s="50">
        <v>2.8069000000000002</v>
      </c>
      <c r="I272" s="50">
        <v>2.4396</v>
      </c>
      <c r="J272" s="50">
        <v>3.2294</v>
      </c>
      <c r="K272" s="50">
        <v>3.6476839187987189E-47</v>
      </c>
      <c r="L272" s="6">
        <v>397218</v>
      </c>
      <c r="M272" s="57">
        <v>1787</v>
      </c>
      <c r="N272" s="57"/>
      <c r="O272" s="57"/>
      <c r="P272" s="57"/>
      <c r="Q272" s="57"/>
      <c r="R272" s="57"/>
      <c r="S272" s="57"/>
      <c r="T272" s="57"/>
      <c r="U272" s="57"/>
    </row>
    <row r="273" spans="1:21" ht="18" customHeight="1" x14ac:dyDescent="0.15">
      <c r="A273" s="5" t="s">
        <v>2014</v>
      </c>
      <c r="B273" s="6" t="s">
        <v>2047</v>
      </c>
      <c r="C273" s="6" t="s">
        <v>2020</v>
      </c>
      <c r="D273" s="8" t="s">
        <v>2038</v>
      </c>
      <c r="E273" s="8" t="s">
        <v>2047</v>
      </c>
      <c r="F273" s="43" t="s">
        <v>2048</v>
      </c>
      <c r="G273" s="43" t="s">
        <v>2009</v>
      </c>
      <c r="H273" s="50">
        <v>1.4286000000000001</v>
      </c>
      <c r="I273" s="50">
        <v>1.3431999999999999</v>
      </c>
      <c r="J273" s="50">
        <v>1.5195000000000001</v>
      </c>
      <c r="K273" s="50">
        <v>7.9875106937635461E-30</v>
      </c>
      <c r="L273" s="6">
        <v>397219</v>
      </c>
      <c r="M273" s="57">
        <v>17760</v>
      </c>
      <c r="N273" s="57"/>
      <c r="O273" s="57"/>
      <c r="P273" s="57"/>
      <c r="Q273" s="57"/>
      <c r="R273" s="57"/>
      <c r="S273" s="57"/>
      <c r="T273" s="57"/>
      <c r="U273" s="57"/>
    </row>
    <row r="274" spans="1:21" ht="18" customHeight="1" x14ac:dyDescent="0.15">
      <c r="A274" s="5" t="s">
        <v>2021</v>
      </c>
      <c r="B274" s="6" t="s">
        <v>2047</v>
      </c>
      <c r="C274" s="6" t="s">
        <v>2022</v>
      </c>
      <c r="D274" s="8" t="s">
        <v>2038</v>
      </c>
      <c r="E274" s="8" t="s">
        <v>2047</v>
      </c>
      <c r="F274" s="43" t="s">
        <v>2048</v>
      </c>
      <c r="G274" s="43" t="s">
        <v>2009</v>
      </c>
      <c r="H274" s="50">
        <v>1.3454999999999999</v>
      </c>
      <c r="I274" s="50">
        <v>0.80959999999999999</v>
      </c>
      <c r="J274" s="50">
        <v>2.2360000000000002</v>
      </c>
      <c r="K274" s="50">
        <v>0.25222362736865872</v>
      </c>
      <c r="L274" s="6">
        <v>4042</v>
      </c>
      <c r="M274" s="57">
        <v>258</v>
      </c>
      <c r="N274" s="57"/>
      <c r="O274" s="57"/>
      <c r="P274" s="57"/>
      <c r="Q274" s="57"/>
      <c r="R274" s="57"/>
      <c r="S274" s="57"/>
      <c r="T274" s="57" t="s">
        <v>2023</v>
      </c>
      <c r="U274" s="57" t="s">
        <v>2024</v>
      </c>
    </row>
    <row r="275" spans="1:21" ht="18" customHeight="1" x14ac:dyDescent="0.15">
      <c r="A275" s="5" t="s">
        <v>2021</v>
      </c>
      <c r="B275" s="6" t="s">
        <v>2047</v>
      </c>
      <c r="C275" s="6" t="s">
        <v>2022</v>
      </c>
      <c r="D275" s="8" t="s">
        <v>2038</v>
      </c>
      <c r="E275" s="8" t="s">
        <v>2047</v>
      </c>
      <c r="F275" s="43" t="s">
        <v>2048</v>
      </c>
      <c r="G275" s="43" t="s">
        <v>2009</v>
      </c>
      <c r="H275" s="50">
        <v>1.6392</v>
      </c>
      <c r="I275" s="50">
        <v>1.4764999999999999</v>
      </c>
      <c r="J275" s="50">
        <v>1.8199000000000001</v>
      </c>
      <c r="K275" s="50">
        <v>1.9620804695713529E-20</v>
      </c>
      <c r="L275" s="6">
        <v>284749</v>
      </c>
      <c r="M275" s="57">
        <v>6038</v>
      </c>
      <c r="N275" s="57"/>
      <c r="O275" s="57"/>
      <c r="P275" s="57"/>
      <c r="Q275" s="57"/>
      <c r="R275" s="57"/>
      <c r="S275" s="57"/>
      <c r="T275" s="57" t="s">
        <v>2023</v>
      </c>
      <c r="U275" s="57" t="s">
        <v>2025</v>
      </c>
    </row>
    <row r="276" spans="1:21" ht="18" customHeight="1" x14ac:dyDescent="0.15">
      <c r="A276" s="5" t="s">
        <v>2021</v>
      </c>
      <c r="B276" s="6" t="s">
        <v>2047</v>
      </c>
      <c r="C276" s="6" t="s">
        <v>2022</v>
      </c>
      <c r="D276" s="8" t="s">
        <v>2038</v>
      </c>
      <c r="E276" s="8" t="s">
        <v>2047</v>
      </c>
      <c r="F276" s="43" t="s">
        <v>2048</v>
      </c>
      <c r="G276" s="43" t="s">
        <v>2009</v>
      </c>
      <c r="H276" s="50">
        <v>1.2472000000000001</v>
      </c>
      <c r="I276" s="50">
        <v>1.1567000000000001</v>
      </c>
      <c r="J276" s="50">
        <v>1.3447</v>
      </c>
      <c r="K276" s="50">
        <v>9.1323191917329083E-9</v>
      </c>
      <c r="L276" s="6">
        <v>111121</v>
      </c>
      <c r="M276" s="57">
        <v>11531</v>
      </c>
      <c r="N276" s="57"/>
      <c r="O276" s="57"/>
      <c r="P276" s="57"/>
      <c r="Q276" s="57"/>
      <c r="R276" s="57"/>
      <c r="S276" s="57"/>
      <c r="T276" s="57" t="s">
        <v>2023</v>
      </c>
      <c r="U276" s="57" t="s">
        <v>2026</v>
      </c>
    </row>
    <row r="277" spans="1:21" ht="18" customHeight="1" x14ac:dyDescent="0.15">
      <c r="A277" s="5" t="s">
        <v>2021</v>
      </c>
      <c r="B277" s="6" t="s">
        <v>2047</v>
      </c>
      <c r="C277" s="6" t="s">
        <v>2022</v>
      </c>
      <c r="D277" s="8" t="s">
        <v>2038</v>
      </c>
      <c r="E277" s="8" t="s">
        <v>2047</v>
      </c>
      <c r="F277" s="43" t="s">
        <v>2048</v>
      </c>
      <c r="G277" s="43" t="s">
        <v>2009</v>
      </c>
      <c r="H277" s="50">
        <v>1.2650999999999999</v>
      </c>
      <c r="I277" s="50">
        <v>0.746</v>
      </c>
      <c r="J277" s="50">
        <v>2.1456</v>
      </c>
      <c r="K277" s="50">
        <v>0.38287146226593288</v>
      </c>
      <c r="L277" s="6">
        <v>2785</v>
      </c>
      <c r="M277" s="57">
        <v>252</v>
      </c>
      <c r="N277" s="57"/>
      <c r="O277" s="57"/>
      <c r="P277" s="57"/>
      <c r="Q277" s="57"/>
      <c r="R277" s="57"/>
      <c r="S277" s="57"/>
      <c r="T277" s="57" t="s">
        <v>2027</v>
      </c>
      <c r="U277" s="57" t="s">
        <v>2024</v>
      </c>
    </row>
    <row r="278" spans="1:21" ht="18" customHeight="1" x14ac:dyDescent="0.15">
      <c r="A278" s="5" t="s">
        <v>2021</v>
      </c>
      <c r="B278" s="6" t="s">
        <v>2047</v>
      </c>
      <c r="C278" s="6" t="s">
        <v>2022</v>
      </c>
      <c r="D278" s="8" t="s">
        <v>2038</v>
      </c>
      <c r="E278" s="8" t="s">
        <v>2047</v>
      </c>
      <c r="F278" s="43" t="s">
        <v>2048</v>
      </c>
      <c r="G278" s="43" t="s">
        <v>2009</v>
      </c>
      <c r="H278" s="50">
        <v>1.5412999999999999</v>
      </c>
      <c r="I278" s="50">
        <v>1.4359</v>
      </c>
      <c r="J278" s="50">
        <v>1.6545000000000001</v>
      </c>
      <c r="K278" s="50">
        <v>5.2588254541170749E-33</v>
      </c>
      <c r="L278" s="6">
        <v>364391</v>
      </c>
      <c r="M278" s="57">
        <v>12932</v>
      </c>
      <c r="N278" s="57"/>
      <c r="O278" s="57"/>
      <c r="P278" s="57"/>
      <c r="Q278" s="57"/>
      <c r="R278" s="57"/>
      <c r="S278" s="57"/>
      <c r="T278" s="57" t="s">
        <v>2027</v>
      </c>
      <c r="U278" s="57" t="s">
        <v>2025</v>
      </c>
    </row>
    <row r="279" spans="1:21" ht="18" customHeight="1" x14ac:dyDescent="0.15">
      <c r="A279" s="5" t="s">
        <v>2021</v>
      </c>
      <c r="B279" s="6" t="s">
        <v>2047</v>
      </c>
      <c r="C279" s="6" t="s">
        <v>2022</v>
      </c>
      <c r="D279" s="8" t="s">
        <v>2038</v>
      </c>
      <c r="E279" s="8" t="s">
        <v>2047</v>
      </c>
      <c r="F279" s="43" t="s">
        <v>2048</v>
      </c>
      <c r="G279" s="43" t="s">
        <v>2009</v>
      </c>
      <c r="H279" s="50">
        <v>1.151</v>
      </c>
      <c r="I279" s="50">
        <v>1.0179</v>
      </c>
      <c r="J279" s="50">
        <v>1.3016000000000001</v>
      </c>
      <c r="K279" s="50">
        <v>2.4927349725904609E-2</v>
      </c>
      <c r="L279" s="6">
        <v>32736</v>
      </c>
      <c r="M279" s="57">
        <v>4643</v>
      </c>
      <c r="N279" s="57"/>
      <c r="O279" s="57"/>
      <c r="P279" s="57"/>
      <c r="Q279" s="57"/>
      <c r="R279" s="57"/>
      <c r="S279" s="57"/>
      <c r="T279" s="57" t="s">
        <v>2027</v>
      </c>
      <c r="U279" s="57" t="s">
        <v>2026</v>
      </c>
    </row>
    <row r="280" spans="1:21" ht="18" customHeight="1" x14ac:dyDescent="0.15">
      <c r="A280" s="5" t="s">
        <v>2021</v>
      </c>
      <c r="B280" s="6" t="s">
        <v>2047</v>
      </c>
      <c r="C280" s="6" t="s">
        <v>2022</v>
      </c>
      <c r="D280" s="8" t="s">
        <v>2038</v>
      </c>
      <c r="E280" s="8" t="s">
        <v>2047</v>
      </c>
      <c r="F280" s="43" t="s">
        <v>2048</v>
      </c>
      <c r="G280" s="43" t="s">
        <v>2009</v>
      </c>
      <c r="H280" s="50">
        <v>1.3718999999999999</v>
      </c>
      <c r="I280" s="50">
        <v>1.278</v>
      </c>
      <c r="J280" s="50">
        <v>1.4726999999999999</v>
      </c>
      <c r="K280" s="50">
        <v>2.327550923025847E-18</v>
      </c>
      <c r="L280" s="6">
        <v>259936</v>
      </c>
      <c r="M280" s="57">
        <v>14209</v>
      </c>
      <c r="N280" s="57"/>
      <c r="O280" s="57"/>
      <c r="P280" s="57"/>
      <c r="Q280" s="57"/>
      <c r="R280" s="57"/>
      <c r="S280" s="57"/>
      <c r="T280" s="57" t="s">
        <v>2028</v>
      </c>
      <c r="U280" s="57" t="s">
        <v>2029</v>
      </c>
    </row>
    <row r="281" spans="1:21" ht="18" customHeight="1" x14ac:dyDescent="0.15">
      <c r="A281" s="5" t="s">
        <v>2021</v>
      </c>
      <c r="B281" s="6" t="s">
        <v>2047</v>
      </c>
      <c r="C281" s="6" t="s">
        <v>2022</v>
      </c>
      <c r="D281" s="8" t="s">
        <v>2038</v>
      </c>
      <c r="E281" s="8" t="s">
        <v>2047</v>
      </c>
      <c r="F281" s="43" t="s">
        <v>2048</v>
      </c>
      <c r="G281" s="43" t="s">
        <v>2009</v>
      </c>
      <c r="H281" s="50">
        <v>1.8845000000000001</v>
      </c>
      <c r="I281" s="50">
        <v>1.6667000000000001</v>
      </c>
      <c r="J281" s="50">
        <v>2.1307999999999998</v>
      </c>
      <c r="K281" s="50">
        <v>4.8547788470417548E-24</v>
      </c>
      <c r="L281" s="6">
        <v>139976</v>
      </c>
      <c r="M281" s="57">
        <v>3618</v>
      </c>
      <c r="N281" s="57"/>
      <c r="O281" s="57"/>
      <c r="P281" s="57"/>
      <c r="Q281" s="57"/>
      <c r="R281" s="57"/>
      <c r="S281" s="57"/>
      <c r="T281" s="57" t="s">
        <v>2028</v>
      </c>
      <c r="U281" s="57" t="s">
        <v>2030</v>
      </c>
    </row>
    <row r="282" spans="1:21" ht="18" customHeight="1" x14ac:dyDescent="0.15">
      <c r="A282" s="5" t="s">
        <v>2004</v>
      </c>
      <c r="B282" s="6" t="s">
        <v>2047</v>
      </c>
      <c r="C282" s="6" t="s">
        <v>2006</v>
      </c>
      <c r="D282" s="8" t="s">
        <v>2039</v>
      </c>
      <c r="E282" s="8" t="s">
        <v>2047</v>
      </c>
      <c r="F282" s="43" t="s">
        <v>2048</v>
      </c>
      <c r="G282" s="43" t="s">
        <v>2009</v>
      </c>
      <c r="H282" s="50">
        <v>1.4568000000000001</v>
      </c>
      <c r="I282" s="50"/>
      <c r="J282" s="50"/>
      <c r="K282" s="50"/>
      <c r="L282" s="6">
        <v>430906</v>
      </c>
      <c r="M282" s="57">
        <v>941</v>
      </c>
      <c r="N282" s="57">
        <v>25085</v>
      </c>
      <c r="O282" s="57">
        <v>57</v>
      </c>
      <c r="P282" s="57">
        <v>249979.9</v>
      </c>
      <c r="Q282" s="57">
        <v>884</v>
      </c>
      <c r="R282" s="57">
        <v>5647999.9000000004</v>
      </c>
      <c r="S282" s="57">
        <v>1.4568000000000001</v>
      </c>
      <c r="T282" s="57"/>
      <c r="U282" s="57"/>
    </row>
    <row r="283" spans="1:21" ht="18" customHeight="1" x14ac:dyDescent="0.15">
      <c r="A283" s="5" t="s">
        <v>2004</v>
      </c>
      <c r="B283" s="6" t="s">
        <v>2047</v>
      </c>
      <c r="C283" s="6" t="s">
        <v>2010</v>
      </c>
      <c r="D283" s="8" t="s">
        <v>2039</v>
      </c>
      <c r="E283" s="8" t="s">
        <v>2047</v>
      </c>
      <c r="F283" s="43" t="s">
        <v>2048</v>
      </c>
      <c r="G283" s="43" t="s">
        <v>2009</v>
      </c>
      <c r="H283" s="50">
        <v>1.4568000000000001</v>
      </c>
      <c r="I283" s="50">
        <v>1.1149</v>
      </c>
      <c r="J283" s="50">
        <v>1.9036999999999999</v>
      </c>
      <c r="K283" s="50">
        <v>5.83981735943745E-3</v>
      </c>
      <c r="L283" s="6">
        <v>430906</v>
      </c>
      <c r="M283" s="57">
        <v>941</v>
      </c>
      <c r="N283" s="57">
        <v>25085</v>
      </c>
      <c r="O283" s="57">
        <v>57</v>
      </c>
      <c r="P283" s="57">
        <v>249979.9</v>
      </c>
      <c r="Q283" s="57">
        <v>884</v>
      </c>
      <c r="R283" s="57">
        <v>5647999.9000000004</v>
      </c>
      <c r="S283" s="57">
        <v>1.4568000000000001</v>
      </c>
      <c r="T283" s="57"/>
      <c r="U283" s="57"/>
    </row>
    <row r="284" spans="1:21" ht="18" customHeight="1" x14ac:dyDescent="0.15">
      <c r="A284" s="5" t="s">
        <v>2004</v>
      </c>
      <c r="B284" s="6" t="s">
        <v>2047</v>
      </c>
      <c r="C284" s="6" t="s">
        <v>2011</v>
      </c>
      <c r="D284" s="8" t="s">
        <v>2039</v>
      </c>
      <c r="E284" s="8" t="s">
        <v>2047</v>
      </c>
      <c r="F284" s="43" t="s">
        <v>2048</v>
      </c>
      <c r="G284" s="43" t="s">
        <v>2009</v>
      </c>
      <c r="H284" s="50">
        <v>1.4483999999999999</v>
      </c>
      <c r="I284" s="50">
        <v>1.1072</v>
      </c>
      <c r="J284" s="50">
        <v>1.8948</v>
      </c>
      <c r="K284" s="50">
        <v>6.8789327599858797E-3</v>
      </c>
      <c r="L284" s="6">
        <v>430906</v>
      </c>
      <c r="M284" s="57">
        <v>941</v>
      </c>
      <c r="N284" s="57">
        <v>25085</v>
      </c>
      <c r="O284" s="57">
        <v>57</v>
      </c>
      <c r="P284" s="57">
        <v>249979.9</v>
      </c>
      <c r="Q284" s="57">
        <v>884</v>
      </c>
      <c r="R284" s="57">
        <v>5647999.9000000004</v>
      </c>
      <c r="S284" s="57">
        <v>1.4568000000000001</v>
      </c>
      <c r="T284" s="57"/>
      <c r="U284" s="57"/>
    </row>
    <row r="285" spans="1:21" ht="18" customHeight="1" x14ac:dyDescent="0.15">
      <c r="A285" s="5" t="s">
        <v>2004</v>
      </c>
      <c r="B285" s="6" t="s">
        <v>2047</v>
      </c>
      <c r="C285" s="6" t="s">
        <v>2012</v>
      </c>
      <c r="D285" s="8" t="s">
        <v>2039</v>
      </c>
      <c r="E285" s="8" t="s">
        <v>2047</v>
      </c>
      <c r="F285" s="43" t="s">
        <v>2048</v>
      </c>
      <c r="G285" s="43" t="s">
        <v>2009</v>
      </c>
      <c r="H285" s="50">
        <v>1.4107000000000001</v>
      </c>
      <c r="I285" s="50">
        <v>1.0781000000000001</v>
      </c>
      <c r="J285" s="50">
        <v>1.8458000000000001</v>
      </c>
      <c r="K285" s="50">
        <v>1.2133726025998499E-2</v>
      </c>
      <c r="L285" s="6">
        <v>430906</v>
      </c>
      <c r="M285" s="57">
        <v>941</v>
      </c>
      <c r="N285" s="57">
        <v>25085</v>
      </c>
      <c r="O285" s="57">
        <v>57</v>
      </c>
      <c r="P285" s="57">
        <v>249979.9</v>
      </c>
      <c r="Q285" s="57">
        <v>884</v>
      </c>
      <c r="R285" s="57">
        <v>5647999.9000000004</v>
      </c>
      <c r="S285" s="57">
        <v>1.4568000000000001</v>
      </c>
      <c r="T285" s="57"/>
      <c r="U285" s="57"/>
    </row>
    <row r="286" spans="1:21" ht="18" customHeight="1" x14ac:dyDescent="0.15">
      <c r="A286" s="5" t="s">
        <v>2004</v>
      </c>
      <c r="B286" s="6" t="s">
        <v>2047</v>
      </c>
      <c r="C286" s="6" t="s">
        <v>2013</v>
      </c>
      <c r="D286" s="8" t="s">
        <v>2039</v>
      </c>
      <c r="E286" s="8" t="s">
        <v>2047</v>
      </c>
      <c r="F286" s="43" t="s">
        <v>2048</v>
      </c>
      <c r="G286" s="43" t="s">
        <v>2009</v>
      </c>
      <c r="H286" s="50">
        <v>1.3886000000000001</v>
      </c>
      <c r="I286" s="50">
        <v>1.0573999999999999</v>
      </c>
      <c r="J286" s="50">
        <v>1.8234999999999999</v>
      </c>
      <c r="K286" s="50">
        <v>1.8205950352989411E-2</v>
      </c>
      <c r="L286" s="6">
        <v>430906</v>
      </c>
      <c r="M286" s="57">
        <v>941</v>
      </c>
      <c r="N286" s="57">
        <v>25085</v>
      </c>
      <c r="O286" s="57">
        <v>57</v>
      </c>
      <c r="P286" s="57">
        <v>249979.9</v>
      </c>
      <c r="Q286" s="57">
        <v>884</v>
      </c>
      <c r="R286" s="57">
        <v>5647999.9000000004</v>
      </c>
      <c r="S286" s="57">
        <v>1.4568000000000001</v>
      </c>
      <c r="T286" s="57"/>
      <c r="U286" s="57"/>
    </row>
    <row r="287" spans="1:21" ht="18" customHeight="1" x14ac:dyDescent="0.15">
      <c r="A287" s="5" t="s">
        <v>2014</v>
      </c>
      <c r="B287" s="6" t="s">
        <v>2047</v>
      </c>
      <c r="C287" s="6" t="s">
        <v>2015</v>
      </c>
      <c r="D287" s="8" t="s">
        <v>2039</v>
      </c>
      <c r="E287" s="8" t="s">
        <v>2047</v>
      </c>
      <c r="F287" s="43" t="s">
        <v>2048</v>
      </c>
      <c r="G287" s="43" t="s">
        <v>2009</v>
      </c>
      <c r="H287" s="50">
        <v>1.4568000000000001</v>
      </c>
      <c r="I287" s="50">
        <v>1.1149</v>
      </c>
      <c r="J287" s="50">
        <v>1.9036999999999999</v>
      </c>
      <c r="K287" s="50">
        <v>5.83981735943745E-3</v>
      </c>
      <c r="L287" s="6">
        <v>430906</v>
      </c>
      <c r="M287" s="57">
        <v>941</v>
      </c>
      <c r="N287" s="57"/>
      <c r="O287" s="57"/>
      <c r="P287" s="57"/>
      <c r="Q287" s="57"/>
      <c r="R287" s="57"/>
      <c r="S287" s="57"/>
      <c r="T287" s="57"/>
      <c r="U287" s="57"/>
    </row>
    <row r="288" spans="1:21" ht="18" customHeight="1" x14ac:dyDescent="0.15">
      <c r="A288" s="5" t="s">
        <v>2014</v>
      </c>
      <c r="B288" s="6" t="s">
        <v>2047</v>
      </c>
      <c r="C288" s="6" t="s">
        <v>2016</v>
      </c>
      <c r="D288" s="8" t="s">
        <v>2039</v>
      </c>
      <c r="E288" s="8" t="s">
        <v>2047</v>
      </c>
      <c r="F288" s="43" t="s">
        <v>2048</v>
      </c>
      <c r="G288" s="43" t="s">
        <v>2009</v>
      </c>
      <c r="H288" s="50">
        <v>1.4483999999999999</v>
      </c>
      <c r="I288" s="50">
        <v>1.1072</v>
      </c>
      <c r="J288" s="50">
        <v>1.8948</v>
      </c>
      <c r="K288" s="50">
        <v>6.8789327599858797E-3</v>
      </c>
      <c r="L288" s="6">
        <v>430906</v>
      </c>
      <c r="M288" s="57">
        <v>941</v>
      </c>
      <c r="N288" s="57"/>
      <c r="O288" s="57"/>
      <c r="P288" s="57"/>
      <c r="Q288" s="57"/>
      <c r="R288" s="57"/>
      <c r="S288" s="57"/>
      <c r="T288" s="57"/>
      <c r="U288" s="57"/>
    </row>
    <row r="289" spans="1:22" ht="18" customHeight="1" x14ac:dyDescent="0.15">
      <c r="A289" s="5" t="s">
        <v>2014</v>
      </c>
      <c r="B289" s="6" t="s">
        <v>2047</v>
      </c>
      <c r="C289" s="6" t="s">
        <v>2017</v>
      </c>
      <c r="D289" s="8" t="s">
        <v>2039</v>
      </c>
      <c r="E289" s="8" t="s">
        <v>2047</v>
      </c>
      <c r="F289" s="43" t="s">
        <v>2048</v>
      </c>
      <c r="G289" s="43" t="s">
        <v>2009</v>
      </c>
      <c r="H289" s="50">
        <v>1.2486999999999999</v>
      </c>
      <c r="I289" s="50">
        <v>0.95489999999999997</v>
      </c>
      <c r="J289" s="50">
        <v>1.633</v>
      </c>
      <c r="K289" s="50">
        <v>0.104584523404936</v>
      </c>
      <c r="L289" s="6">
        <v>430906</v>
      </c>
      <c r="M289" s="57">
        <v>941</v>
      </c>
      <c r="N289" s="57"/>
      <c r="O289" s="57"/>
      <c r="P289" s="57"/>
      <c r="Q289" s="57"/>
      <c r="R289" s="57"/>
      <c r="S289" s="57"/>
      <c r="T289" s="57"/>
      <c r="U289" s="57"/>
    </row>
    <row r="290" spans="1:22" ht="18" customHeight="1" x14ac:dyDescent="0.15">
      <c r="A290" s="5" t="s">
        <v>2014</v>
      </c>
      <c r="B290" s="6" t="s">
        <v>2047</v>
      </c>
      <c r="C290" s="6" t="s">
        <v>2018</v>
      </c>
      <c r="D290" s="8" t="s">
        <v>2039</v>
      </c>
      <c r="E290" s="8" t="s">
        <v>2047</v>
      </c>
      <c r="F290" s="43" t="s">
        <v>2048</v>
      </c>
      <c r="G290" s="43" t="s">
        <v>2009</v>
      </c>
      <c r="H290" s="50">
        <v>1.6626000000000001</v>
      </c>
      <c r="I290" s="50">
        <v>1.097</v>
      </c>
      <c r="J290" s="50">
        <v>2.52</v>
      </c>
      <c r="K290" s="50">
        <v>1.6566375829696209E-2</v>
      </c>
      <c r="L290" s="6">
        <v>430906</v>
      </c>
      <c r="M290" s="57">
        <v>941</v>
      </c>
      <c r="N290" s="57"/>
      <c r="O290" s="57"/>
      <c r="P290" s="57"/>
      <c r="Q290" s="57"/>
      <c r="R290" s="57"/>
      <c r="S290" s="57"/>
      <c r="T290" s="57"/>
      <c r="U290" s="57"/>
    </row>
    <row r="291" spans="1:22" ht="18" customHeight="1" x14ac:dyDescent="0.15">
      <c r="A291" s="5" t="s">
        <v>2014</v>
      </c>
      <c r="B291" s="6" t="s">
        <v>2047</v>
      </c>
      <c r="C291" s="6" t="s">
        <v>2019</v>
      </c>
      <c r="D291" s="8" t="s">
        <v>2039</v>
      </c>
      <c r="E291" s="8" t="s">
        <v>2047</v>
      </c>
      <c r="F291" s="43" t="s">
        <v>2048</v>
      </c>
      <c r="G291" s="43" t="s">
        <v>1816</v>
      </c>
      <c r="H291" s="50">
        <v>1.8875999999999999</v>
      </c>
      <c r="I291" s="50">
        <v>1.2103999999999999</v>
      </c>
      <c r="J291" s="50">
        <v>2.9434999999999998</v>
      </c>
      <c r="K291" s="50">
        <v>5.0713327414504102E-3</v>
      </c>
      <c r="L291" s="6">
        <v>427892</v>
      </c>
      <c r="M291" s="57">
        <v>228</v>
      </c>
      <c r="N291" s="57"/>
      <c r="O291" s="57"/>
      <c r="P291" s="57"/>
      <c r="Q291" s="57"/>
      <c r="R291" s="57"/>
      <c r="S291" s="57"/>
      <c r="T291" s="57"/>
      <c r="U291" s="57"/>
      <c r="V291" t="s">
        <v>2036</v>
      </c>
    </row>
    <row r="292" spans="1:22" ht="18" customHeight="1" x14ac:dyDescent="0.15">
      <c r="A292" s="5" t="s">
        <v>2014</v>
      </c>
      <c r="B292" s="6" t="s">
        <v>2047</v>
      </c>
      <c r="C292" s="6" t="s">
        <v>2020</v>
      </c>
      <c r="D292" s="8" t="s">
        <v>2039</v>
      </c>
      <c r="E292" s="8" t="s">
        <v>2047</v>
      </c>
      <c r="F292" s="43" t="s">
        <v>2048</v>
      </c>
      <c r="G292" s="43" t="s">
        <v>2009</v>
      </c>
      <c r="H292" s="50">
        <v>1.4225000000000001</v>
      </c>
      <c r="I292" s="50">
        <v>1.0871999999999999</v>
      </c>
      <c r="J292" s="50">
        <v>1.8613999999999999</v>
      </c>
      <c r="K292" s="50">
        <v>1.019681264882635E-2</v>
      </c>
      <c r="L292" s="6">
        <v>427893</v>
      </c>
      <c r="M292" s="57">
        <v>936</v>
      </c>
      <c r="N292" s="57"/>
      <c r="O292" s="57"/>
      <c r="P292" s="57"/>
      <c r="Q292" s="57"/>
      <c r="R292" s="57"/>
      <c r="S292" s="57"/>
      <c r="T292" s="57"/>
      <c r="U292" s="57"/>
    </row>
    <row r="293" spans="1:22" ht="18" customHeight="1" x14ac:dyDescent="0.15">
      <c r="A293" s="5" t="s">
        <v>2021</v>
      </c>
      <c r="B293" s="6" t="s">
        <v>2047</v>
      </c>
      <c r="C293" s="6" t="s">
        <v>2022</v>
      </c>
      <c r="D293" s="8" t="s">
        <v>2039</v>
      </c>
      <c r="E293" s="8" t="s">
        <v>2047</v>
      </c>
      <c r="F293" s="43" t="s">
        <v>2048</v>
      </c>
      <c r="G293" s="43" t="s">
        <v>2009</v>
      </c>
      <c r="H293" s="50">
        <v>2.7084999999999999</v>
      </c>
      <c r="I293" s="50">
        <v>0.28160000000000002</v>
      </c>
      <c r="J293" s="50">
        <v>26.050599999999999</v>
      </c>
      <c r="K293" s="50">
        <v>0.38827784665469761</v>
      </c>
      <c r="L293" s="6">
        <v>4250</v>
      </c>
      <c r="M293" s="57">
        <v>8</v>
      </c>
      <c r="N293" s="57"/>
      <c r="O293" s="57"/>
      <c r="P293" s="57"/>
      <c r="Q293" s="57"/>
      <c r="R293" s="57"/>
      <c r="S293" s="57"/>
      <c r="T293" s="57" t="s">
        <v>2023</v>
      </c>
      <c r="U293" s="57" t="s">
        <v>2024</v>
      </c>
      <c r="V293" t="s">
        <v>2037</v>
      </c>
    </row>
    <row r="294" spans="1:22" ht="18" customHeight="1" x14ac:dyDescent="0.15">
      <c r="A294" s="5" t="s">
        <v>2021</v>
      </c>
      <c r="B294" s="6" t="s">
        <v>2047</v>
      </c>
      <c r="C294" s="6" t="s">
        <v>2022</v>
      </c>
      <c r="D294" s="8" t="s">
        <v>2039</v>
      </c>
      <c r="E294" s="8" t="s">
        <v>2047</v>
      </c>
      <c r="F294" s="43" t="s">
        <v>2048</v>
      </c>
      <c r="G294" s="43" t="s">
        <v>2009</v>
      </c>
      <c r="H294" s="50">
        <v>1.8326</v>
      </c>
      <c r="I294" s="50">
        <v>0.89070000000000005</v>
      </c>
      <c r="J294" s="50">
        <v>3.7705000000000002</v>
      </c>
      <c r="K294" s="50">
        <v>9.9838222227357637E-2</v>
      </c>
      <c r="L294" s="6">
        <v>286527</v>
      </c>
      <c r="M294" s="57">
        <v>118</v>
      </c>
      <c r="N294" s="57"/>
      <c r="O294" s="57"/>
      <c r="P294" s="57"/>
      <c r="Q294" s="57"/>
      <c r="R294" s="57"/>
      <c r="S294" s="57"/>
      <c r="T294" s="57" t="s">
        <v>2023</v>
      </c>
      <c r="U294" s="57" t="s">
        <v>2025</v>
      </c>
      <c r="V294" t="s">
        <v>2037</v>
      </c>
    </row>
    <row r="295" spans="1:22" ht="18" customHeight="1" x14ac:dyDescent="0.15">
      <c r="A295" s="5" t="s">
        <v>2021</v>
      </c>
      <c r="B295" s="6" t="s">
        <v>2047</v>
      </c>
      <c r="C295" s="6" t="s">
        <v>2022</v>
      </c>
      <c r="D295" s="8" t="s">
        <v>2039</v>
      </c>
      <c r="E295" s="8" t="s">
        <v>2047</v>
      </c>
      <c r="F295" s="43" t="s">
        <v>2048</v>
      </c>
      <c r="G295" s="43" t="s">
        <v>2009</v>
      </c>
      <c r="H295" s="50">
        <v>1.1913</v>
      </c>
      <c r="I295" s="50">
        <v>0.89</v>
      </c>
      <c r="J295" s="50">
        <v>1.5945</v>
      </c>
      <c r="K295" s="50">
        <v>0.23924458619201019</v>
      </c>
      <c r="L295" s="6">
        <v>140129</v>
      </c>
      <c r="M295" s="57">
        <v>815</v>
      </c>
      <c r="N295" s="57"/>
      <c r="O295" s="57"/>
      <c r="P295" s="57"/>
      <c r="Q295" s="57"/>
      <c r="R295" s="57"/>
      <c r="S295" s="57"/>
      <c r="T295" s="57" t="s">
        <v>2023</v>
      </c>
      <c r="U295" s="57" t="s">
        <v>2026</v>
      </c>
      <c r="V295" t="s">
        <v>2037</v>
      </c>
    </row>
    <row r="296" spans="1:22" ht="18" customHeight="1" x14ac:dyDescent="0.15">
      <c r="A296" s="5" t="s">
        <v>2021</v>
      </c>
      <c r="B296" s="6" t="s">
        <v>2047</v>
      </c>
      <c r="C296" s="6" t="s">
        <v>2022</v>
      </c>
      <c r="D296" s="8" t="s">
        <v>2039</v>
      </c>
      <c r="E296" s="8" t="s">
        <v>2047</v>
      </c>
      <c r="F296" s="43" t="s">
        <v>2048</v>
      </c>
      <c r="G296" s="43" t="s">
        <v>2009</v>
      </c>
      <c r="H296" s="50"/>
      <c r="I296" s="50"/>
      <c r="J296" s="50"/>
      <c r="K296" s="50"/>
      <c r="L296" s="6">
        <v>3135</v>
      </c>
      <c r="M296" s="57">
        <v>7</v>
      </c>
      <c r="N296" s="57"/>
      <c r="O296" s="57"/>
      <c r="P296" s="57"/>
      <c r="Q296" s="57"/>
      <c r="R296" s="57"/>
      <c r="S296" s="57"/>
      <c r="T296" s="57" t="s">
        <v>2027</v>
      </c>
      <c r="U296" s="57" t="s">
        <v>2024</v>
      </c>
      <c r="V296" t="s">
        <v>2037</v>
      </c>
    </row>
    <row r="297" spans="1:22" ht="18" customHeight="1" x14ac:dyDescent="0.15">
      <c r="A297" s="5" t="s">
        <v>2021</v>
      </c>
      <c r="B297" s="6" t="s">
        <v>2047</v>
      </c>
      <c r="C297" s="6" t="s">
        <v>2022</v>
      </c>
      <c r="D297" s="8" t="s">
        <v>2039</v>
      </c>
      <c r="E297" s="8" t="s">
        <v>2047</v>
      </c>
      <c r="F297" s="43" t="s">
        <v>2048</v>
      </c>
      <c r="G297" s="43" t="s">
        <v>2009</v>
      </c>
      <c r="H297" s="50">
        <v>1.9492</v>
      </c>
      <c r="I297" s="50">
        <v>1.3420000000000001</v>
      </c>
      <c r="J297" s="50">
        <v>2.831</v>
      </c>
      <c r="K297" s="50">
        <v>4.5723013314065002E-4</v>
      </c>
      <c r="L297" s="6">
        <v>380217</v>
      </c>
      <c r="M297" s="57">
        <v>393</v>
      </c>
      <c r="N297" s="57"/>
      <c r="O297" s="57"/>
      <c r="P297" s="57"/>
      <c r="Q297" s="57"/>
      <c r="R297" s="57"/>
      <c r="S297" s="57"/>
      <c r="T297" s="57" t="s">
        <v>2027</v>
      </c>
      <c r="U297" s="57" t="s">
        <v>2025</v>
      </c>
      <c r="V297" t="s">
        <v>2037</v>
      </c>
    </row>
    <row r="298" spans="1:22" ht="18" customHeight="1" x14ac:dyDescent="0.15">
      <c r="A298" s="5" t="s">
        <v>2021</v>
      </c>
      <c r="B298" s="6" t="s">
        <v>2047</v>
      </c>
      <c r="C298" s="6" t="s">
        <v>2022</v>
      </c>
      <c r="D298" s="8" t="s">
        <v>2039</v>
      </c>
      <c r="E298" s="8" t="s">
        <v>2047</v>
      </c>
      <c r="F298" s="43" t="s">
        <v>2048</v>
      </c>
      <c r="G298" s="43" t="s">
        <v>2009</v>
      </c>
      <c r="H298" s="50">
        <v>0.98880000000000001</v>
      </c>
      <c r="I298" s="50">
        <v>0.67200000000000004</v>
      </c>
      <c r="J298" s="50">
        <v>1.4550000000000001</v>
      </c>
      <c r="K298" s="50">
        <v>0.95442921743853981</v>
      </c>
      <c r="L298" s="6">
        <v>47554</v>
      </c>
      <c r="M298" s="57">
        <v>541</v>
      </c>
      <c r="N298" s="57"/>
      <c r="O298" s="57"/>
      <c r="P298" s="57"/>
      <c r="Q298" s="57"/>
      <c r="R298" s="57"/>
      <c r="S298" s="57"/>
      <c r="T298" s="57" t="s">
        <v>2027</v>
      </c>
      <c r="U298" s="57" t="s">
        <v>2026</v>
      </c>
      <c r="V298" t="s">
        <v>2037</v>
      </c>
    </row>
    <row r="299" spans="1:22" ht="18" customHeight="1" x14ac:dyDescent="0.15">
      <c r="A299" s="5" t="s">
        <v>2021</v>
      </c>
      <c r="B299" s="6" t="s">
        <v>2047</v>
      </c>
      <c r="C299" s="6" t="s">
        <v>2022</v>
      </c>
      <c r="D299" s="8" t="s">
        <v>2039</v>
      </c>
      <c r="E299" s="8" t="s">
        <v>2047</v>
      </c>
      <c r="F299" s="43" t="s">
        <v>2048</v>
      </c>
      <c r="G299" s="43" t="s">
        <v>2009</v>
      </c>
      <c r="H299" s="50">
        <v>1.4612000000000001</v>
      </c>
      <c r="I299" s="50">
        <v>1.0798000000000001</v>
      </c>
      <c r="J299" s="50">
        <v>1.9773000000000001</v>
      </c>
      <c r="K299" s="50">
        <v>1.399523192116625E-2</v>
      </c>
      <c r="L299" s="6">
        <v>283514</v>
      </c>
      <c r="M299" s="57">
        <v>751</v>
      </c>
      <c r="N299" s="57"/>
      <c r="O299" s="57"/>
      <c r="P299" s="57"/>
      <c r="Q299" s="57"/>
      <c r="R299" s="57"/>
      <c r="S299" s="57"/>
      <c r="T299" s="57" t="s">
        <v>2028</v>
      </c>
      <c r="U299" s="57" t="s">
        <v>2029</v>
      </c>
      <c r="V299" t="s">
        <v>2037</v>
      </c>
    </row>
    <row r="300" spans="1:22" ht="18" customHeight="1" x14ac:dyDescent="0.15">
      <c r="A300" s="5" t="s">
        <v>2021</v>
      </c>
      <c r="B300" s="6" t="s">
        <v>2047</v>
      </c>
      <c r="C300" s="6" t="s">
        <v>2022</v>
      </c>
      <c r="D300" s="8" t="s">
        <v>2039</v>
      </c>
      <c r="E300" s="8" t="s">
        <v>2047</v>
      </c>
      <c r="F300" s="43" t="s">
        <v>2048</v>
      </c>
      <c r="G300" s="43" t="s">
        <v>2009</v>
      </c>
      <c r="H300" s="50">
        <v>1.4928999999999999</v>
      </c>
      <c r="I300" s="50">
        <v>0.83399999999999996</v>
      </c>
      <c r="J300" s="50">
        <v>2.6724000000000001</v>
      </c>
      <c r="K300" s="50">
        <v>0.17737185579398801</v>
      </c>
      <c r="L300" s="6">
        <v>147392</v>
      </c>
      <c r="M300" s="57">
        <v>190</v>
      </c>
      <c r="N300" s="57"/>
      <c r="O300" s="57"/>
      <c r="P300" s="57"/>
      <c r="Q300" s="57"/>
      <c r="R300" s="57"/>
      <c r="S300" s="57"/>
      <c r="T300" s="57" t="s">
        <v>2028</v>
      </c>
      <c r="U300" s="57" t="s">
        <v>2030</v>
      </c>
      <c r="V300" t="s">
        <v>2037</v>
      </c>
    </row>
    <row r="301" spans="1:22" ht="18" customHeight="1" x14ac:dyDescent="0.15">
      <c r="A301" s="5" t="s">
        <v>2004</v>
      </c>
      <c r="B301" s="6" t="s">
        <v>2047</v>
      </c>
      <c r="C301" s="6" t="s">
        <v>2006</v>
      </c>
      <c r="D301" s="8" t="s">
        <v>2040</v>
      </c>
      <c r="E301" s="8" t="s">
        <v>2047</v>
      </c>
      <c r="F301" s="43" t="s">
        <v>2048</v>
      </c>
      <c r="G301" s="43" t="s">
        <v>2009</v>
      </c>
      <c r="H301" s="50">
        <v>1.7655000000000001</v>
      </c>
      <c r="I301" s="50"/>
      <c r="J301" s="50"/>
      <c r="K301" s="50"/>
      <c r="L301" s="6">
        <v>432358</v>
      </c>
      <c r="M301" s="57">
        <v>192</v>
      </c>
      <c r="N301" s="57">
        <v>25331</v>
      </c>
      <c r="O301" s="57">
        <v>14</v>
      </c>
      <c r="P301" s="57">
        <v>252333.7</v>
      </c>
      <c r="Q301" s="57">
        <v>178</v>
      </c>
      <c r="R301" s="57">
        <v>5664260.9000000004</v>
      </c>
      <c r="S301" s="57">
        <v>1.7655000000000001</v>
      </c>
      <c r="T301" s="57"/>
      <c r="U301" s="57"/>
    </row>
    <row r="302" spans="1:22" ht="18" customHeight="1" x14ac:dyDescent="0.15">
      <c r="A302" s="5" t="s">
        <v>2004</v>
      </c>
      <c r="B302" s="6" t="s">
        <v>2047</v>
      </c>
      <c r="C302" s="6" t="s">
        <v>2010</v>
      </c>
      <c r="D302" s="8" t="s">
        <v>2040</v>
      </c>
      <c r="E302" s="8" t="s">
        <v>2047</v>
      </c>
      <c r="F302" s="43" t="s">
        <v>2048</v>
      </c>
      <c r="G302" s="43" t="s">
        <v>2009</v>
      </c>
      <c r="H302" s="50">
        <v>1.7655000000000001</v>
      </c>
      <c r="I302" s="50">
        <v>1.0248999999999999</v>
      </c>
      <c r="J302" s="50">
        <v>3.0413999999999999</v>
      </c>
      <c r="K302" s="50">
        <v>4.0502286151726727E-2</v>
      </c>
      <c r="L302" s="6">
        <v>432358</v>
      </c>
      <c r="M302" s="57">
        <v>192</v>
      </c>
      <c r="N302" s="57">
        <v>25331</v>
      </c>
      <c r="O302" s="57">
        <v>14</v>
      </c>
      <c r="P302" s="57">
        <v>252333.7</v>
      </c>
      <c r="Q302" s="57">
        <v>178</v>
      </c>
      <c r="R302" s="57">
        <v>5664260.9000000004</v>
      </c>
      <c r="S302" s="57">
        <v>1.7655000000000001</v>
      </c>
      <c r="T302" s="57"/>
      <c r="U302" s="57"/>
    </row>
    <row r="303" spans="1:22" ht="18" customHeight="1" x14ac:dyDescent="0.15">
      <c r="A303" s="5" t="s">
        <v>2004</v>
      </c>
      <c r="B303" s="6" t="s">
        <v>2047</v>
      </c>
      <c r="C303" s="6" t="s">
        <v>2011</v>
      </c>
      <c r="D303" s="8" t="s">
        <v>2040</v>
      </c>
      <c r="E303" s="8" t="s">
        <v>2047</v>
      </c>
      <c r="F303" s="43" t="s">
        <v>2048</v>
      </c>
      <c r="G303" s="43" t="s">
        <v>2009</v>
      </c>
      <c r="H303" s="50">
        <v>1.8044</v>
      </c>
      <c r="I303" s="50">
        <v>1.0442</v>
      </c>
      <c r="J303" s="50">
        <v>3.1177999999999999</v>
      </c>
      <c r="K303" s="50">
        <v>3.4422714824423849E-2</v>
      </c>
      <c r="L303" s="6">
        <v>432358</v>
      </c>
      <c r="M303" s="57">
        <v>192</v>
      </c>
      <c r="N303" s="57">
        <v>25331</v>
      </c>
      <c r="O303" s="57">
        <v>14</v>
      </c>
      <c r="P303" s="57">
        <v>252333.7</v>
      </c>
      <c r="Q303" s="57">
        <v>178</v>
      </c>
      <c r="R303" s="57">
        <v>5664260.9000000004</v>
      </c>
      <c r="S303" s="57">
        <v>1.7655000000000001</v>
      </c>
      <c r="T303" s="57"/>
      <c r="U303" s="57"/>
    </row>
    <row r="304" spans="1:22" ht="18" customHeight="1" x14ac:dyDescent="0.15">
      <c r="A304" s="5" t="s">
        <v>2004</v>
      </c>
      <c r="B304" s="6" t="s">
        <v>2047</v>
      </c>
      <c r="C304" s="6" t="s">
        <v>2012</v>
      </c>
      <c r="D304" s="8" t="s">
        <v>2040</v>
      </c>
      <c r="E304" s="8" t="s">
        <v>2047</v>
      </c>
      <c r="F304" s="43" t="s">
        <v>2048</v>
      </c>
      <c r="G304" s="43" t="s">
        <v>2009</v>
      </c>
      <c r="H304" s="50">
        <v>1.7379</v>
      </c>
      <c r="I304" s="50">
        <v>1.0065</v>
      </c>
      <c r="J304" s="50">
        <v>3.0007999999999999</v>
      </c>
      <c r="K304" s="50">
        <v>4.7339200055476149E-2</v>
      </c>
      <c r="L304" s="6">
        <v>432358</v>
      </c>
      <c r="M304" s="57">
        <v>192</v>
      </c>
      <c r="N304" s="57">
        <v>25331</v>
      </c>
      <c r="O304" s="57">
        <v>14</v>
      </c>
      <c r="P304" s="57">
        <v>252333.7</v>
      </c>
      <c r="Q304" s="57">
        <v>178</v>
      </c>
      <c r="R304" s="57">
        <v>5664260.9000000004</v>
      </c>
      <c r="S304" s="57">
        <v>1.7655000000000001</v>
      </c>
      <c r="T304" s="57"/>
      <c r="U304" s="57"/>
    </row>
    <row r="305" spans="1:21" ht="18" customHeight="1" x14ac:dyDescent="0.15">
      <c r="A305" s="5" t="s">
        <v>2004</v>
      </c>
      <c r="B305" s="6" t="s">
        <v>2047</v>
      </c>
      <c r="C305" s="6" t="s">
        <v>2013</v>
      </c>
      <c r="D305" s="8" t="s">
        <v>2040</v>
      </c>
      <c r="E305" s="8" t="s">
        <v>2047</v>
      </c>
      <c r="F305" s="43" t="s">
        <v>2048</v>
      </c>
      <c r="G305" s="43" t="s">
        <v>2009</v>
      </c>
      <c r="H305" s="50">
        <v>1.7652000000000001</v>
      </c>
      <c r="I305" s="50">
        <v>1.0159</v>
      </c>
      <c r="J305" s="50">
        <v>3.0670999999999999</v>
      </c>
      <c r="K305" s="50">
        <v>4.3791212997218831E-2</v>
      </c>
      <c r="L305" s="6">
        <v>432358</v>
      </c>
      <c r="M305" s="57">
        <v>192</v>
      </c>
      <c r="N305" s="57">
        <v>25331</v>
      </c>
      <c r="O305" s="57">
        <v>14</v>
      </c>
      <c r="P305" s="57">
        <v>252333.7</v>
      </c>
      <c r="Q305" s="57">
        <v>178</v>
      </c>
      <c r="R305" s="57">
        <v>5664260.9000000004</v>
      </c>
      <c r="S305" s="57">
        <v>1.7655000000000001</v>
      </c>
      <c r="T305" s="57"/>
      <c r="U305" s="57"/>
    </row>
    <row r="306" spans="1:21" ht="18" customHeight="1" x14ac:dyDescent="0.15">
      <c r="A306" s="5" t="s">
        <v>2004</v>
      </c>
      <c r="B306" s="6" t="s">
        <v>2047</v>
      </c>
      <c r="C306" s="6" t="s">
        <v>2006</v>
      </c>
      <c r="D306" s="8" t="s">
        <v>2041</v>
      </c>
      <c r="E306" s="8" t="s">
        <v>2047</v>
      </c>
      <c r="F306" s="43" t="s">
        <v>2048</v>
      </c>
      <c r="G306" s="43" t="s">
        <v>2009</v>
      </c>
      <c r="H306" s="50">
        <v>0.82950000000000002</v>
      </c>
      <c r="I306" s="50"/>
      <c r="J306" s="50"/>
      <c r="K306" s="50"/>
      <c r="L306" s="6">
        <v>432741</v>
      </c>
      <c r="M306" s="57">
        <v>56</v>
      </c>
      <c r="N306" s="57">
        <v>25403</v>
      </c>
      <c r="O306" s="57">
        <v>2</v>
      </c>
      <c r="P306" s="57">
        <v>253086.6</v>
      </c>
      <c r="Q306" s="57">
        <v>54</v>
      </c>
      <c r="R306" s="57">
        <v>5668445.9000000004</v>
      </c>
      <c r="S306" s="57">
        <v>0.82950000000000002</v>
      </c>
      <c r="T306" s="57"/>
      <c r="U306" s="57"/>
    </row>
    <row r="307" spans="1:21" ht="18" customHeight="1" x14ac:dyDescent="0.15">
      <c r="A307" s="5" t="s">
        <v>2004</v>
      </c>
      <c r="B307" s="6" t="s">
        <v>2047</v>
      </c>
      <c r="C307" s="6" t="s">
        <v>2010</v>
      </c>
      <c r="D307" s="8" t="s">
        <v>2041</v>
      </c>
      <c r="E307" s="8" t="s">
        <v>2047</v>
      </c>
      <c r="F307" s="43" t="s">
        <v>2048</v>
      </c>
      <c r="G307" s="43" t="s">
        <v>2009</v>
      </c>
      <c r="H307" s="50">
        <v>0.82950000000000002</v>
      </c>
      <c r="I307" s="50">
        <v>0.20230000000000001</v>
      </c>
      <c r="J307" s="50">
        <v>3.4022000000000001</v>
      </c>
      <c r="K307" s="50">
        <v>0.79520735705822942</v>
      </c>
      <c r="L307" s="6">
        <v>432741</v>
      </c>
      <c r="M307" s="57">
        <v>56</v>
      </c>
      <c r="N307" s="57">
        <v>25403</v>
      </c>
      <c r="O307" s="57">
        <v>2</v>
      </c>
      <c r="P307" s="57">
        <v>253086.6</v>
      </c>
      <c r="Q307" s="57">
        <v>54</v>
      </c>
      <c r="R307" s="57">
        <v>5668445.9000000004</v>
      </c>
      <c r="S307" s="57">
        <v>0.82950000000000002</v>
      </c>
      <c r="T307" s="57"/>
      <c r="U307" s="57"/>
    </row>
    <row r="308" spans="1:21" ht="18" customHeight="1" x14ac:dyDescent="0.15">
      <c r="A308" s="5" t="s">
        <v>2004</v>
      </c>
      <c r="B308" s="6" t="s">
        <v>2047</v>
      </c>
      <c r="C308" s="6" t="s">
        <v>2011</v>
      </c>
      <c r="D308" s="8" t="s">
        <v>2041</v>
      </c>
      <c r="E308" s="8" t="s">
        <v>2047</v>
      </c>
      <c r="F308" s="43" t="s">
        <v>2048</v>
      </c>
      <c r="G308" s="43" t="s">
        <v>2009</v>
      </c>
      <c r="H308" s="50">
        <v>0.75180000000000002</v>
      </c>
      <c r="I308" s="50">
        <v>0.18210000000000001</v>
      </c>
      <c r="J308" s="50">
        <v>3.1034999999999999</v>
      </c>
      <c r="K308" s="50">
        <v>0.69329957547087262</v>
      </c>
      <c r="L308" s="6">
        <v>432741</v>
      </c>
      <c r="M308" s="57">
        <v>56</v>
      </c>
      <c r="N308" s="57">
        <v>25403</v>
      </c>
      <c r="O308" s="57">
        <v>2</v>
      </c>
      <c r="P308" s="57">
        <v>253086.6</v>
      </c>
      <c r="Q308" s="57">
        <v>54</v>
      </c>
      <c r="R308" s="57">
        <v>5668445.9000000004</v>
      </c>
      <c r="S308" s="57">
        <v>0.82950000000000002</v>
      </c>
      <c r="T308" s="57"/>
      <c r="U308" s="57"/>
    </row>
    <row r="309" spans="1:21" ht="18" customHeight="1" x14ac:dyDescent="0.15">
      <c r="A309" s="5" t="s">
        <v>2004</v>
      </c>
      <c r="B309" s="6" t="s">
        <v>2047</v>
      </c>
      <c r="C309" s="6" t="s">
        <v>2012</v>
      </c>
      <c r="D309" s="8" t="s">
        <v>2041</v>
      </c>
      <c r="E309" s="8" t="s">
        <v>2047</v>
      </c>
      <c r="F309" s="43" t="s">
        <v>2048</v>
      </c>
      <c r="G309" s="43" t="s">
        <v>2009</v>
      </c>
      <c r="H309" s="50">
        <v>0.7409</v>
      </c>
      <c r="I309" s="50">
        <v>0.17949999999999999</v>
      </c>
      <c r="J309" s="50">
        <v>3.0586000000000002</v>
      </c>
      <c r="K309" s="50">
        <v>0.67844844090974266</v>
      </c>
      <c r="L309" s="6">
        <v>432741</v>
      </c>
      <c r="M309" s="57">
        <v>56</v>
      </c>
      <c r="N309" s="57">
        <v>25403</v>
      </c>
      <c r="O309" s="57">
        <v>2</v>
      </c>
      <c r="P309" s="57">
        <v>253086.6</v>
      </c>
      <c r="Q309" s="57">
        <v>54</v>
      </c>
      <c r="R309" s="57">
        <v>5668445.9000000004</v>
      </c>
      <c r="S309" s="57">
        <v>0.82950000000000002</v>
      </c>
      <c r="T309" s="57"/>
      <c r="U309" s="57"/>
    </row>
    <row r="310" spans="1:21" ht="18" customHeight="1" x14ac:dyDescent="0.15">
      <c r="A310" s="5" t="s">
        <v>2004</v>
      </c>
      <c r="B310" s="6" t="s">
        <v>2047</v>
      </c>
      <c r="C310" s="6" t="s">
        <v>2013</v>
      </c>
      <c r="D310" s="8" t="s">
        <v>2041</v>
      </c>
      <c r="E310" s="8" t="s">
        <v>2047</v>
      </c>
      <c r="F310" s="43" t="s">
        <v>2048</v>
      </c>
      <c r="G310" s="43" t="s">
        <v>2009</v>
      </c>
      <c r="H310" s="50">
        <v>0.59030000000000005</v>
      </c>
      <c r="I310" s="50">
        <v>0.13439999999999999</v>
      </c>
      <c r="J310" s="50">
        <v>2.5935999999999999</v>
      </c>
      <c r="K310" s="50">
        <v>0.48519561194656508</v>
      </c>
      <c r="L310" s="6">
        <v>432741</v>
      </c>
      <c r="M310" s="57">
        <v>56</v>
      </c>
      <c r="N310" s="57">
        <v>25403</v>
      </c>
      <c r="O310" s="57">
        <v>2</v>
      </c>
      <c r="P310" s="57">
        <v>253086.6</v>
      </c>
      <c r="Q310" s="57">
        <v>54</v>
      </c>
      <c r="R310" s="57">
        <v>5668445.9000000004</v>
      </c>
      <c r="S310" s="57">
        <v>0.82950000000000002</v>
      </c>
      <c r="T310" s="57"/>
      <c r="U310" s="57"/>
    </row>
    <row r="311" spans="1:21" ht="18" customHeight="1" x14ac:dyDescent="0.15">
      <c r="A311" s="5" t="s">
        <v>2004</v>
      </c>
      <c r="B311" s="6" t="s">
        <v>2047</v>
      </c>
      <c r="C311" s="6" t="s">
        <v>2006</v>
      </c>
      <c r="D311" s="8" t="s">
        <v>2042</v>
      </c>
      <c r="E311" s="8" t="s">
        <v>2047</v>
      </c>
      <c r="F311" s="43" t="s">
        <v>2048</v>
      </c>
      <c r="G311" s="43" t="s">
        <v>2009</v>
      </c>
      <c r="H311" s="50">
        <v>2.2290999999999999</v>
      </c>
      <c r="I311" s="50"/>
      <c r="J311" s="50"/>
      <c r="K311" s="50"/>
      <c r="L311" s="6">
        <v>432442</v>
      </c>
      <c r="M311" s="57">
        <v>299</v>
      </c>
      <c r="N311" s="57">
        <v>25330</v>
      </c>
      <c r="O311" s="57">
        <v>27</v>
      </c>
      <c r="P311" s="57">
        <v>252285.1</v>
      </c>
      <c r="Q311" s="57">
        <v>272</v>
      </c>
      <c r="R311" s="57">
        <v>5665370.9000000004</v>
      </c>
      <c r="S311" s="57">
        <v>2.2290999999999999</v>
      </c>
      <c r="T311" s="57"/>
      <c r="U311" s="57"/>
    </row>
    <row r="312" spans="1:21" ht="18" customHeight="1" x14ac:dyDescent="0.15">
      <c r="A312" s="5" t="s">
        <v>2004</v>
      </c>
      <c r="B312" s="6" t="s">
        <v>2047</v>
      </c>
      <c r="C312" s="6" t="s">
        <v>2010</v>
      </c>
      <c r="D312" s="8" t="s">
        <v>2042</v>
      </c>
      <c r="E312" s="8" t="s">
        <v>2047</v>
      </c>
      <c r="F312" s="43" t="s">
        <v>2048</v>
      </c>
      <c r="G312" s="43" t="s">
        <v>2009</v>
      </c>
      <c r="H312" s="50">
        <v>2.2290999999999999</v>
      </c>
      <c r="I312" s="50">
        <v>1.5013000000000001</v>
      </c>
      <c r="J312" s="50">
        <v>3.3096999999999999</v>
      </c>
      <c r="K312" s="50">
        <v>7.0371906063791047E-5</v>
      </c>
      <c r="L312" s="6">
        <v>432442</v>
      </c>
      <c r="M312" s="57">
        <v>299</v>
      </c>
      <c r="N312" s="57">
        <v>25330</v>
      </c>
      <c r="O312" s="57">
        <v>27</v>
      </c>
      <c r="P312" s="57">
        <v>252285.1</v>
      </c>
      <c r="Q312" s="57">
        <v>272</v>
      </c>
      <c r="R312" s="57">
        <v>5665370.9000000004</v>
      </c>
      <c r="S312" s="57">
        <v>2.2290999999999999</v>
      </c>
      <c r="T312" s="57"/>
      <c r="U312" s="57"/>
    </row>
    <row r="313" spans="1:21" ht="18" customHeight="1" x14ac:dyDescent="0.15">
      <c r="A313" s="5" t="s">
        <v>2004</v>
      </c>
      <c r="B313" s="6" t="s">
        <v>2047</v>
      </c>
      <c r="C313" s="6" t="s">
        <v>2011</v>
      </c>
      <c r="D313" s="8" t="s">
        <v>2042</v>
      </c>
      <c r="E313" s="8" t="s">
        <v>2047</v>
      </c>
      <c r="F313" s="43" t="s">
        <v>2048</v>
      </c>
      <c r="G313" s="43" t="s">
        <v>2009</v>
      </c>
      <c r="H313" s="50">
        <v>2.1709000000000001</v>
      </c>
      <c r="I313" s="50">
        <v>1.4378</v>
      </c>
      <c r="J313" s="50">
        <v>3.2778</v>
      </c>
      <c r="K313" s="50">
        <v>2.266780218567E-4</v>
      </c>
      <c r="L313" s="6">
        <v>432442</v>
      </c>
      <c r="M313" s="57">
        <v>299</v>
      </c>
      <c r="N313" s="57">
        <v>25330</v>
      </c>
      <c r="O313" s="57">
        <v>27</v>
      </c>
      <c r="P313" s="57">
        <v>252285.1</v>
      </c>
      <c r="Q313" s="57">
        <v>272</v>
      </c>
      <c r="R313" s="57">
        <v>5665370.9000000004</v>
      </c>
      <c r="S313" s="57">
        <v>2.2290999999999999</v>
      </c>
      <c r="T313" s="57"/>
      <c r="U313" s="57"/>
    </row>
    <row r="314" spans="1:21" ht="18" customHeight="1" x14ac:dyDescent="0.15">
      <c r="A314" s="5" t="s">
        <v>2004</v>
      </c>
      <c r="B314" s="6" t="s">
        <v>2047</v>
      </c>
      <c r="C314" s="6" t="s">
        <v>2012</v>
      </c>
      <c r="D314" s="8" t="s">
        <v>2042</v>
      </c>
      <c r="E314" s="8" t="s">
        <v>2047</v>
      </c>
      <c r="F314" s="43" t="s">
        <v>2048</v>
      </c>
      <c r="G314" s="43" t="s">
        <v>2009</v>
      </c>
      <c r="H314" s="50">
        <v>2.1453000000000002</v>
      </c>
      <c r="I314" s="50">
        <v>1.4213</v>
      </c>
      <c r="J314" s="50">
        <v>3.2381000000000002</v>
      </c>
      <c r="K314" s="50">
        <v>2.7962815615875002E-4</v>
      </c>
      <c r="L314" s="6">
        <v>432442</v>
      </c>
      <c r="M314" s="57">
        <v>299</v>
      </c>
      <c r="N314" s="57">
        <v>25330</v>
      </c>
      <c r="O314" s="57">
        <v>27</v>
      </c>
      <c r="P314" s="57">
        <v>252285.1</v>
      </c>
      <c r="Q314" s="57">
        <v>272</v>
      </c>
      <c r="R314" s="57">
        <v>5665370.9000000004</v>
      </c>
      <c r="S314" s="57">
        <v>2.2290999999999999</v>
      </c>
      <c r="T314" s="57"/>
      <c r="U314" s="57"/>
    </row>
    <row r="315" spans="1:21" ht="18" customHeight="1" x14ac:dyDescent="0.15">
      <c r="A315" s="5" t="s">
        <v>2004</v>
      </c>
      <c r="B315" s="6" t="s">
        <v>2047</v>
      </c>
      <c r="C315" s="6" t="s">
        <v>2013</v>
      </c>
      <c r="D315" s="8" t="s">
        <v>2042</v>
      </c>
      <c r="E315" s="8" t="s">
        <v>2047</v>
      </c>
      <c r="F315" s="43" t="s">
        <v>2048</v>
      </c>
      <c r="G315" s="43" t="s">
        <v>2009</v>
      </c>
      <c r="H315" s="50">
        <v>2.1322000000000001</v>
      </c>
      <c r="I315" s="50">
        <v>1.4012</v>
      </c>
      <c r="J315" s="50">
        <v>3.2444999999999999</v>
      </c>
      <c r="K315" s="50">
        <v>4.0803971203995002E-4</v>
      </c>
      <c r="L315" s="6">
        <v>432442</v>
      </c>
      <c r="M315" s="57">
        <v>299</v>
      </c>
      <c r="N315" s="57">
        <v>25330</v>
      </c>
      <c r="O315" s="57">
        <v>27</v>
      </c>
      <c r="P315" s="57">
        <v>252285.1</v>
      </c>
      <c r="Q315" s="57">
        <v>272</v>
      </c>
      <c r="R315" s="57">
        <v>5665370.9000000004</v>
      </c>
      <c r="S315" s="57">
        <v>2.2290999999999999</v>
      </c>
      <c r="T315" s="57"/>
      <c r="U315" s="57"/>
    </row>
    <row r="316" spans="1:21" ht="18" customHeight="1" x14ac:dyDescent="0.15">
      <c r="A316" s="5" t="s">
        <v>2004</v>
      </c>
      <c r="B316" s="6" t="s">
        <v>2047</v>
      </c>
      <c r="C316" s="6" t="s">
        <v>2006</v>
      </c>
      <c r="D316" s="8" t="s">
        <v>2043</v>
      </c>
      <c r="E316" s="8" t="s">
        <v>2047</v>
      </c>
      <c r="F316" s="43" t="s">
        <v>2048</v>
      </c>
      <c r="G316" s="43" t="s">
        <v>2009</v>
      </c>
      <c r="H316" s="50">
        <v>1.5014000000000001</v>
      </c>
      <c r="I316" s="50"/>
      <c r="J316" s="50"/>
      <c r="K316" s="50"/>
      <c r="L316" s="6">
        <v>431784</v>
      </c>
      <c r="M316" s="57">
        <v>2289</v>
      </c>
      <c r="N316" s="57">
        <v>25200</v>
      </c>
      <c r="O316" s="57">
        <v>143</v>
      </c>
      <c r="P316" s="57">
        <v>251127.6</v>
      </c>
      <c r="Q316" s="57">
        <v>2146</v>
      </c>
      <c r="R316" s="57">
        <v>5658119.7000000002</v>
      </c>
      <c r="S316" s="57">
        <v>1.5014000000000001</v>
      </c>
      <c r="T316" s="57"/>
      <c r="U316" s="57"/>
    </row>
    <row r="317" spans="1:21" ht="18" customHeight="1" x14ac:dyDescent="0.15">
      <c r="A317" s="5" t="s">
        <v>2004</v>
      </c>
      <c r="B317" s="6" t="s">
        <v>2047</v>
      </c>
      <c r="C317" s="6" t="s">
        <v>2010</v>
      </c>
      <c r="D317" s="8" t="s">
        <v>2043</v>
      </c>
      <c r="E317" s="8" t="s">
        <v>2047</v>
      </c>
      <c r="F317" s="43" t="s">
        <v>2048</v>
      </c>
      <c r="G317" s="43" t="s">
        <v>2009</v>
      </c>
      <c r="H317" s="50">
        <v>1.5014000000000001</v>
      </c>
      <c r="I317" s="50">
        <v>1.2682</v>
      </c>
      <c r="J317" s="50">
        <v>1.7774000000000001</v>
      </c>
      <c r="K317" s="50">
        <v>2.3622026898112868E-6</v>
      </c>
      <c r="L317" s="6">
        <v>431784</v>
      </c>
      <c r="M317" s="57">
        <v>2289</v>
      </c>
      <c r="N317" s="57">
        <v>25200</v>
      </c>
      <c r="O317" s="57">
        <v>143</v>
      </c>
      <c r="P317" s="57">
        <v>251127.6</v>
      </c>
      <c r="Q317" s="57">
        <v>2146</v>
      </c>
      <c r="R317" s="57">
        <v>5658119.7000000002</v>
      </c>
      <c r="S317" s="57">
        <v>1.5014000000000001</v>
      </c>
      <c r="T317" s="57"/>
      <c r="U317" s="57"/>
    </row>
    <row r="318" spans="1:21" ht="18" customHeight="1" x14ac:dyDescent="0.15">
      <c r="A318" s="5" t="s">
        <v>2004</v>
      </c>
      <c r="B318" s="6" t="s">
        <v>2047</v>
      </c>
      <c r="C318" s="6" t="s">
        <v>2011</v>
      </c>
      <c r="D318" s="8" t="s">
        <v>2043</v>
      </c>
      <c r="E318" s="8" t="s">
        <v>2047</v>
      </c>
      <c r="F318" s="43" t="s">
        <v>2048</v>
      </c>
      <c r="G318" s="43" t="s">
        <v>2009</v>
      </c>
      <c r="H318" s="50">
        <v>1.2592000000000001</v>
      </c>
      <c r="I318" s="50">
        <v>1.0608</v>
      </c>
      <c r="J318" s="50">
        <v>1.4946999999999999</v>
      </c>
      <c r="K318" s="50">
        <v>8.4282871485721594E-3</v>
      </c>
      <c r="L318" s="6">
        <v>431784</v>
      </c>
      <c r="M318" s="57">
        <v>2289</v>
      </c>
      <c r="N318" s="57">
        <v>25200</v>
      </c>
      <c r="O318" s="57">
        <v>143</v>
      </c>
      <c r="P318" s="57">
        <v>251127.6</v>
      </c>
      <c r="Q318" s="57">
        <v>2146</v>
      </c>
      <c r="R318" s="57">
        <v>5658119.7000000002</v>
      </c>
      <c r="S318" s="57">
        <v>1.5014000000000001</v>
      </c>
      <c r="T318" s="57"/>
      <c r="U318" s="57"/>
    </row>
    <row r="319" spans="1:21" ht="18" customHeight="1" x14ac:dyDescent="0.15">
      <c r="A319" s="5" t="s">
        <v>2004</v>
      </c>
      <c r="B319" s="6" t="s">
        <v>2047</v>
      </c>
      <c r="C319" s="6" t="s">
        <v>2012</v>
      </c>
      <c r="D319" s="8" t="s">
        <v>2043</v>
      </c>
      <c r="E319" s="8" t="s">
        <v>2047</v>
      </c>
      <c r="F319" s="43" t="s">
        <v>2048</v>
      </c>
      <c r="G319" s="43" t="s">
        <v>2009</v>
      </c>
      <c r="H319" s="50">
        <v>1.246</v>
      </c>
      <c r="I319" s="50">
        <v>1.0494000000000001</v>
      </c>
      <c r="J319" s="50">
        <v>1.4794</v>
      </c>
      <c r="K319" s="50">
        <v>1.206917461473263E-2</v>
      </c>
      <c r="L319" s="6">
        <v>431784</v>
      </c>
      <c r="M319" s="57">
        <v>2289</v>
      </c>
      <c r="N319" s="57">
        <v>25200</v>
      </c>
      <c r="O319" s="57">
        <v>143</v>
      </c>
      <c r="P319" s="57">
        <v>251127.6</v>
      </c>
      <c r="Q319" s="57">
        <v>2146</v>
      </c>
      <c r="R319" s="57">
        <v>5658119.7000000002</v>
      </c>
      <c r="S319" s="57">
        <v>1.5014000000000001</v>
      </c>
      <c r="T319" s="57"/>
      <c r="U319" s="57"/>
    </row>
    <row r="320" spans="1:21" ht="18" customHeight="1" x14ac:dyDescent="0.15">
      <c r="A320" s="5" t="s">
        <v>2004</v>
      </c>
      <c r="B320" s="6" t="s">
        <v>2047</v>
      </c>
      <c r="C320" s="6" t="s">
        <v>2013</v>
      </c>
      <c r="D320" s="8" t="s">
        <v>2043</v>
      </c>
      <c r="E320" s="8" t="s">
        <v>2047</v>
      </c>
      <c r="F320" s="43" t="s">
        <v>2048</v>
      </c>
      <c r="G320" s="43" t="s">
        <v>2009</v>
      </c>
      <c r="H320" s="50">
        <v>1.2471000000000001</v>
      </c>
      <c r="I320" s="50">
        <v>1.0482</v>
      </c>
      <c r="J320" s="50">
        <v>1.4838</v>
      </c>
      <c r="K320" s="50">
        <v>1.274516317080803E-2</v>
      </c>
      <c r="L320" s="6">
        <v>431784</v>
      </c>
      <c r="M320" s="57">
        <v>2289</v>
      </c>
      <c r="N320" s="57">
        <v>25200</v>
      </c>
      <c r="O320" s="57">
        <v>143</v>
      </c>
      <c r="P320" s="57">
        <v>251127.6</v>
      </c>
      <c r="Q320" s="57">
        <v>2146</v>
      </c>
      <c r="R320" s="57">
        <v>5658119.7000000002</v>
      </c>
      <c r="S320" s="57">
        <v>1.5014000000000001</v>
      </c>
      <c r="T320" s="57"/>
      <c r="U320" s="57"/>
    </row>
    <row r="321" spans="1:21" ht="18" customHeight="1" x14ac:dyDescent="0.15">
      <c r="A321" s="5" t="s">
        <v>2004</v>
      </c>
      <c r="B321" s="6" t="s">
        <v>2047</v>
      </c>
      <c r="C321" s="6" t="s">
        <v>2006</v>
      </c>
      <c r="D321" s="8" t="s">
        <v>2044</v>
      </c>
      <c r="E321" s="8" t="s">
        <v>2047</v>
      </c>
      <c r="F321" s="43" t="s">
        <v>2048</v>
      </c>
      <c r="G321" s="43" t="s">
        <v>2009</v>
      </c>
      <c r="H321" s="50">
        <v>1.5598000000000001</v>
      </c>
      <c r="I321" s="50"/>
      <c r="J321" s="50"/>
      <c r="K321" s="50"/>
      <c r="L321" s="6">
        <v>419371</v>
      </c>
      <c r="M321" s="57">
        <v>19395</v>
      </c>
      <c r="N321" s="57">
        <v>23337</v>
      </c>
      <c r="O321" s="57">
        <v>1202</v>
      </c>
      <c r="P321" s="57">
        <v>233496.4</v>
      </c>
      <c r="Q321" s="57">
        <v>18193</v>
      </c>
      <c r="R321" s="57">
        <v>5512489.5999999996</v>
      </c>
      <c r="S321" s="57">
        <v>1.5598000000000001</v>
      </c>
      <c r="T321" s="57"/>
      <c r="U321" s="57"/>
    </row>
    <row r="322" spans="1:21" ht="18" customHeight="1" x14ac:dyDescent="0.15">
      <c r="A322" s="5" t="s">
        <v>2004</v>
      </c>
      <c r="B322" s="6" t="s">
        <v>2047</v>
      </c>
      <c r="C322" s="6" t="s">
        <v>2010</v>
      </c>
      <c r="D322" s="8" t="s">
        <v>2044</v>
      </c>
      <c r="E322" s="8" t="s">
        <v>2047</v>
      </c>
      <c r="F322" s="43" t="s">
        <v>2048</v>
      </c>
      <c r="G322" s="43" t="s">
        <v>2009</v>
      </c>
      <c r="H322" s="50">
        <v>1.5598000000000001</v>
      </c>
      <c r="I322" s="50">
        <v>1.4736</v>
      </c>
      <c r="J322" s="50">
        <v>1.651</v>
      </c>
      <c r="K322" s="50">
        <v>4.9461749783908172E-53</v>
      </c>
      <c r="L322" s="6">
        <v>419371</v>
      </c>
      <c r="M322" s="57">
        <v>19395</v>
      </c>
      <c r="N322" s="57">
        <v>23337</v>
      </c>
      <c r="O322" s="57">
        <v>1202</v>
      </c>
      <c r="P322" s="57">
        <v>233496.4</v>
      </c>
      <c r="Q322" s="57">
        <v>18193</v>
      </c>
      <c r="R322" s="57">
        <v>5512489.5999999996</v>
      </c>
      <c r="S322" s="57">
        <v>1.5598000000000001</v>
      </c>
      <c r="T322" s="57"/>
      <c r="U322" s="57"/>
    </row>
    <row r="323" spans="1:21" ht="18" customHeight="1" x14ac:dyDescent="0.15">
      <c r="A323" s="5" t="s">
        <v>2004</v>
      </c>
      <c r="B323" s="6" t="s">
        <v>2047</v>
      </c>
      <c r="C323" s="6" t="s">
        <v>2011</v>
      </c>
      <c r="D323" s="8" t="s">
        <v>2044</v>
      </c>
      <c r="E323" s="8" t="s">
        <v>2047</v>
      </c>
      <c r="F323" s="43" t="s">
        <v>2048</v>
      </c>
      <c r="G323" s="43" t="s">
        <v>2009</v>
      </c>
      <c r="H323" s="50">
        <v>1.4748000000000001</v>
      </c>
      <c r="I323" s="50">
        <v>1.3925000000000001</v>
      </c>
      <c r="J323" s="50">
        <v>1.5619000000000001</v>
      </c>
      <c r="K323" s="50">
        <v>3.637928596008405E-40</v>
      </c>
      <c r="L323" s="6">
        <v>419371</v>
      </c>
      <c r="M323" s="57">
        <v>19395</v>
      </c>
      <c r="N323" s="57">
        <v>23337</v>
      </c>
      <c r="O323" s="57">
        <v>1202</v>
      </c>
      <c r="P323" s="57">
        <v>233496.4</v>
      </c>
      <c r="Q323" s="57">
        <v>18193</v>
      </c>
      <c r="R323" s="57">
        <v>5512489.5999999996</v>
      </c>
      <c r="S323" s="57">
        <v>1.5598000000000001</v>
      </c>
      <c r="T323" s="57"/>
      <c r="U323" s="57"/>
    </row>
    <row r="324" spans="1:21" ht="18" customHeight="1" x14ac:dyDescent="0.15">
      <c r="A324" s="5" t="s">
        <v>2004</v>
      </c>
      <c r="B324" s="6" t="s">
        <v>2047</v>
      </c>
      <c r="C324" s="6" t="s">
        <v>2012</v>
      </c>
      <c r="D324" s="8" t="s">
        <v>2044</v>
      </c>
      <c r="E324" s="8" t="s">
        <v>2047</v>
      </c>
      <c r="F324" s="43" t="s">
        <v>2048</v>
      </c>
      <c r="G324" s="43" t="s">
        <v>2009</v>
      </c>
      <c r="H324" s="50">
        <v>1.4596</v>
      </c>
      <c r="I324" s="50">
        <v>1.3782000000000001</v>
      </c>
      <c r="J324" s="50">
        <v>1.5458000000000001</v>
      </c>
      <c r="K324" s="50">
        <v>3.406403935551659E-38</v>
      </c>
      <c r="L324" s="6">
        <v>419371</v>
      </c>
      <c r="M324" s="57">
        <v>19395</v>
      </c>
      <c r="N324" s="57">
        <v>23337</v>
      </c>
      <c r="O324" s="57">
        <v>1202</v>
      </c>
      <c r="P324" s="57">
        <v>233496.4</v>
      </c>
      <c r="Q324" s="57">
        <v>18193</v>
      </c>
      <c r="R324" s="57">
        <v>5512489.5999999996</v>
      </c>
      <c r="S324" s="57">
        <v>1.5598000000000001</v>
      </c>
      <c r="T324" s="57"/>
      <c r="U324" s="57"/>
    </row>
    <row r="325" spans="1:21" ht="18" customHeight="1" x14ac:dyDescent="0.15">
      <c r="A325" s="5" t="s">
        <v>2004</v>
      </c>
      <c r="B325" s="6" t="s">
        <v>2047</v>
      </c>
      <c r="C325" s="6" t="s">
        <v>2013</v>
      </c>
      <c r="D325" s="8" t="s">
        <v>2044</v>
      </c>
      <c r="E325" s="8" t="s">
        <v>2047</v>
      </c>
      <c r="F325" s="43" t="s">
        <v>2048</v>
      </c>
      <c r="G325" s="43" t="s">
        <v>2009</v>
      </c>
      <c r="H325" s="50">
        <v>1.4467000000000001</v>
      </c>
      <c r="I325" s="50">
        <v>1.3656999999999999</v>
      </c>
      <c r="J325" s="50">
        <v>1.5325</v>
      </c>
      <c r="K325" s="50">
        <v>3.3429184629809978E-36</v>
      </c>
      <c r="L325" s="6">
        <v>419371</v>
      </c>
      <c r="M325" s="57">
        <v>19395</v>
      </c>
      <c r="N325" s="57">
        <v>23337</v>
      </c>
      <c r="O325" s="57">
        <v>1202</v>
      </c>
      <c r="P325" s="57">
        <v>233496.4</v>
      </c>
      <c r="Q325" s="57">
        <v>18193</v>
      </c>
      <c r="R325" s="57">
        <v>5512489.5999999996</v>
      </c>
      <c r="S325" s="57">
        <v>1.5598000000000001</v>
      </c>
      <c r="T325" s="57"/>
      <c r="U325" s="57"/>
    </row>
    <row r="326" spans="1:21" ht="18" customHeight="1" x14ac:dyDescent="0.15">
      <c r="A326" s="5" t="s">
        <v>2014</v>
      </c>
      <c r="B326" s="6" t="s">
        <v>2047</v>
      </c>
      <c r="C326" s="6" t="s">
        <v>2015</v>
      </c>
      <c r="D326" s="8" t="s">
        <v>2044</v>
      </c>
      <c r="E326" s="8" t="s">
        <v>2047</v>
      </c>
      <c r="F326" s="43" t="s">
        <v>2048</v>
      </c>
      <c r="G326" s="43" t="s">
        <v>2009</v>
      </c>
      <c r="H326" s="50">
        <v>1.5598000000000001</v>
      </c>
      <c r="I326" s="50">
        <v>1.4736</v>
      </c>
      <c r="J326" s="50">
        <v>1.651</v>
      </c>
      <c r="K326" s="50">
        <v>4.9461749783908172E-53</v>
      </c>
      <c r="L326" s="6">
        <v>419371</v>
      </c>
      <c r="M326" s="57">
        <v>19395</v>
      </c>
      <c r="N326" s="57"/>
      <c r="O326" s="57"/>
      <c r="P326" s="57"/>
      <c r="Q326" s="57"/>
      <c r="R326" s="57"/>
      <c r="S326" s="57"/>
      <c r="T326" s="57"/>
      <c r="U326" s="57"/>
    </row>
    <row r="327" spans="1:21" ht="18" customHeight="1" x14ac:dyDescent="0.15">
      <c r="A327" s="5" t="s">
        <v>2014</v>
      </c>
      <c r="B327" s="6" t="s">
        <v>2047</v>
      </c>
      <c r="C327" s="6" t="s">
        <v>2016</v>
      </c>
      <c r="D327" s="8" t="s">
        <v>2044</v>
      </c>
      <c r="E327" s="8" t="s">
        <v>2047</v>
      </c>
      <c r="F327" s="43" t="s">
        <v>2048</v>
      </c>
      <c r="G327" s="43" t="s">
        <v>2009</v>
      </c>
      <c r="H327" s="50">
        <v>1.4748000000000001</v>
      </c>
      <c r="I327" s="50">
        <v>1.3925000000000001</v>
      </c>
      <c r="J327" s="50">
        <v>1.5619000000000001</v>
      </c>
      <c r="K327" s="50">
        <v>3.637928596008405E-40</v>
      </c>
      <c r="L327" s="6">
        <v>419371</v>
      </c>
      <c r="M327" s="57">
        <v>19395</v>
      </c>
      <c r="N327" s="57"/>
      <c r="O327" s="57"/>
      <c r="P327" s="57"/>
      <c r="Q327" s="57"/>
      <c r="R327" s="57"/>
      <c r="S327" s="57"/>
      <c r="T327" s="57"/>
      <c r="U327" s="57"/>
    </row>
    <row r="328" spans="1:21" ht="18" customHeight="1" x14ac:dyDescent="0.15">
      <c r="A328" s="5" t="s">
        <v>2014</v>
      </c>
      <c r="B328" s="6" t="s">
        <v>2047</v>
      </c>
      <c r="C328" s="6" t="s">
        <v>2017</v>
      </c>
      <c r="D328" s="8" t="s">
        <v>2044</v>
      </c>
      <c r="E328" s="8" t="s">
        <v>2047</v>
      </c>
      <c r="F328" s="43" t="s">
        <v>2048</v>
      </c>
      <c r="G328" s="43" t="s">
        <v>2009</v>
      </c>
      <c r="H328" s="50">
        <v>1.3757999999999999</v>
      </c>
      <c r="I328" s="50">
        <v>1.2997000000000001</v>
      </c>
      <c r="J328" s="50">
        <v>1.4563999999999999</v>
      </c>
      <c r="K328" s="50">
        <v>4.3177439522867242E-28</v>
      </c>
      <c r="L328" s="6">
        <v>419371</v>
      </c>
      <c r="M328" s="57">
        <v>19395</v>
      </c>
      <c r="N328" s="57"/>
      <c r="O328" s="57"/>
      <c r="P328" s="57"/>
      <c r="Q328" s="57"/>
      <c r="R328" s="57"/>
      <c r="S328" s="57"/>
      <c r="T328" s="57"/>
      <c r="U328" s="57"/>
    </row>
    <row r="329" spans="1:21" ht="18" customHeight="1" x14ac:dyDescent="0.15">
      <c r="A329" s="5" t="s">
        <v>2014</v>
      </c>
      <c r="B329" s="6" t="s">
        <v>2047</v>
      </c>
      <c r="C329" s="6" t="s">
        <v>2018</v>
      </c>
      <c r="D329" s="8" t="s">
        <v>2044</v>
      </c>
      <c r="E329" s="8" t="s">
        <v>2047</v>
      </c>
      <c r="F329" s="43" t="s">
        <v>2048</v>
      </c>
      <c r="G329" s="43" t="s">
        <v>2009</v>
      </c>
      <c r="H329" s="50">
        <v>1.3853</v>
      </c>
      <c r="I329" s="50">
        <v>1.2558</v>
      </c>
      <c r="J329" s="50">
        <v>1.5281</v>
      </c>
      <c r="K329" s="50">
        <v>7.4743084835651319E-11</v>
      </c>
      <c r="L329" s="6">
        <v>419371</v>
      </c>
      <c r="M329" s="57">
        <v>19395</v>
      </c>
      <c r="N329" s="57"/>
      <c r="O329" s="57"/>
      <c r="P329" s="57"/>
      <c r="Q329" s="57"/>
      <c r="R329" s="57"/>
      <c r="S329" s="57"/>
      <c r="T329" s="57"/>
      <c r="U329" s="57"/>
    </row>
    <row r="330" spans="1:21" ht="18" customHeight="1" x14ac:dyDescent="0.15">
      <c r="A330" s="5" t="s">
        <v>2014</v>
      </c>
      <c r="B330" s="6" t="s">
        <v>2047</v>
      </c>
      <c r="C330" s="6" t="s">
        <v>2019</v>
      </c>
      <c r="D330" s="8" t="s">
        <v>2044</v>
      </c>
      <c r="E330" s="8" t="s">
        <v>2047</v>
      </c>
      <c r="F330" s="43" t="s">
        <v>2048</v>
      </c>
      <c r="G330" s="43" t="s">
        <v>1816</v>
      </c>
      <c r="H330" s="50">
        <v>3.8891</v>
      </c>
      <c r="I330" s="50">
        <v>3.3866000000000001</v>
      </c>
      <c r="J330" s="50">
        <v>4.4661</v>
      </c>
      <c r="K330" s="50">
        <v>1.643482761886767E-82</v>
      </c>
      <c r="L330" s="6">
        <v>416482</v>
      </c>
      <c r="M330" s="57">
        <v>1455</v>
      </c>
      <c r="N330" s="57"/>
      <c r="O330" s="57"/>
      <c r="P330" s="57"/>
      <c r="Q330" s="57"/>
      <c r="R330" s="57"/>
      <c r="S330" s="57"/>
      <c r="T330" s="57"/>
      <c r="U330" s="57"/>
    </row>
    <row r="331" spans="1:21" ht="18" customHeight="1" x14ac:dyDescent="0.15">
      <c r="A331" s="5" t="s">
        <v>2014</v>
      </c>
      <c r="B331" s="6" t="s">
        <v>2047</v>
      </c>
      <c r="C331" s="6" t="s">
        <v>2020</v>
      </c>
      <c r="D331" s="8" t="s">
        <v>2044</v>
      </c>
      <c r="E331" s="8" t="s">
        <v>2047</v>
      </c>
      <c r="F331" s="43" t="s">
        <v>2048</v>
      </c>
      <c r="G331" s="43" t="s">
        <v>2009</v>
      </c>
      <c r="H331" s="50">
        <v>1.4401999999999999</v>
      </c>
      <c r="I331" s="50">
        <v>1.3593</v>
      </c>
      <c r="J331" s="50">
        <v>1.5259</v>
      </c>
      <c r="K331" s="50">
        <v>4.0463939596072498E-35</v>
      </c>
      <c r="L331" s="6">
        <v>416483</v>
      </c>
      <c r="M331" s="57">
        <v>19346</v>
      </c>
      <c r="N331" s="57"/>
      <c r="O331" s="57"/>
      <c r="P331" s="57"/>
      <c r="Q331" s="57"/>
      <c r="R331" s="57"/>
      <c r="S331" s="57"/>
      <c r="T331" s="57"/>
      <c r="U331" s="57"/>
    </row>
    <row r="332" spans="1:21" ht="18" customHeight="1" x14ac:dyDescent="0.15">
      <c r="A332" s="5" t="s">
        <v>2021</v>
      </c>
      <c r="B332" s="6" t="s">
        <v>2047</v>
      </c>
      <c r="C332" s="6" t="s">
        <v>2022</v>
      </c>
      <c r="D332" s="8" t="s">
        <v>2044</v>
      </c>
      <c r="E332" s="8" t="s">
        <v>2047</v>
      </c>
      <c r="F332" s="43" t="s">
        <v>2048</v>
      </c>
      <c r="G332" s="43" t="s">
        <v>2009</v>
      </c>
      <c r="H332" s="50">
        <v>1.5939000000000001</v>
      </c>
      <c r="I332" s="50">
        <v>0.99470000000000003</v>
      </c>
      <c r="J332" s="50">
        <v>2.5539999999999998</v>
      </c>
      <c r="K332" s="50">
        <v>5.2624013995716097E-2</v>
      </c>
      <c r="L332" s="6">
        <v>4144</v>
      </c>
      <c r="M332" s="57">
        <v>259</v>
      </c>
      <c r="N332" s="57"/>
      <c r="O332" s="57"/>
      <c r="P332" s="57"/>
      <c r="Q332" s="57"/>
      <c r="R332" s="57"/>
      <c r="S332" s="57"/>
      <c r="T332" s="57" t="s">
        <v>2023</v>
      </c>
      <c r="U332" s="57" t="s">
        <v>2024</v>
      </c>
    </row>
    <row r="333" spans="1:21" ht="18" customHeight="1" x14ac:dyDescent="0.15">
      <c r="A333" s="5" t="s">
        <v>2021</v>
      </c>
      <c r="B333" s="6" t="s">
        <v>2047</v>
      </c>
      <c r="C333" s="6" t="s">
        <v>2022</v>
      </c>
      <c r="D333" s="8" t="s">
        <v>2044</v>
      </c>
      <c r="E333" s="8" t="s">
        <v>2047</v>
      </c>
      <c r="F333" s="43" t="s">
        <v>2048</v>
      </c>
      <c r="G333" s="43" t="s">
        <v>2009</v>
      </c>
      <c r="H333" s="50">
        <v>1.6588000000000001</v>
      </c>
      <c r="I333" s="50">
        <v>1.5049999999999999</v>
      </c>
      <c r="J333" s="50">
        <v>1.8282</v>
      </c>
      <c r="K333" s="50">
        <v>2.0281267300871002E-24</v>
      </c>
      <c r="L333" s="6">
        <v>285036</v>
      </c>
      <c r="M333" s="57">
        <v>6565</v>
      </c>
      <c r="N333" s="57"/>
      <c r="O333" s="57"/>
      <c r="P333" s="57"/>
      <c r="Q333" s="57"/>
      <c r="R333" s="57"/>
      <c r="S333" s="57"/>
      <c r="T333" s="57" t="s">
        <v>2023</v>
      </c>
      <c r="U333" s="57" t="s">
        <v>2025</v>
      </c>
    </row>
    <row r="334" spans="1:21" ht="18" customHeight="1" x14ac:dyDescent="0.15">
      <c r="A334" s="5" t="s">
        <v>2021</v>
      </c>
      <c r="B334" s="6" t="s">
        <v>2047</v>
      </c>
      <c r="C334" s="6" t="s">
        <v>2022</v>
      </c>
      <c r="D334" s="8" t="s">
        <v>2044</v>
      </c>
      <c r="E334" s="8" t="s">
        <v>2047</v>
      </c>
      <c r="F334" s="43" t="s">
        <v>2048</v>
      </c>
      <c r="G334" s="43" t="s">
        <v>2009</v>
      </c>
      <c r="H334" s="50">
        <v>1.2577</v>
      </c>
      <c r="I334" s="50">
        <v>1.1716</v>
      </c>
      <c r="J334" s="50">
        <v>1.3501000000000001</v>
      </c>
      <c r="K334" s="50">
        <v>2.3634345349572301E-10</v>
      </c>
      <c r="L334" s="6">
        <v>130191</v>
      </c>
      <c r="M334" s="57">
        <v>12571</v>
      </c>
      <c r="N334" s="57"/>
      <c r="O334" s="57"/>
      <c r="P334" s="57"/>
      <c r="Q334" s="57"/>
      <c r="R334" s="57"/>
      <c r="S334" s="57"/>
      <c r="T334" s="57" t="s">
        <v>2023</v>
      </c>
      <c r="U334" s="57" t="s">
        <v>2026</v>
      </c>
    </row>
    <row r="335" spans="1:21" ht="18" customHeight="1" x14ac:dyDescent="0.15">
      <c r="A335" s="5" t="s">
        <v>2021</v>
      </c>
      <c r="B335" s="6" t="s">
        <v>2047</v>
      </c>
      <c r="C335" s="6" t="s">
        <v>2022</v>
      </c>
      <c r="D335" s="8" t="s">
        <v>2044</v>
      </c>
      <c r="E335" s="8" t="s">
        <v>2047</v>
      </c>
      <c r="F335" s="43" t="s">
        <v>2048</v>
      </c>
      <c r="G335" s="43" t="s">
        <v>2009</v>
      </c>
      <c r="H335" s="50">
        <v>0.6139</v>
      </c>
      <c r="I335" s="50">
        <v>0.27779999999999999</v>
      </c>
      <c r="J335" s="50">
        <v>1.3567</v>
      </c>
      <c r="K335" s="50">
        <v>0.22780568636200729</v>
      </c>
      <c r="L335" s="6">
        <v>2992</v>
      </c>
      <c r="M335" s="57">
        <v>243</v>
      </c>
      <c r="N335" s="57"/>
      <c r="O335" s="57"/>
      <c r="P335" s="57"/>
      <c r="Q335" s="57"/>
      <c r="R335" s="57"/>
      <c r="S335" s="57"/>
      <c r="T335" s="57" t="s">
        <v>2027</v>
      </c>
      <c r="U335" s="57" t="s">
        <v>2024</v>
      </c>
    </row>
    <row r="336" spans="1:21" ht="18" customHeight="1" x14ac:dyDescent="0.15">
      <c r="A336" s="5" t="s">
        <v>2021</v>
      </c>
      <c r="B336" s="6" t="s">
        <v>2047</v>
      </c>
      <c r="C336" s="6" t="s">
        <v>2022</v>
      </c>
      <c r="D336" s="8" t="s">
        <v>2044</v>
      </c>
      <c r="E336" s="8" t="s">
        <v>2047</v>
      </c>
      <c r="F336" s="43" t="s">
        <v>2048</v>
      </c>
      <c r="G336" s="43" t="s">
        <v>2009</v>
      </c>
      <c r="H336" s="50">
        <v>1.5832999999999999</v>
      </c>
      <c r="I336" s="50">
        <v>1.4805999999999999</v>
      </c>
      <c r="J336" s="50">
        <v>1.6932</v>
      </c>
      <c r="K336" s="50">
        <v>4.555037050258722E-41</v>
      </c>
      <c r="L336" s="6">
        <v>373162</v>
      </c>
      <c r="M336" s="57">
        <v>13596</v>
      </c>
      <c r="N336" s="57"/>
      <c r="O336" s="57"/>
      <c r="P336" s="57"/>
      <c r="Q336" s="57"/>
      <c r="R336" s="57"/>
      <c r="S336" s="57"/>
      <c r="T336" s="57" t="s">
        <v>2027</v>
      </c>
      <c r="U336" s="57" t="s">
        <v>2025</v>
      </c>
    </row>
    <row r="337" spans="1:21" ht="18" customHeight="1" x14ac:dyDescent="0.15">
      <c r="A337" s="5" t="s">
        <v>2021</v>
      </c>
      <c r="B337" s="6" t="s">
        <v>2047</v>
      </c>
      <c r="C337" s="6" t="s">
        <v>2022</v>
      </c>
      <c r="D337" s="8" t="s">
        <v>2044</v>
      </c>
      <c r="E337" s="8" t="s">
        <v>2047</v>
      </c>
      <c r="F337" s="43" t="s">
        <v>2048</v>
      </c>
      <c r="G337" s="43" t="s">
        <v>2009</v>
      </c>
      <c r="H337" s="50">
        <v>1.1768000000000001</v>
      </c>
      <c r="I337" s="50">
        <v>1.0549999999999999</v>
      </c>
      <c r="J337" s="50">
        <v>1.3127</v>
      </c>
      <c r="K337" s="50">
        <v>3.49751086685012E-3</v>
      </c>
      <c r="L337" s="6">
        <v>43217</v>
      </c>
      <c r="M337" s="57">
        <v>5556</v>
      </c>
      <c r="N337" s="57"/>
      <c r="O337" s="57"/>
      <c r="P337" s="57"/>
      <c r="Q337" s="57"/>
      <c r="R337" s="57"/>
      <c r="S337" s="57"/>
      <c r="T337" s="57" t="s">
        <v>2027</v>
      </c>
      <c r="U337" s="57" t="s">
        <v>2026</v>
      </c>
    </row>
    <row r="338" spans="1:21" ht="18" customHeight="1" x14ac:dyDescent="0.15">
      <c r="A338" s="5" t="s">
        <v>2021</v>
      </c>
      <c r="B338" s="6" t="s">
        <v>2047</v>
      </c>
      <c r="C338" s="6" t="s">
        <v>2022</v>
      </c>
      <c r="D338" s="8" t="s">
        <v>2044</v>
      </c>
      <c r="E338" s="8" t="s">
        <v>2047</v>
      </c>
      <c r="F338" s="43" t="s">
        <v>2048</v>
      </c>
      <c r="G338" s="43" t="s">
        <v>2009</v>
      </c>
      <c r="H338" s="50">
        <v>1.4052</v>
      </c>
      <c r="I338" s="50">
        <v>1.3149999999999999</v>
      </c>
      <c r="J338" s="50">
        <v>1.5016</v>
      </c>
      <c r="K338" s="50">
        <v>9.3770934518353427E-24</v>
      </c>
      <c r="L338" s="6">
        <v>274786</v>
      </c>
      <c r="M338" s="57">
        <v>15292</v>
      </c>
      <c r="N338" s="57"/>
      <c r="O338" s="57"/>
      <c r="P338" s="57"/>
      <c r="Q338" s="57"/>
      <c r="R338" s="57"/>
      <c r="S338" s="57"/>
      <c r="T338" s="57" t="s">
        <v>2028</v>
      </c>
      <c r="U338" s="57" t="s">
        <v>2029</v>
      </c>
    </row>
    <row r="339" spans="1:21" ht="18" customHeight="1" x14ac:dyDescent="0.15">
      <c r="A339" s="5" t="s">
        <v>2021</v>
      </c>
      <c r="B339" s="6" t="s">
        <v>2047</v>
      </c>
      <c r="C339" s="6" t="s">
        <v>2022</v>
      </c>
      <c r="D339" s="8" t="s">
        <v>2044</v>
      </c>
      <c r="E339" s="8" t="s">
        <v>2047</v>
      </c>
      <c r="F339" s="43" t="s">
        <v>2048</v>
      </c>
      <c r="G339" s="43" t="s">
        <v>2009</v>
      </c>
      <c r="H339" s="50">
        <v>1.8391999999999999</v>
      </c>
      <c r="I339" s="50">
        <v>1.6412</v>
      </c>
      <c r="J339" s="50">
        <v>2.0611000000000002</v>
      </c>
      <c r="K339" s="50">
        <v>1.017070452131975E-25</v>
      </c>
      <c r="L339" s="6">
        <v>144585</v>
      </c>
      <c r="M339" s="57">
        <v>4103</v>
      </c>
      <c r="N339" s="57"/>
      <c r="O339" s="57"/>
      <c r="P339" s="57"/>
      <c r="Q339" s="57"/>
      <c r="R339" s="57"/>
      <c r="S339" s="57"/>
      <c r="T339" s="57" t="s">
        <v>2028</v>
      </c>
      <c r="U339" s="57" t="s">
        <v>2030</v>
      </c>
    </row>
    <row r="340" spans="1:21" ht="18" customHeight="1" x14ac:dyDescent="0.15">
      <c r="A340" s="5" t="s">
        <v>2004</v>
      </c>
      <c r="B340" s="6" t="s">
        <v>2047</v>
      </c>
      <c r="C340" s="6" t="s">
        <v>2006</v>
      </c>
      <c r="D340" s="8" t="s">
        <v>2045</v>
      </c>
      <c r="E340" s="8" t="s">
        <v>2047</v>
      </c>
      <c r="F340" s="43" t="s">
        <v>2048</v>
      </c>
      <c r="G340" s="43" t="s">
        <v>2009</v>
      </c>
      <c r="H340" s="50">
        <v>1.6020000000000001</v>
      </c>
      <c r="I340" s="50"/>
      <c r="J340" s="50"/>
      <c r="K340" s="50"/>
      <c r="L340" s="6">
        <v>432345</v>
      </c>
      <c r="M340" s="57">
        <v>270</v>
      </c>
      <c r="N340" s="57">
        <v>25347</v>
      </c>
      <c r="O340" s="57">
        <v>18</v>
      </c>
      <c r="P340" s="57">
        <v>252532.3</v>
      </c>
      <c r="Q340" s="57">
        <v>252</v>
      </c>
      <c r="R340" s="57">
        <v>5663770</v>
      </c>
      <c r="S340" s="57">
        <v>1.6020000000000001</v>
      </c>
      <c r="T340" s="57"/>
      <c r="U340" s="57"/>
    </row>
    <row r="341" spans="1:21" ht="18" customHeight="1" x14ac:dyDescent="0.15">
      <c r="A341" s="5" t="s">
        <v>2004</v>
      </c>
      <c r="B341" s="6" t="s">
        <v>2047</v>
      </c>
      <c r="C341" s="6" t="s">
        <v>2010</v>
      </c>
      <c r="D341" s="8" t="s">
        <v>2045</v>
      </c>
      <c r="E341" s="8" t="s">
        <v>2047</v>
      </c>
      <c r="F341" s="43" t="s">
        <v>2048</v>
      </c>
      <c r="G341" s="43" t="s">
        <v>2009</v>
      </c>
      <c r="H341" s="50">
        <v>1.6020000000000001</v>
      </c>
      <c r="I341" s="50">
        <v>0.99319999999999997</v>
      </c>
      <c r="J341" s="50">
        <v>2.5838000000000001</v>
      </c>
      <c r="K341" s="50">
        <v>5.3338738834425803E-2</v>
      </c>
      <c r="L341" s="6">
        <v>432345</v>
      </c>
      <c r="M341" s="57">
        <v>270</v>
      </c>
      <c r="N341" s="57">
        <v>25347</v>
      </c>
      <c r="O341" s="57">
        <v>18</v>
      </c>
      <c r="P341" s="57">
        <v>252532.3</v>
      </c>
      <c r="Q341" s="57">
        <v>252</v>
      </c>
      <c r="R341" s="57">
        <v>5663770</v>
      </c>
      <c r="S341" s="57">
        <v>1.6020000000000001</v>
      </c>
      <c r="T341" s="57"/>
      <c r="U341" s="57"/>
    </row>
    <row r="342" spans="1:21" ht="18" customHeight="1" x14ac:dyDescent="0.15">
      <c r="A342" s="5" t="s">
        <v>2004</v>
      </c>
      <c r="B342" s="6" t="s">
        <v>2047</v>
      </c>
      <c r="C342" s="6" t="s">
        <v>2011</v>
      </c>
      <c r="D342" s="8" t="s">
        <v>2045</v>
      </c>
      <c r="E342" s="8" t="s">
        <v>2047</v>
      </c>
      <c r="F342" s="43" t="s">
        <v>2048</v>
      </c>
      <c r="G342" s="43" t="s">
        <v>2009</v>
      </c>
      <c r="H342" s="50">
        <v>1.6978</v>
      </c>
      <c r="I342" s="50">
        <v>1.0503</v>
      </c>
      <c r="J342" s="50">
        <v>2.7444000000000002</v>
      </c>
      <c r="K342" s="50">
        <v>3.075194812630137E-2</v>
      </c>
      <c r="L342" s="6">
        <v>432345</v>
      </c>
      <c r="M342" s="57">
        <v>270</v>
      </c>
      <c r="N342" s="57">
        <v>25347</v>
      </c>
      <c r="O342" s="57">
        <v>18</v>
      </c>
      <c r="P342" s="57">
        <v>252532.3</v>
      </c>
      <c r="Q342" s="57">
        <v>252</v>
      </c>
      <c r="R342" s="57">
        <v>5663770</v>
      </c>
      <c r="S342" s="57">
        <v>1.6020000000000001</v>
      </c>
      <c r="T342" s="57"/>
      <c r="U342" s="57"/>
    </row>
    <row r="343" spans="1:21" ht="18" customHeight="1" x14ac:dyDescent="0.15">
      <c r="A343" s="5" t="s">
        <v>2004</v>
      </c>
      <c r="B343" s="6" t="s">
        <v>2047</v>
      </c>
      <c r="C343" s="6" t="s">
        <v>2012</v>
      </c>
      <c r="D343" s="8" t="s">
        <v>2045</v>
      </c>
      <c r="E343" s="8" t="s">
        <v>2047</v>
      </c>
      <c r="F343" s="43" t="s">
        <v>2048</v>
      </c>
      <c r="G343" s="43" t="s">
        <v>2009</v>
      </c>
      <c r="H343" s="50">
        <v>1.6412</v>
      </c>
      <c r="I343" s="50">
        <v>1.0145999999999999</v>
      </c>
      <c r="J343" s="50">
        <v>2.6547999999999998</v>
      </c>
      <c r="K343" s="50">
        <v>4.3494767866870891E-2</v>
      </c>
      <c r="L343" s="6">
        <v>432345</v>
      </c>
      <c r="M343" s="57">
        <v>270</v>
      </c>
      <c r="N343" s="57">
        <v>25347</v>
      </c>
      <c r="O343" s="57">
        <v>18</v>
      </c>
      <c r="P343" s="57">
        <v>252532.3</v>
      </c>
      <c r="Q343" s="57">
        <v>252</v>
      </c>
      <c r="R343" s="57">
        <v>5663770</v>
      </c>
      <c r="S343" s="57">
        <v>1.6020000000000001</v>
      </c>
      <c r="T343" s="57"/>
      <c r="U343" s="57"/>
    </row>
    <row r="344" spans="1:21" ht="18" customHeight="1" x14ac:dyDescent="0.15">
      <c r="A344" s="5" t="s">
        <v>2004</v>
      </c>
      <c r="B344" s="6" t="s">
        <v>2047</v>
      </c>
      <c r="C344" s="6" t="s">
        <v>2013</v>
      </c>
      <c r="D344" s="8" t="s">
        <v>2045</v>
      </c>
      <c r="E344" s="8" t="s">
        <v>2047</v>
      </c>
      <c r="F344" s="43" t="s">
        <v>2048</v>
      </c>
      <c r="G344" s="43" t="s">
        <v>2009</v>
      </c>
      <c r="H344" s="50">
        <v>1.589</v>
      </c>
      <c r="I344" s="50">
        <v>0.97740000000000005</v>
      </c>
      <c r="J344" s="50">
        <v>2.5834000000000001</v>
      </c>
      <c r="K344" s="50">
        <v>6.1790692660894819E-2</v>
      </c>
      <c r="L344" s="6">
        <v>432345</v>
      </c>
      <c r="M344" s="57">
        <v>270</v>
      </c>
      <c r="N344" s="57">
        <v>25347</v>
      </c>
      <c r="O344" s="57">
        <v>18</v>
      </c>
      <c r="P344" s="57">
        <v>252532.3</v>
      </c>
      <c r="Q344" s="57">
        <v>252</v>
      </c>
      <c r="R344" s="57">
        <v>5663770</v>
      </c>
      <c r="S344" s="57">
        <v>1.6020000000000001</v>
      </c>
      <c r="T344" s="57"/>
      <c r="U344" s="57"/>
    </row>
    <row r="345" spans="1:21" ht="18" customHeight="1" x14ac:dyDescent="0.15">
      <c r="A345" s="5" t="s">
        <v>2004</v>
      </c>
      <c r="B345" s="6" t="s">
        <v>2047</v>
      </c>
      <c r="C345" s="6" t="s">
        <v>2006</v>
      </c>
      <c r="D345" s="8" t="s">
        <v>2046</v>
      </c>
      <c r="E345" s="8" t="s">
        <v>2047</v>
      </c>
      <c r="F345" s="43" t="s">
        <v>2048</v>
      </c>
      <c r="G345" s="43" t="s">
        <v>2009</v>
      </c>
      <c r="H345" s="50">
        <v>2.7480000000000002</v>
      </c>
      <c r="I345" s="50"/>
      <c r="J345" s="50"/>
      <c r="K345" s="50"/>
      <c r="L345" s="6">
        <v>426667</v>
      </c>
      <c r="M345" s="57">
        <v>2853</v>
      </c>
      <c r="N345" s="57">
        <v>24162</v>
      </c>
      <c r="O345" s="57">
        <v>301</v>
      </c>
      <c r="P345" s="57">
        <v>240467.5</v>
      </c>
      <c r="Q345" s="57">
        <v>2552</v>
      </c>
      <c r="R345" s="57">
        <v>5602575</v>
      </c>
      <c r="S345" s="57">
        <v>2.7480000000000002</v>
      </c>
      <c r="T345" s="57"/>
      <c r="U345" s="57"/>
    </row>
    <row r="346" spans="1:21" ht="18" customHeight="1" x14ac:dyDescent="0.15">
      <c r="A346" s="5" t="s">
        <v>2004</v>
      </c>
      <c r="B346" s="6" t="s">
        <v>2047</v>
      </c>
      <c r="C346" s="6" t="s">
        <v>2010</v>
      </c>
      <c r="D346" s="8" t="s">
        <v>2046</v>
      </c>
      <c r="E346" s="8" t="s">
        <v>2047</v>
      </c>
      <c r="F346" s="43" t="s">
        <v>2048</v>
      </c>
      <c r="G346" s="43" t="s">
        <v>2009</v>
      </c>
      <c r="H346" s="50">
        <v>2.7480000000000002</v>
      </c>
      <c r="I346" s="50">
        <v>2.4407000000000001</v>
      </c>
      <c r="J346" s="50">
        <v>3.0939999999999999</v>
      </c>
      <c r="K346" s="50">
        <v>1.1499769864065311E-62</v>
      </c>
      <c r="L346" s="6">
        <v>426667</v>
      </c>
      <c r="M346" s="57">
        <v>2853</v>
      </c>
      <c r="N346" s="57">
        <v>24162</v>
      </c>
      <c r="O346" s="57">
        <v>301</v>
      </c>
      <c r="P346" s="57">
        <v>240467.5</v>
      </c>
      <c r="Q346" s="57">
        <v>2552</v>
      </c>
      <c r="R346" s="57">
        <v>5602575</v>
      </c>
      <c r="S346" s="57">
        <v>2.7480000000000002</v>
      </c>
      <c r="T346" s="57"/>
      <c r="U346" s="57"/>
    </row>
    <row r="347" spans="1:21" ht="18" customHeight="1" x14ac:dyDescent="0.15">
      <c r="A347" s="5" t="s">
        <v>2004</v>
      </c>
      <c r="B347" s="6" t="s">
        <v>2047</v>
      </c>
      <c r="C347" s="6" t="s">
        <v>2011</v>
      </c>
      <c r="D347" s="8" t="s">
        <v>2046</v>
      </c>
      <c r="E347" s="8" t="s">
        <v>2047</v>
      </c>
      <c r="F347" s="43" t="s">
        <v>2048</v>
      </c>
      <c r="G347" s="43" t="s">
        <v>2009</v>
      </c>
      <c r="H347" s="50">
        <v>3.1722000000000001</v>
      </c>
      <c r="I347" s="50">
        <v>2.8126000000000002</v>
      </c>
      <c r="J347" s="50">
        <v>3.5777000000000001</v>
      </c>
      <c r="K347" s="50">
        <v>6.5321067942034513E-79</v>
      </c>
      <c r="L347" s="6">
        <v>426667</v>
      </c>
      <c r="M347" s="57">
        <v>2853</v>
      </c>
      <c r="N347" s="57">
        <v>24162</v>
      </c>
      <c r="O347" s="57">
        <v>301</v>
      </c>
      <c r="P347" s="57">
        <v>240467.5</v>
      </c>
      <c r="Q347" s="57">
        <v>2552</v>
      </c>
      <c r="R347" s="57">
        <v>5602575</v>
      </c>
      <c r="S347" s="57">
        <v>2.7480000000000002</v>
      </c>
      <c r="T347" s="57"/>
      <c r="U347" s="57"/>
    </row>
    <row r="348" spans="1:21" ht="18" customHeight="1" x14ac:dyDescent="0.15">
      <c r="A348" s="5" t="s">
        <v>2004</v>
      </c>
      <c r="B348" s="6" t="s">
        <v>2047</v>
      </c>
      <c r="C348" s="6" t="s">
        <v>2012</v>
      </c>
      <c r="D348" s="8" t="s">
        <v>2046</v>
      </c>
      <c r="E348" s="8" t="s">
        <v>2047</v>
      </c>
      <c r="F348" s="43" t="s">
        <v>2048</v>
      </c>
      <c r="G348" s="43" t="s">
        <v>2009</v>
      </c>
      <c r="H348" s="50">
        <v>3.1335000000000002</v>
      </c>
      <c r="I348" s="50">
        <v>2.778</v>
      </c>
      <c r="J348" s="50">
        <v>3.5345</v>
      </c>
      <c r="K348" s="50">
        <v>3.8403098186053317E-77</v>
      </c>
      <c r="L348" s="6">
        <v>426667</v>
      </c>
      <c r="M348" s="57">
        <v>2853</v>
      </c>
      <c r="N348" s="57">
        <v>24162</v>
      </c>
      <c r="O348" s="57">
        <v>301</v>
      </c>
      <c r="P348" s="57">
        <v>240467.5</v>
      </c>
      <c r="Q348" s="57">
        <v>2552</v>
      </c>
      <c r="R348" s="57">
        <v>5602575</v>
      </c>
      <c r="S348" s="57">
        <v>2.7480000000000002</v>
      </c>
      <c r="T348" s="57"/>
      <c r="U348" s="57"/>
    </row>
    <row r="349" spans="1:21" ht="18" customHeight="1" x14ac:dyDescent="0.15">
      <c r="A349" s="5" t="s">
        <v>2004</v>
      </c>
      <c r="B349" s="6" t="s">
        <v>2047</v>
      </c>
      <c r="C349" s="6" t="s">
        <v>2013</v>
      </c>
      <c r="D349" s="8" t="s">
        <v>2046</v>
      </c>
      <c r="E349" s="8" t="s">
        <v>2047</v>
      </c>
      <c r="F349" s="43" t="s">
        <v>2048</v>
      </c>
      <c r="G349" s="43" t="s">
        <v>2009</v>
      </c>
      <c r="H349" s="50">
        <v>2.8975</v>
      </c>
      <c r="I349" s="50">
        <v>2.5531999999999999</v>
      </c>
      <c r="J349" s="50">
        <v>3.2884000000000002</v>
      </c>
      <c r="K349" s="50">
        <v>5.105408830396213E-61</v>
      </c>
      <c r="L349" s="6">
        <v>426667</v>
      </c>
      <c r="M349" s="57">
        <v>2853</v>
      </c>
      <c r="N349" s="57">
        <v>24162</v>
      </c>
      <c r="O349" s="57">
        <v>301</v>
      </c>
      <c r="P349" s="57">
        <v>240467.5</v>
      </c>
      <c r="Q349" s="57">
        <v>2552</v>
      </c>
      <c r="R349" s="57">
        <v>5602575</v>
      </c>
      <c r="S349" s="57">
        <v>2.7480000000000002</v>
      </c>
      <c r="T349" s="57"/>
      <c r="U349" s="57"/>
    </row>
    <row r="350" spans="1:21" ht="18" customHeight="1" x14ac:dyDescent="0.15">
      <c r="A350" s="5" t="s">
        <v>2014</v>
      </c>
      <c r="B350" s="6" t="s">
        <v>2047</v>
      </c>
      <c r="C350" s="6" t="s">
        <v>2015</v>
      </c>
      <c r="D350" s="8" t="s">
        <v>2046</v>
      </c>
      <c r="E350" s="8" t="s">
        <v>2047</v>
      </c>
      <c r="F350" s="43" t="s">
        <v>2048</v>
      </c>
      <c r="G350" s="43" t="s">
        <v>2009</v>
      </c>
      <c r="H350" s="50">
        <v>2.7480000000000002</v>
      </c>
      <c r="I350" s="50">
        <v>2.4407000000000001</v>
      </c>
      <c r="J350" s="50">
        <v>3.0939999999999999</v>
      </c>
      <c r="K350" s="50">
        <v>1.1499769864065311E-62</v>
      </c>
      <c r="L350" s="6">
        <v>426667</v>
      </c>
      <c r="M350" s="57">
        <v>2853</v>
      </c>
      <c r="N350" s="57"/>
      <c r="O350" s="57"/>
      <c r="P350" s="57"/>
      <c r="Q350" s="57"/>
      <c r="R350" s="57"/>
      <c r="S350" s="57"/>
      <c r="T350" s="57"/>
      <c r="U350" s="57"/>
    </row>
    <row r="351" spans="1:21" ht="18" customHeight="1" x14ac:dyDescent="0.15">
      <c r="A351" s="5" t="s">
        <v>2014</v>
      </c>
      <c r="B351" s="6" t="s">
        <v>2047</v>
      </c>
      <c r="C351" s="6" t="s">
        <v>2016</v>
      </c>
      <c r="D351" s="8" t="s">
        <v>2046</v>
      </c>
      <c r="E351" s="8" t="s">
        <v>2047</v>
      </c>
      <c r="F351" s="43" t="s">
        <v>2048</v>
      </c>
      <c r="G351" s="43" t="s">
        <v>2009</v>
      </c>
      <c r="H351" s="50">
        <v>3.1722000000000001</v>
      </c>
      <c r="I351" s="50">
        <v>2.8126000000000002</v>
      </c>
      <c r="J351" s="50">
        <v>3.5777000000000001</v>
      </c>
      <c r="K351" s="50">
        <v>6.5321067942034513E-79</v>
      </c>
      <c r="L351" s="6">
        <v>426667</v>
      </c>
      <c r="M351" s="57">
        <v>2853</v>
      </c>
      <c r="N351" s="57"/>
      <c r="O351" s="57"/>
      <c r="P351" s="57"/>
      <c r="Q351" s="57"/>
      <c r="R351" s="57"/>
      <c r="S351" s="57"/>
      <c r="T351" s="57"/>
      <c r="U351" s="57"/>
    </row>
    <row r="352" spans="1:21" ht="18" customHeight="1" x14ac:dyDescent="0.15">
      <c r="A352" s="5" t="s">
        <v>2014</v>
      </c>
      <c r="B352" s="6" t="s">
        <v>2047</v>
      </c>
      <c r="C352" s="6" t="s">
        <v>2017</v>
      </c>
      <c r="D352" s="8" t="s">
        <v>2046</v>
      </c>
      <c r="E352" s="8" t="s">
        <v>2047</v>
      </c>
      <c r="F352" s="43" t="s">
        <v>2048</v>
      </c>
      <c r="G352" s="43" t="s">
        <v>2009</v>
      </c>
      <c r="H352" s="50">
        <v>2.97</v>
      </c>
      <c r="I352" s="50">
        <v>2.6335000000000002</v>
      </c>
      <c r="J352" s="50">
        <v>3.3494000000000002</v>
      </c>
      <c r="K352" s="50">
        <v>1.92025790041442E-70</v>
      </c>
      <c r="L352" s="6">
        <v>426667</v>
      </c>
      <c r="M352" s="57">
        <v>2853</v>
      </c>
      <c r="N352" s="57"/>
      <c r="O352" s="57"/>
      <c r="P352" s="57"/>
      <c r="Q352" s="57"/>
      <c r="R352" s="57"/>
      <c r="S352" s="57"/>
      <c r="T352" s="57"/>
      <c r="U352" s="57"/>
    </row>
    <row r="353" spans="1:21" ht="18" customHeight="1" x14ac:dyDescent="0.15">
      <c r="A353" s="5" t="s">
        <v>2014</v>
      </c>
      <c r="B353" s="6" t="s">
        <v>2047</v>
      </c>
      <c r="C353" s="6" t="s">
        <v>2018</v>
      </c>
      <c r="D353" s="8" t="s">
        <v>2046</v>
      </c>
      <c r="E353" s="8" t="s">
        <v>2047</v>
      </c>
      <c r="F353" s="43" t="s">
        <v>2048</v>
      </c>
      <c r="G353" s="43" t="s">
        <v>2009</v>
      </c>
      <c r="H353" s="50">
        <v>3.0373999999999999</v>
      </c>
      <c r="I353" s="50">
        <v>2.5272999999999999</v>
      </c>
      <c r="J353" s="50">
        <v>3.6505000000000001</v>
      </c>
      <c r="K353" s="50">
        <v>2.31477124171767E-32</v>
      </c>
      <c r="L353" s="6">
        <v>426667</v>
      </c>
      <c r="M353" s="57">
        <v>2853</v>
      </c>
      <c r="N353" s="57"/>
      <c r="O353" s="57"/>
      <c r="P353" s="57"/>
      <c r="Q353" s="57"/>
      <c r="R353" s="57"/>
      <c r="S353" s="57"/>
      <c r="T353" s="57"/>
      <c r="U353" s="57"/>
    </row>
    <row r="354" spans="1:21" ht="18" customHeight="1" x14ac:dyDescent="0.15">
      <c r="A354" s="5" t="s">
        <v>2014</v>
      </c>
      <c r="B354" s="6" t="s">
        <v>2047</v>
      </c>
      <c r="C354" s="6" t="s">
        <v>2019</v>
      </c>
      <c r="D354" s="8" t="s">
        <v>2046</v>
      </c>
      <c r="E354" s="8" t="s">
        <v>2047</v>
      </c>
      <c r="F354" s="43" t="s">
        <v>2048</v>
      </c>
      <c r="G354" s="43" t="s">
        <v>1816</v>
      </c>
      <c r="H354" s="50">
        <v>3.9119999999999999</v>
      </c>
      <c r="I354" s="50">
        <v>3.2282000000000002</v>
      </c>
      <c r="J354" s="50">
        <v>4.7407000000000004</v>
      </c>
      <c r="K354" s="50">
        <v>5.1277045326786605E-44</v>
      </c>
      <c r="L354" s="6">
        <v>423676</v>
      </c>
      <c r="M354" s="57">
        <v>799</v>
      </c>
      <c r="N354" s="57"/>
      <c r="O354" s="57"/>
      <c r="P354" s="57"/>
      <c r="Q354" s="57"/>
      <c r="R354" s="57"/>
      <c r="S354" s="57"/>
      <c r="T354" s="57"/>
      <c r="U354" s="57"/>
    </row>
    <row r="355" spans="1:21" ht="18" customHeight="1" x14ac:dyDescent="0.15">
      <c r="A355" s="5" t="s">
        <v>2014</v>
      </c>
      <c r="B355" s="6" t="s">
        <v>2047</v>
      </c>
      <c r="C355" s="6" t="s">
        <v>2020</v>
      </c>
      <c r="D355" s="8" t="s">
        <v>2046</v>
      </c>
      <c r="E355" s="8" t="s">
        <v>2047</v>
      </c>
      <c r="F355" s="43" t="s">
        <v>2048</v>
      </c>
      <c r="G355" s="43" t="s">
        <v>2009</v>
      </c>
      <c r="H355" s="50">
        <v>3.1473</v>
      </c>
      <c r="I355" s="50">
        <v>2.7902999999999998</v>
      </c>
      <c r="J355" s="50">
        <v>3.5501</v>
      </c>
      <c r="K355" s="50">
        <v>9.87772938448395E-78</v>
      </c>
      <c r="L355" s="6">
        <v>423677</v>
      </c>
      <c r="M355" s="57">
        <v>2847</v>
      </c>
      <c r="N355" s="57"/>
      <c r="O355" s="57"/>
      <c r="P355" s="57"/>
      <c r="Q355" s="57"/>
      <c r="R355" s="57"/>
      <c r="S355" s="57"/>
      <c r="T355" s="57"/>
      <c r="U355" s="57"/>
    </row>
    <row r="356" spans="1:21" ht="18" customHeight="1" x14ac:dyDescent="0.15">
      <c r="A356" s="5" t="s">
        <v>2021</v>
      </c>
      <c r="B356" s="6" t="s">
        <v>2047</v>
      </c>
      <c r="C356" s="6" t="s">
        <v>2022</v>
      </c>
      <c r="D356" s="8" t="s">
        <v>2046</v>
      </c>
      <c r="E356" s="8" t="s">
        <v>2047</v>
      </c>
      <c r="F356" s="43" t="s">
        <v>2048</v>
      </c>
      <c r="G356" s="43" t="s">
        <v>2009</v>
      </c>
      <c r="H356" s="50">
        <v>2.7471999999999999</v>
      </c>
      <c r="I356" s="50">
        <v>0.79959999999999998</v>
      </c>
      <c r="J356" s="50">
        <v>9.4388000000000005</v>
      </c>
      <c r="K356" s="50">
        <v>0.1085460949524517</v>
      </c>
      <c r="L356" s="6">
        <v>4211</v>
      </c>
      <c r="M356" s="57">
        <v>36</v>
      </c>
      <c r="N356" s="57"/>
      <c r="O356" s="57"/>
      <c r="P356" s="57"/>
      <c r="Q356" s="57"/>
      <c r="R356" s="57"/>
      <c r="S356" s="57"/>
      <c r="T356" s="57" t="s">
        <v>2023</v>
      </c>
      <c r="U356" s="57" t="s">
        <v>2024</v>
      </c>
    </row>
    <row r="357" spans="1:21" ht="18" customHeight="1" x14ac:dyDescent="0.15">
      <c r="A357" s="5" t="s">
        <v>2021</v>
      </c>
      <c r="B357" s="6" t="s">
        <v>2047</v>
      </c>
      <c r="C357" s="6" t="s">
        <v>2022</v>
      </c>
      <c r="D357" s="8" t="s">
        <v>2046</v>
      </c>
      <c r="E357" s="8" t="s">
        <v>2047</v>
      </c>
      <c r="F357" s="43" t="s">
        <v>2048</v>
      </c>
      <c r="G357" s="43" t="s">
        <v>2009</v>
      </c>
      <c r="H357" s="50">
        <v>3.2113</v>
      </c>
      <c r="I357" s="50">
        <v>2.6503000000000001</v>
      </c>
      <c r="J357" s="50">
        <v>3.8912</v>
      </c>
      <c r="K357" s="50">
        <v>1.0705799577951021E-32</v>
      </c>
      <c r="L357" s="6">
        <v>285009</v>
      </c>
      <c r="M357" s="57">
        <v>1210</v>
      </c>
      <c r="N357" s="57"/>
      <c r="O357" s="57"/>
      <c r="P357" s="57"/>
      <c r="Q357" s="57"/>
      <c r="R357" s="57"/>
      <c r="S357" s="57"/>
      <c r="T357" s="57" t="s">
        <v>2023</v>
      </c>
      <c r="U357" s="57" t="s">
        <v>2025</v>
      </c>
    </row>
    <row r="358" spans="1:21" ht="18" customHeight="1" x14ac:dyDescent="0.15">
      <c r="A358" s="5" t="s">
        <v>2021</v>
      </c>
      <c r="B358" s="6" t="s">
        <v>2047</v>
      </c>
      <c r="C358" s="6" t="s">
        <v>2022</v>
      </c>
      <c r="D358" s="8" t="s">
        <v>2046</v>
      </c>
      <c r="E358" s="8" t="s">
        <v>2047</v>
      </c>
      <c r="F358" s="43" t="s">
        <v>2048</v>
      </c>
      <c r="G358" s="43" t="s">
        <v>2009</v>
      </c>
      <c r="H358" s="50">
        <v>2.8906999999999998</v>
      </c>
      <c r="I358" s="50">
        <v>2.4754999999999998</v>
      </c>
      <c r="J358" s="50">
        <v>3.3755000000000002</v>
      </c>
      <c r="K358" s="50">
        <v>4.7145202404960156E-41</v>
      </c>
      <c r="L358" s="6">
        <v>137447</v>
      </c>
      <c r="M358" s="57">
        <v>1607</v>
      </c>
      <c r="N358" s="57"/>
      <c r="O358" s="57"/>
      <c r="P358" s="57"/>
      <c r="Q358" s="57"/>
      <c r="R358" s="57"/>
      <c r="S358" s="57"/>
      <c r="T358" s="57" t="s">
        <v>2023</v>
      </c>
      <c r="U358" s="57" t="s">
        <v>2026</v>
      </c>
    </row>
    <row r="359" spans="1:21" ht="18" customHeight="1" x14ac:dyDescent="0.15">
      <c r="A359" s="5" t="s">
        <v>2021</v>
      </c>
      <c r="B359" s="6" t="s">
        <v>2047</v>
      </c>
      <c r="C359" s="6" t="s">
        <v>2022</v>
      </c>
      <c r="D359" s="8" t="s">
        <v>2046</v>
      </c>
      <c r="E359" s="8" t="s">
        <v>2047</v>
      </c>
      <c r="F359" s="43" t="s">
        <v>2048</v>
      </c>
      <c r="G359" s="43" t="s">
        <v>2009</v>
      </c>
      <c r="H359" s="50">
        <v>3.2757000000000001</v>
      </c>
      <c r="I359" s="50">
        <v>0.92059999999999997</v>
      </c>
      <c r="J359" s="50">
        <v>11.655200000000001</v>
      </c>
      <c r="K359" s="50">
        <v>6.6913544017136811E-2</v>
      </c>
      <c r="L359" s="6">
        <v>3098</v>
      </c>
      <c r="M359" s="57">
        <v>28</v>
      </c>
      <c r="N359" s="57"/>
      <c r="O359" s="57"/>
      <c r="P359" s="57"/>
      <c r="Q359" s="57"/>
      <c r="R359" s="57"/>
      <c r="S359" s="57"/>
      <c r="T359" s="57" t="s">
        <v>2027</v>
      </c>
      <c r="U359" s="57" t="s">
        <v>2024</v>
      </c>
    </row>
    <row r="360" spans="1:21" ht="18" customHeight="1" x14ac:dyDescent="0.15">
      <c r="A360" s="5" t="s">
        <v>2021</v>
      </c>
      <c r="B360" s="6" t="s">
        <v>2047</v>
      </c>
      <c r="C360" s="6" t="s">
        <v>2022</v>
      </c>
      <c r="D360" s="8" t="s">
        <v>2046</v>
      </c>
      <c r="E360" s="8" t="s">
        <v>2047</v>
      </c>
      <c r="F360" s="43" t="s">
        <v>2048</v>
      </c>
      <c r="G360" s="43" t="s">
        <v>2009</v>
      </c>
      <c r="H360" s="50">
        <v>3.0951</v>
      </c>
      <c r="I360" s="50">
        <v>2.6852</v>
      </c>
      <c r="J360" s="50">
        <v>3.5676000000000001</v>
      </c>
      <c r="K360" s="50">
        <v>8.8636319898779577E-55</v>
      </c>
      <c r="L360" s="6">
        <v>376575</v>
      </c>
      <c r="M360" s="57">
        <v>2132</v>
      </c>
      <c r="N360" s="57"/>
      <c r="O360" s="57"/>
      <c r="P360" s="57"/>
      <c r="Q360" s="57"/>
      <c r="R360" s="57"/>
      <c r="S360" s="57"/>
      <c r="T360" s="57" t="s">
        <v>2027</v>
      </c>
      <c r="U360" s="57" t="s">
        <v>2025</v>
      </c>
    </row>
    <row r="361" spans="1:21" ht="18" customHeight="1" x14ac:dyDescent="0.15">
      <c r="A361" s="5" t="s">
        <v>2021</v>
      </c>
      <c r="B361" s="6" t="s">
        <v>2047</v>
      </c>
      <c r="C361" s="6" t="s">
        <v>2022</v>
      </c>
      <c r="D361" s="8" t="s">
        <v>2046</v>
      </c>
      <c r="E361" s="8" t="s">
        <v>2047</v>
      </c>
      <c r="F361" s="43" t="s">
        <v>2048</v>
      </c>
      <c r="G361" s="43" t="s">
        <v>2009</v>
      </c>
      <c r="H361" s="50">
        <v>3.0626000000000002</v>
      </c>
      <c r="I361" s="50">
        <v>2.4363000000000001</v>
      </c>
      <c r="J361" s="50">
        <v>3.8498999999999999</v>
      </c>
      <c r="K361" s="50">
        <v>8.9658382404723832E-22</v>
      </c>
      <c r="L361" s="6">
        <v>46994</v>
      </c>
      <c r="M361" s="57">
        <v>693</v>
      </c>
      <c r="N361" s="57"/>
      <c r="O361" s="57"/>
      <c r="P361" s="57"/>
      <c r="Q361" s="57"/>
      <c r="R361" s="57"/>
      <c r="S361" s="57"/>
      <c r="T361" s="57" t="s">
        <v>2027</v>
      </c>
      <c r="U361" s="57" t="s">
        <v>2026</v>
      </c>
    </row>
    <row r="362" spans="1:21" ht="18" customHeight="1" x14ac:dyDescent="0.15">
      <c r="A362" s="5" t="s">
        <v>2021</v>
      </c>
      <c r="B362" s="6" t="s">
        <v>2047</v>
      </c>
      <c r="C362" s="6" t="s">
        <v>2022</v>
      </c>
      <c r="D362" s="8" t="s">
        <v>2046</v>
      </c>
      <c r="E362" s="8" t="s">
        <v>2047</v>
      </c>
      <c r="F362" s="43" t="s">
        <v>2048</v>
      </c>
      <c r="G362" s="43" t="s">
        <v>2009</v>
      </c>
      <c r="H362" s="50">
        <v>3.4655</v>
      </c>
      <c r="I362" s="50">
        <v>3.0291000000000001</v>
      </c>
      <c r="J362" s="50">
        <v>3.9647000000000001</v>
      </c>
      <c r="K362" s="50">
        <v>3.1844532318517781E-73</v>
      </c>
      <c r="L362" s="6">
        <v>280486</v>
      </c>
      <c r="M362" s="57">
        <v>2123</v>
      </c>
      <c r="N362" s="57"/>
      <c r="O362" s="57"/>
      <c r="P362" s="57"/>
      <c r="Q362" s="57"/>
      <c r="R362" s="57"/>
      <c r="S362" s="57"/>
      <c r="T362" s="57" t="s">
        <v>2028</v>
      </c>
      <c r="U362" s="57" t="s">
        <v>2029</v>
      </c>
    </row>
    <row r="363" spans="1:21" ht="18" customHeight="1" x14ac:dyDescent="0.15">
      <c r="A363" s="5" t="s">
        <v>2021</v>
      </c>
      <c r="B363" s="6" t="s">
        <v>2047</v>
      </c>
      <c r="C363" s="6" t="s">
        <v>2022</v>
      </c>
      <c r="D363" s="8" t="s">
        <v>2046</v>
      </c>
      <c r="E363" s="8" t="s">
        <v>2047</v>
      </c>
      <c r="F363" s="43" t="s">
        <v>2048</v>
      </c>
      <c r="G363" s="43" t="s">
        <v>2009</v>
      </c>
      <c r="H363" s="50">
        <v>2.4518</v>
      </c>
      <c r="I363" s="50">
        <v>1.8753</v>
      </c>
      <c r="J363" s="50">
        <v>3.2057000000000002</v>
      </c>
      <c r="K363" s="50">
        <v>5.5074344264399549E-11</v>
      </c>
      <c r="L363" s="6">
        <v>146181</v>
      </c>
      <c r="M363" s="57">
        <v>730</v>
      </c>
      <c r="N363" s="57"/>
      <c r="O363" s="57"/>
      <c r="P363" s="57"/>
      <c r="Q363" s="57"/>
      <c r="R363" s="57"/>
      <c r="S363" s="57"/>
      <c r="T363" s="57" t="s">
        <v>2028</v>
      </c>
      <c r="U363" s="57" t="s">
        <v>2030</v>
      </c>
    </row>
    <row r="364" spans="1:21" ht="18" customHeight="1" x14ac:dyDescent="0.15">
      <c r="A364" s="5" t="s">
        <v>2004</v>
      </c>
      <c r="B364" s="6" t="s">
        <v>2049</v>
      </c>
      <c r="C364" s="6" t="s">
        <v>2006</v>
      </c>
      <c r="D364" s="8" t="s">
        <v>2007</v>
      </c>
      <c r="E364" s="8" t="s">
        <v>2049</v>
      </c>
      <c r="F364" s="43" t="s">
        <v>2050</v>
      </c>
      <c r="G364" s="43" t="s">
        <v>2009</v>
      </c>
      <c r="H364" s="50">
        <v>2.4540000000000002</v>
      </c>
      <c r="I364" s="50"/>
      <c r="J364" s="50"/>
      <c r="K364" s="50"/>
      <c r="L364" s="6">
        <v>407541</v>
      </c>
      <c r="M364" s="57">
        <v>42257</v>
      </c>
      <c r="N364" s="57">
        <v>19107</v>
      </c>
      <c r="O364" s="57">
        <v>1389</v>
      </c>
      <c r="P364" s="57">
        <v>75798.7</v>
      </c>
      <c r="Q364" s="57">
        <v>40868</v>
      </c>
      <c r="R364" s="57">
        <v>5472798.2000000002</v>
      </c>
      <c r="S364" s="57">
        <v>2.4540000000000002</v>
      </c>
      <c r="T364" s="57"/>
      <c r="U364" s="57"/>
    </row>
    <row r="365" spans="1:21" ht="18" customHeight="1" x14ac:dyDescent="0.15">
      <c r="A365" s="5" t="s">
        <v>2004</v>
      </c>
      <c r="B365" s="6" t="s">
        <v>2049</v>
      </c>
      <c r="C365" s="6" t="s">
        <v>2010</v>
      </c>
      <c r="D365" s="8" t="s">
        <v>2007</v>
      </c>
      <c r="E365" s="8" t="s">
        <v>2049</v>
      </c>
      <c r="F365" s="43" t="s">
        <v>2050</v>
      </c>
      <c r="G365" s="43" t="s">
        <v>2009</v>
      </c>
      <c r="H365" s="50">
        <v>2.4540000000000002</v>
      </c>
      <c r="I365" s="50">
        <v>2.3321000000000001</v>
      </c>
      <c r="J365" s="50">
        <v>2.5821000000000001</v>
      </c>
      <c r="K365" s="50">
        <v>1.131670753066777E-261</v>
      </c>
      <c r="L365" s="6">
        <v>407541</v>
      </c>
      <c r="M365" s="57">
        <v>42257</v>
      </c>
      <c r="N365" s="57">
        <v>19107</v>
      </c>
      <c r="O365" s="57">
        <v>1389</v>
      </c>
      <c r="P365" s="57">
        <v>75798.7</v>
      </c>
      <c r="Q365" s="57">
        <v>40868</v>
      </c>
      <c r="R365" s="57">
        <v>5472798.2000000002</v>
      </c>
      <c r="S365" s="57">
        <v>2.4540000000000002</v>
      </c>
      <c r="T365" s="57"/>
      <c r="U365" s="57"/>
    </row>
    <row r="366" spans="1:21" ht="18" customHeight="1" x14ac:dyDescent="0.15">
      <c r="A366" s="5" t="s">
        <v>2004</v>
      </c>
      <c r="B366" s="6" t="s">
        <v>2049</v>
      </c>
      <c r="C366" s="6" t="s">
        <v>2011</v>
      </c>
      <c r="D366" s="8" t="s">
        <v>2007</v>
      </c>
      <c r="E366" s="8" t="s">
        <v>2049</v>
      </c>
      <c r="F366" s="43" t="s">
        <v>2050</v>
      </c>
      <c r="G366" s="43" t="s">
        <v>2009</v>
      </c>
      <c r="H366" s="50">
        <v>2.4773000000000001</v>
      </c>
      <c r="I366" s="50">
        <v>2.3506</v>
      </c>
      <c r="J366" s="50">
        <v>2.6107999999999998</v>
      </c>
      <c r="K366" s="50">
        <v>1.6898915586110591E-251</v>
      </c>
      <c r="L366" s="6">
        <v>407541</v>
      </c>
      <c r="M366" s="57">
        <v>42257</v>
      </c>
      <c r="N366" s="57">
        <v>19107</v>
      </c>
      <c r="O366" s="57">
        <v>1389</v>
      </c>
      <c r="P366" s="57">
        <v>75798.7</v>
      </c>
      <c r="Q366" s="57">
        <v>40868</v>
      </c>
      <c r="R366" s="57">
        <v>5472798.2000000002</v>
      </c>
      <c r="S366" s="57">
        <v>2.4540000000000002</v>
      </c>
      <c r="T366" s="57"/>
      <c r="U366" s="57"/>
    </row>
    <row r="367" spans="1:21" ht="18" customHeight="1" x14ac:dyDescent="0.15">
      <c r="A367" s="5" t="s">
        <v>2004</v>
      </c>
      <c r="B367" s="6" t="s">
        <v>2049</v>
      </c>
      <c r="C367" s="6" t="s">
        <v>2012</v>
      </c>
      <c r="D367" s="8" t="s">
        <v>2007</v>
      </c>
      <c r="E367" s="8" t="s">
        <v>2049</v>
      </c>
      <c r="F367" s="43" t="s">
        <v>2050</v>
      </c>
      <c r="G367" s="43" t="s">
        <v>2009</v>
      </c>
      <c r="H367" s="50">
        <v>2.2869999999999999</v>
      </c>
      <c r="I367" s="50">
        <v>2.17</v>
      </c>
      <c r="J367" s="50">
        <v>2.4102999999999999</v>
      </c>
      <c r="K367" s="50">
        <v>2.8204214541347311E-209</v>
      </c>
      <c r="L367" s="6">
        <v>407541</v>
      </c>
      <c r="M367" s="57">
        <v>42257</v>
      </c>
      <c r="N367" s="57">
        <v>19107</v>
      </c>
      <c r="O367" s="57">
        <v>1389</v>
      </c>
      <c r="P367" s="57">
        <v>75798.7</v>
      </c>
      <c r="Q367" s="57">
        <v>40868</v>
      </c>
      <c r="R367" s="57">
        <v>5472798.2000000002</v>
      </c>
      <c r="S367" s="57">
        <v>2.4540000000000002</v>
      </c>
      <c r="T367" s="57"/>
      <c r="U367" s="57"/>
    </row>
    <row r="368" spans="1:21" ht="18" customHeight="1" x14ac:dyDescent="0.15">
      <c r="A368" s="5" t="s">
        <v>2004</v>
      </c>
      <c r="B368" s="6" t="s">
        <v>2049</v>
      </c>
      <c r="C368" s="6" t="s">
        <v>2013</v>
      </c>
      <c r="D368" s="8" t="s">
        <v>2007</v>
      </c>
      <c r="E368" s="8" t="s">
        <v>2049</v>
      </c>
      <c r="F368" s="43" t="s">
        <v>2050</v>
      </c>
      <c r="G368" s="43" t="s">
        <v>2009</v>
      </c>
      <c r="H368" s="50">
        <v>2.2519</v>
      </c>
      <c r="I368" s="50">
        <v>2.1364999999999998</v>
      </c>
      <c r="J368" s="50">
        <v>2.3734000000000002</v>
      </c>
      <c r="K368" s="50">
        <v>3.552517698368732E-201</v>
      </c>
      <c r="L368" s="6">
        <v>407541</v>
      </c>
      <c r="M368" s="57">
        <v>42257</v>
      </c>
      <c r="N368" s="57">
        <v>19107</v>
      </c>
      <c r="O368" s="57">
        <v>1389</v>
      </c>
      <c r="P368" s="57">
        <v>75798.7</v>
      </c>
      <c r="Q368" s="57">
        <v>40868</v>
      </c>
      <c r="R368" s="57">
        <v>5472798.2000000002</v>
      </c>
      <c r="S368" s="57">
        <v>2.4540000000000002</v>
      </c>
      <c r="T368" s="57"/>
      <c r="U368" s="57"/>
    </row>
    <row r="369" spans="1:21" ht="18" customHeight="1" x14ac:dyDescent="0.15">
      <c r="A369" s="5" t="s">
        <v>2014</v>
      </c>
      <c r="B369" s="6" t="s">
        <v>2049</v>
      </c>
      <c r="C369" s="6" t="s">
        <v>2015</v>
      </c>
      <c r="D369" s="8" t="s">
        <v>2007</v>
      </c>
      <c r="E369" s="8" t="s">
        <v>2049</v>
      </c>
      <c r="F369" s="43" t="s">
        <v>2050</v>
      </c>
      <c r="G369" s="43" t="s">
        <v>2009</v>
      </c>
      <c r="H369" s="50">
        <v>2.4540000000000002</v>
      </c>
      <c r="I369" s="50">
        <v>2.3321000000000001</v>
      </c>
      <c r="J369" s="50">
        <v>2.5821000000000001</v>
      </c>
      <c r="K369" s="50">
        <v>1.131670753066777E-261</v>
      </c>
      <c r="L369" s="6">
        <v>407541</v>
      </c>
      <c r="M369" s="57">
        <v>42257</v>
      </c>
      <c r="N369" s="57"/>
      <c r="O369" s="57"/>
      <c r="P369" s="57"/>
      <c r="Q369" s="57"/>
      <c r="R369" s="57"/>
      <c r="S369" s="57"/>
      <c r="T369" s="57"/>
      <c r="U369" s="57"/>
    </row>
    <row r="370" spans="1:21" ht="18" customHeight="1" x14ac:dyDescent="0.15">
      <c r="A370" s="5" t="s">
        <v>2014</v>
      </c>
      <c r="B370" s="6" t="s">
        <v>2049</v>
      </c>
      <c r="C370" s="6" t="s">
        <v>2016</v>
      </c>
      <c r="D370" s="8" t="s">
        <v>2007</v>
      </c>
      <c r="E370" s="8" t="s">
        <v>2049</v>
      </c>
      <c r="F370" s="43" t="s">
        <v>2050</v>
      </c>
      <c r="G370" s="43" t="s">
        <v>2009</v>
      </c>
      <c r="H370" s="50">
        <v>2.4773000000000001</v>
      </c>
      <c r="I370" s="50">
        <v>2.3506</v>
      </c>
      <c r="J370" s="50">
        <v>2.6107999999999998</v>
      </c>
      <c r="K370" s="50">
        <v>1.6898915586110591E-251</v>
      </c>
      <c r="L370" s="6">
        <v>407541</v>
      </c>
      <c r="M370" s="57">
        <v>42257</v>
      </c>
      <c r="N370" s="57"/>
      <c r="O370" s="57"/>
      <c r="P370" s="57"/>
      <c r="Q370" s="57"/>
      <c r="R370" s="57"/>
      <c r="S370" s="57"/>
      <c r="T370" s="57"/>
      <c r="U370" s="57"/>
    </row>
    <row r="371" spans="1:21" ht="18" customHeight="1" x14ac:dyDescent="0.15">
      <c r="A371" s="5" t="s">
        <v>2014</v>
      </c>
      <c r="B371" s="6" t="s">
        <v>2049</v>
      </c>
      <c r="C371" s="6" t="s">
        <v>2017</v>
      </c>
      <c r="D371" s="8" t="s">
        <v>2007</v>
      </c>
      <c r="E371" s="8" t="s">
        <v>2049</v>
      </c>
      <c r="F371" s="43" t="s">
        <v>2050</v>
      </c>
      <c r="G371" s="43" t="s">
        <v>2009</v>
      </c>
      <c r="H371" s="50">
        <v>2.2494000000000001</v>
      </c>
      <c r="I371" s="50">
        <v>2.1339000000000001</v>
      </c>
      <c r="J371" s="50">
        <v>2.3711000000000002</v>
      </c>
      <c r="K371" s="50">
        <v>1.1987395731465509E-199</v>
      </c>
      <c r="L371" s="6">
        <v>407541</v>
      </c>
      <c r="M371" s="57">
        <v>42257</v>
      </c>
      <c r="N371" s="57"/>
      <c r="O371" s="57"/>
      <c r="P371" s="57"/>
      <c r="Q371" s="57"/>
      <c r="R371" s="57"/>
      <c r="S371" s="57"/>
      <c r="T371" s="57"/>
      <c r="U371" s="57"/>
    </row>
    <row r="372" spans="1:21" ht="18" customHeight="1" x14ac:dyDescent="0.15">
      <c r="A372" s="5" t="s">
        <v>2014</v>
      </c>
      <c r="B372" s="6" t="s">
        <v>2049</v>
      </c>
      <c r="C372" s="6" t="s">
        <v>2018</v>
      </c>
      <c r="D372" s="8" t="s">
        <v>2007</v>
      </c>
      <c r="E372" s="8" t="s">
        <v>2049</v>
      </c>
      <c r="F372" s="43" t="s">
        <v>2050</v>
      </c>
      <c r="G372" s="43" t="s">
        <v>2009</v>
      </c>
      <c r="H372" s="50">
        <v>1.8273999999999999</v>
      </c>
      <c r="I372" s="50">
        <v>1.6177999999999999</v>
      </c>
      <c r="J372" s="50">
        <v>2.0640999999999998</v>
      </c>
      <c r="K372" s="50">
        <v>3.0326272226520649E-22</v>
      </c>
      <c r="L372" s="6">
        <v>407541</v>
      </c>
      <c r="M372" s="57">
        <v>42257</v>
      </c>
      <c r="N372" s="57"/>
      <c r="O372" s="57"/>
      <c r="P372" s="57"/>
      <c r="Q372" s="57"/>
      <c r="R372" s="57"/>
      <c r="S372" s="57"/>
      <c r="T372" s="57"/>
      <c r="U372" s="57"/>
    </row>
    <row r="373" spans="1:21" ht="18" customHeight="1" x14ac:dyDescent="0.15">
      <c r="A373" s="5" t="s">
        <v>2014</v>
      </c>
      <c r="B373" s="6" t="s">
        <v>2049</v>
      </c>
      <c r="C373" s="6" t="s">
        <v>2019</v>
      </c>
      <c r="D373" s="8" t="s">
        <v>2007</v>
      </c>
      <c r="E373" s="8" t="s">
        <v>2049</v>
      </c>
      <c r="F373" s="43" t="s">
        <v>2050</v>
      </c>
      <c r="G373" s="43" t="s">
        <v>1816</v>
      </c>
      <c r="H373" s="50">
        <v>3.9914999999999998</v>
      </c>
      <c r="I373" s="50">
        <v>3.5901000000000001</v>
      </c>
      <c r="J373" s="50">
        <v>4.4377000000000004</v>
      </c>
      <c r="K373" s="50">
        <v>1.4921138630299431E-144</v>
      </c>
      <c r="L373" s="6">
        <v>398125</v>
      </c>
      <c r="M373" s="57">
        <v>5564</v>
      </c>
      <c r="N373" s="57"/>
      <c r="O373" s="57"/>
      <c r="P373" s="57"/>
      <c r="Q373" s="57"/>
      <c r="R373" s="57"/>
      <c r="S373" s="57"/>
      <c r="T373" s="57"/>
      <c r="U373" s="57"/>
    </row>
    <row r="374" spans="1:21" ht="18" customHeight="1" x14ac:dyDescent="0.15">
      <c r="A374" s="5" t="s">
        <v>2014</v>
      </c>
      <c r="B374" s="6" t="s">
        <v>2049</v>
      </c>
      <c r="C374" s="6" t="s">
        <v>2020</v>
      </c>
      <c r="D374" s="8" t="s">
        <v>2007</v>
      </c>
      <c r="E374" s="8" t="s">
        <v>2049</v>
      </c>
      <c r="F374" s="43" t="s">
        <v>2050</v>
      </c>
      <c r="G374" s="43" t="s">
        <v>2009</v>
      </c>
      <c r="H374" s="50">
        <v>2.0788000000000002</v>
      </c>
      <c r="I374" s="50">
        <v>1.9657</v>
      </c>
      <c r="J374" s="50">
        <v>2.1985000000000001</v>
      </c>
      <c r="K374" s="50">
        <v>8.593534347445209E-145</v>
      </c>
      <c r="L374" s="6">
        <v>398127</v>
      </c>
      <c r="M374" s="57">
        <v>41958</v>
      </c>
      <c r="N374" s="57"/>
      <c r="O374" s="57"/>
      <c r="P374" s="57"/>
      <c r="Q374" s="57"/>
      <c r="R374" s="57"/>
      <c r="S374" s="57"/>
      <c r="T374" s="57"/>
      <c r="U374" s="57"/>
    </row>
    <row r="375" spans="1:21" ht="18" customHeight="1" x14ac:dyDescent="0.15">
      <c r="A375" s="5" t="s">
        <v>2021</v>
      </c>
      <c r="B375" s="6" t="s">
        <v>2049</v>
      </c>
      <c r="C375" s="6" t="s">
        <v>2022</v>
      </c>
      <c r="D375" s="8" t="s">
        <v>2007</v>
      </c>
      <c r="E375" s="8" t="s">
        <v>2049</v>
      </c>
      <c r="F375" s="43" t="s">
        <v>2050</v>
      </c>
      <c r="G375" s="43" t="s">
        <v>2009</v>
      </c>
      <c r="H375" s="50">
        <v>2.7187000000000001</v>
      </c>
      <c r="I375" s="50">
        <v>1.8192999999999999</v>
      </c>
      <c r="J375" s="50">
        <v>4.0628000000000002</v>
      </c>
      <c r="K375" s="50">
        <v>1.0613964912151E-6</v>
      </c>
      <c r="L375" s="6">
        <v>4081</v>
      </c>
      <c r="M375" s="57">
        <v>655</v>
      </c>
      <c r="N375" s="57"/>
      <c r="O375" s="57"/>
      <c r="P375" s="57"/>
      <c r="Q375" s="57"/>
      <c r="R375" s="57"/>
      <c r="S375" s="57"/>
      <c r="T375" s="57" t="s">
        <v>2023</v>
      </c>
      <c r="U375" s="57" t="s">
        <v>2024</v>
      </c>
    </row>
    <row r="376" spans="1:21" ht="18" customHeight="1" x14ac:dyDescent="0.15">
      <c r="A376" s="5" t="s">
        <v>2021</v>
      </c>
      <c r="B376" s="6" t="s">
        <v>2049</v>
      </c>
      <c r="C376" s="6" t="s">
        <v>2022</v>
      </c>
      <c r="D376" s="8" t="s">
        <v>2007</v>
      </c>
      <c r="E376" s="8" t="s">
        <v>2049</v>
      </c>
      <c r="F376" s="43" t="s">
        <v>2050</v>
      </c>
      <c r="G376" s="43" t="s">
        <v>2009</v>
      </c>
      <c r="H376" s="50">
        <v>2.6427</v>
      </c>
      <c r="I376" s="50">
        <v>2.4639000000000002</v>
      </c>
      <c r="J376" s="50">
        <v>2.8344999999999998</v>
      </c>
      <c r="K376" s="50">
        <v>8.9227800644279593E-163</v>
      </c>
      <c r="L376" s="6">
        <v>297970</v>
      </c>
      <c r="M376" s="57">
        <v>22207</v>
      </c>
      <c r="N376" s="57"/>
      <c r="O376" s="57"/>
      <c r="P376" s="57"/>
      <c r="Q376" s="57"/>
      <c r="R376" s="57"/>
      <c r="S376" s="57"/>
      <c r="T376" s="57" t="s">
        <v>2023</v>
      </c>
      <c r="U376" s="57" t="s">
        <v>2025</v>
      </c>
    </row>
    <row r="377" spans="1:21" ht="18" customHeight="1" x14ac:dyDescent="0.15">
      <c r="A377" s="5" t="s">
        <v>2021</v>
      </c>
      <c r="B377" s="6" t="s">
        <v>2049</v>
      </c>
      <c r="C377" s="6" t="s">
        <v>2022</v>
      </c>
      <c r="D377" s="8" t="s">
        <v>2007</v>
      </c>
      <c r="E377" s="8" t="s">
        <v>2049</v>
      </c>
      <c r="F377" s="43" t="s">
        <v>2050</v>
      </c>
      <c r="G377" s="43" t="s">
        <v>2009</v>
      </c>
      <c r="H377" s="50">
        <v>2.1812</v>
      </c>
      <c r="I377" s="50">
        <v>2.0145</v>
      </c>
      <c r="J377" s="50">
        <v>2.3616999999999999</v>
      </c>
      <c r="K377" s="50">
        <v>2.3118784738815071E-82</v>
      </c>
      <c r="L377" s="6">
        <v>105490</v>
      </c>
      <c r="M377" s="57">
        <v>19395</v>
      </c>
      <c r="N377" s="57"/>
      <c r="O377" s="57"/>
      <c r="P377" s="57"/>
      <c r="Q377" s="57"/>
      <c r="R377" s="57"/>
      <c r="S377" s="57"/>
      <c r="T377" s="57" t="s">
        <v>2023</v>
      </c>
      <c r="U377" s="57" t="s">
        <v>2026</v>
      </c>
    </row>
    <row r="378" spans="1:21" ht="18" customHeight="1" x14ac:dyDescent="0.15">
      <c r="A378" s="5" t="s">
        <v>2021</v>
      </c>
      <c r="B378" s="6" t="s">
        <v>2049</v>
      </c>
      <c r="C378" s="6" t="s">
        <v>2022</v>
      </c>
      <c r="D378" s="8" t="s">
        <v>2007</v>
      </c>
      <c r="E378" s="8" t="s">
        <v>2049</v>
      </c>
      <c r="F378" s="43" t="s">
        <v>2050</v>
      </c>
      <c r="G378" s="43" t="s">
        <v>2009</v>
      </c>
      <c r="H378" s="50">
        <v>2.9958</v>
      </c>
      <c r="I378" s="50">
        <v>2.0133000000000001</v>
      </c>
      <c r="J378" s="50">
        <v>4.4576000000000002</v>
      </c>
      <c r="K378" s="50">
        <v>6.2664371710545361E-8</v>
      </c>
      <c r="L378" s="6">
        <v>2678</v>
      </c>
      <c r="M378" s="57">
        <v>514</v>
      </c>
      <c r="N378" s="57"/>
      <c r="O378" s="57"/>
      <c r="P378" s="57"/>
      <c r="Q378" s="57"/>
      <c r="R378" s="57"/>
      <c r="S378" s="57"/>
      <c r="T378" s="57" t="s">
        <v>2027</v>
      </c>
      <c r="U378" s="57" t="s">
        <v>2024</v>
      </c>
    </row>
    <row r="379" spans="1:21" ht="18" customHeight="1" x14ac:dyDescent="0.15">
      <c r="A379" s="5" t="s">
        <v>2021</v>
      </c>
      <c r="B379" s="6" t="s">
        <v>2049</v>
      </c>
      <c r="C379" s="6" t="s">
        <v>2022</v>
      </c>
      <c r="D379" s="8" t="s">
        <v>2007</v>
      </c>
      <c r="E379" s="8" t="s">
        <v>2049</v>
      </c>
      <c r="F379" s="43" t="s">
        <v>2050</v>
      </c>
      <c r="G379" s="43" t="s">
        <v>2009</v>
      </c>
      <c r="H379" s="50">
        <v>2.5289000000000001</v>
      </c>
      <c r="I379" s="50">
        <v>2.3879000000000001</v>
      </c>
      <c r="J379" s="50">
        <v>2.6781999999999999</v>
      </c>
      <c r="K379" s="50">
        <v>1.510333445606747E-220</v>
      </c>
      <c r="L379" s="6">
        <v>376385</v>
      </c>
      <c r="M379" s="57">
        <v>35261</v>
      </c>
      <c r="N379" s="57"/>
      <c r="O379" s="57"/>
      <c r="P379" s="57"/>
      <c r="Q379" s="57"/>
      <c r="R379" s="57"/>
      <c r="S379" s="57"/>
      <c r="T379" s="57" t="s">
        <v>2027</v>
      </c>
      <c r="U379" s="57" t="s">
        <v>2025</v>
      </c>
    </row>
    <row r="380" spans="1:21" ht="18" customHeight="1" x14ac:dyDescent="0.15">
      <c r="A380" s="5" t="s">
        <v>2021</v>
      </c>
      <c r="B380" s="6" t="s">
        <v>2049</v>
      </c>
      <c r="C380" s="6" t="s">
        <v>2022</v>
      </c>
      <c r="D380" s="8" t="s">
        <v>2007</v>
      </c>
      <c r="E380" s="8" t="s">
        <v>2049</v>
      </c>
      <c r="F380" s="43" t="s">
        <v>2050</v>
      </c>
      <c r="G380" s="43" t="s">
        <v>2009</v>
      </c>
      <c r="H380" s="50">
        <v>2.0085999999999999</v>
      </c>
      <c r="I380" s="50">
        <v>1.7585</v>
      </c>
      <c r="J380" s="50">
        <v>2.2942</v>
      </c>
      <c r="K380" s="50">
        <v>8.5373596127469886E-25</v>
      </c>
      <c r="L380" s="6">
        <v>28478</v>
      </c>
      <c r="M380" s="57">
        <v>6482</v>
      </c>
      <c r="N380" s="57"/>
      <c r="O380" s="57"/>
      <c r="P380" s="57"/>
      <c r="Q380" s="57"/>
      <c r="R380" s="57"/>
      <c r="S380" s="57"/>
      <c r="T380" s="57" t="s">
        <v>2027</v>
      </c>
      <c r="U380" s="57" t="s">
        <v>2026</v>
      </c>
    </row>
    <row r="381" spans="1:21" ht="18" customHeight="1" x14ac:dyDescent="0.15">
      <c r="A381" s="5" t="s">
        <v>2021</v>
      </c>
      <c r="B381" s="6" t="s">
        <v>2049</v>
      </c>
      <c r="C381" s="6" t="s">
        <v>2022</v>
      </c>
      <c r="D381" s="8" t="s">
        <v>2007</v>
      </c>
      <c r="E381" s="8" t="s">
        <v>2049</v>
      </c>
      <c r="F381" s="43" t="s">
        <v>2050</v>
      </c>
      <c r="G381" s="43" t="s">
        <v>2009</v>
      </c>
      <c r="H381" s="50">
        <v>2.2948</v>
      </c>
      <c r="I381" s="50">
        <v>2.1669999999999998</v>
      </c>
      <c r="J381" s="50">
        <v>2.4300999999999999</v>
      </c>
      <c r="K381" s="50">
        <v>1.2070865847116459E-177</v>
      </c>
      <c r="L381" s="6">
        <v>259062</v>
      </c>
      <c r="M381" s="57">
        <v>31215</v>
      </c>
      <c r="N381" s="57"/>
      <c r="O381" s="57"/>
      <c r="P381" s="57"/>
      <c r="Q381" s="57"/>
      <c r="R381" s="57"/>
      <c r="S381" s="57"/>
      <c r="T381" s="57" t="s">
        <v>2028</v>
      </c>
      <c r="U381" s="57" t="s">
        <v>2029</v>
      </c>
    </row>
    <row r="382" spans="1:21" ht="18" customHeight="1" x14ac:dyDescent="0.15">
      <c r="A382" s="5" t="s">
        <v>2021</v>
      </c>
      <c r="B382" s="6" t="s">
        <v>2049</v>
      </c>
      <c r="C382" s="6" t="s">
        <v>2022</v>
      </c>
      <c r="D382" s="8" t="s">
        <v>2007</v>
      </c>
      <c r="E382" s="8" t="s">
        <v>2049</v>
      </c>
      <c r="F382" s="43" t="s">
        <v>2050</v>
      </c>
      <c r="G382" s="43" t="s">
        <v>2009</v>
      </c>
      <c r="H382" s="50">
        <v>2.8134000000000001</v>
      </c>
      <c r="I382" s="50">
        <v>2.4723000000000002</v>
      </c>
      <c r="J382" s="50">
        <v>3.2016</v>
      </c>
      <c r="K382" s="50">
        <v>1.8654189542610869E-55</v>
      </c>
      <c r="L382" s="6">
        <v>148479</v>
      </c>
      <c r="M382" s="57">
        <v>11042</v>
      </c>
      <c r="N382" s="57"/>
      <c r="O382" s="57"/>
      <c r="P382" s="57"/>
      <c r="Q382" s="57"/>
      <c r="R382" s="57"/>
      <c r="S382" s="57"/>
      <c r="T382" s="57" t="s">
        <v>2028</v>
      </c>
      <c r="U382" s="57" t="s">
        <v>2030</v>
      </c>
    </row>
    <row r="383" spans="1:21" ht="18" customHeight="1" x14ac:dyDescent="0.15">
      <c r="A383" s="5" t="s">
        <v>2004</v>
      </c>
      <c r="B383" s="6" t="s">
        <v>2049</v>
      </c>
      <c r="C383" s="6" t="s">
        <v>2006</v>
      </c>
      <c r="D383" s="8" t="s">
        <v>2031</v>
      </c>
      <c r="E383" s="8" t="s">
        <v>2049</v>
      </c>
      <c r="F383" s="43" t="s">
        <v>2050</v>
      </c>
      <c r="G383" s="43" t="s">
        <v>2009</v>
      </c>
      <c r="H383" s="50">
        <v>1.9047000000000001</v>
      </c>
      <c r="I383" s="50"/>
      <c r="J383" s="50"/>
      <c r="K383" s="50"/>
      <c r="L383" s="6">
        <v>463828</v>
      </c>
      <c r="M383" s="57">
        <v>19734</v>
      </c>
      <c r="N383" s="57">
        <v>24759</v>
      </c>
      <c r="O383" s="57">
        <v>567</v>
      </c>
      <c r="P383" s="57">
        <v>96011.1</v>
      </c>
      <c r="Q383" s="57">
        <v>19167</v>
      </c>
      <c r="R383" s="57">
        <v>6181929.2000000002</v>
      </c>
      <c r="S383" s="57">
        <v>1.9047000000000001</v>
      </c>
      <c r="T383" s="57"/>
      <c r="U383" s="57"/>
    </row>
    <row r="384" spans="1:21" ht="18" customHeight="1" x14ac:dyDescent="0.15">
      <c r="A384" s="5" t="s">
        <v>2004</v>
      </c>
      <c r="B384" s="6" t="s">
        <v>2049</v>
      </c>
      <c r="C384" s="6" t="s">
        <v>2010</v>
      </c>
      <c r="D384" s="8" t="s">
        <v>2031</v>
      </c>
      <c r="E384" s="8" t="s">
        <v>2049</v>
      </c>
      <c r="F384" s="43" t="s">
        <v>2050</v>
      </c>
      <c r="G384" s="43" t="s">
        <v>2009</v>
      </c>
      <c r="H384" s="50">
        <v>1.9047000000000001</v>
      </c>
      <c r="I384" s="50">
        <v>1.7549999999999999</v>
      </c>
      <c r="J384" s="50">
        <v>2.0672000000000001</v>
      </c>
      <c r="K384" s="50">
        <v>1.029713533675451E-53</v>
      </c>
      <c r="L384" s="6">
        <v>463828</v>
      </c>
      <c r="M384" s="57">
        <v>19734</v>
      </c>
      <c r="N384" s="57">
        <v>24759</v>
      </c>
      <c r="O384" s="57">
        <v>567</v>
      </c>
      <c r="P384" s="57">
        <v>96011.1</v>
      </c>
      <c r="Q384" s="57">
        <v>19167</v>
      </c>
      <c r="R384" s="57">
        <v>6181929.2000000002</v>
      </c>
      <c r="S384" s="57">
        <v>1.9047000000000001</v>
      </c>
      <c r="T384" s="57"/>
      <c r="U384" s="57"/>
    </row>
    <row r="385" spans="1:21" ht="18" customHeight="1" x14ac:dyDescent="0.15">
      <c r="A385" s="5" t="s">
        <v>2004</v>
      </c>
      <c r="B385" s="6" t="s">
        <v>2049</v>
      </c>
      <c r="C385" s="6" t="s">
        <v>2011</v>
      </c>
      <c r="D385" s="8" t="s">
        <v>2031</v>
      </c>
      <c r="E385" s="8" t="s">
        <v>2049</v>
      </c>
      <c r="F385" s="43" t="s">
        <v>2050</v>
      </c>
      <c r="G385" s="43" t="s">
        <v>2009</v>
      </c>
      <c r="H385" s="50">
        <v>2.0773000000000001</v>
      </c>
      <c r="I385" s="50">
        <v>1.9089</v>
      </c>
      <c r="J385" s="50">
        <v>2.2606000000000002</v>
      </c>
      <c r="K385" s="50">
        <v>2.0218939954949031E-64</v>
      </c>
      <c r="L385" s="6">
        <v>463828</v>
      </c>
      <c r="M385" s="57">
        <v>19734</v>
      </c>
      <c r="N385" s="57">
        <v>24759</v>
      </c>
      <c r="O385" s="57">
        <v>567</v>
      </c>
      <c r="P385" s="57">
        <v>96011.1</v>
      </c>
      <c r="Q385" s="57">
        <v>19167</v>
      </c>
      <c r="R385" s="57">
        <v>6181929.2000000002</v>
      </c>
      <c r="S385" s="57">
        <v>1.9047000000000001</v>
      </c>
      <c r="T385" s="57"/>
      <c r="U385" s="57"/>
    </row>
    <row r="386" spans="1:21" ht="18" customHeight="1" x14ac:dyDescent="0.15">
      <c r="A386" s="5" t="s">
        <v>2004</v>
      </c>
      <c r="B386" s="6" t="s">
        <v>2049</v>
      </c>
      <c r="C386" s="6" t="s">
        <v>2012</v>
      </c>
      <c r="D386" s="8" t="s">
        <v>2031</v>
      </c>
      <c r="E386" s="8" t="s">
        <v>2049</v>
      </c>
      <c r="F386" s="43" t="s">
        <v>2050</v>
      </c>
      <c r="G386" s="43" t="s">
        <v>2009</v>
      </c>
      <c r="H386" s="50">
        <v>1.6623000000000001</v>
      </c>
      <c r="I386" s="50">
        <v>1.532</v>
      </c>
      <c r="J386" s="50">
        <v>1.8035000000000001</v>
      </c>
      <c r="K386" s="50">
        <v>2.7687837212339812E-34</v>
      </c>
      <c r="L386" s="6">
        <v>463828</v>
      </c>
      <c r="M386" s="57">
        <v>19734</v>
      </c>
      <c r="N386" s="57">
        <v>24759</v>
      </c>
      <c r="O386" s="57">
        <v>567</v>
      </c>
      <c r="P386" s="57">
        <v>96011.1</v>
      </c>
      <c r="Q386" s="57">
        <v>19167</v>
      </c>
      <c r="R386" s="57">
        <v>6181929.2000000002</v>
      </c>
      <c r="S386" s="57">
        <v>1.9047000000000001</v>
      </c>
      <c r="T386" s="57"/>
      <c r="U386" s="57"/>
    </row>
    <row r="387" spans="1:21" ht="18" customHeight="1" x14ac:dyDescent="0.15">
      <c r="A387" s="5" t="s">
        <v>2004</v>
      </c>
      <c r="B387" s="6" t="s">
        <v>2049</v>
      </c>
      <c r="C387" s="6" t="s">
        <v>2013</v>
      </c>
      <c r="D387" s="8" t="s">
        <v>2031</v>
      </c>
      <c r="E387" s="8" t="s">
        <v>2049</v>
      </c>
      <c r="F387" s="43" t="s">
        <v>2050</v>
      </c>
      <c r="G387" s="43" t="s">
        <v>2009</v>
      </c>
      <c r="H387" s="50">
        <v>1.6467000000000001</v>
      </c>
      <c r="I387" s="50">
        <v>1.5176000000000001</v>
      </c>
      <c r="J387" s="50">
        <v>1.7868999999999999</v>
      </c>
      <c r="K387" s="50">
        <v>4.9077572885810068E-33</v>
      </c>
      <c r="L387" s="6">
        <v>463828</v>
      </c>
      <c r="M387" s="57">
        <v>19734</v>
      </c>
      <c r="N387" s="57">
        <v>24759</v>
      </c>
      <c r="O387" s="57">
        <v>567</v>
      </c>
      <c r="P387" s="57">
        <v>96011.1</v>
      </c>
      <c r="Q387" s="57">
        <v>19167</v>
      </c>
      <c r="R387" s="57">
        <v>6181929.2000000002</v>
      </c>
      <c r="S387" s="57">
        <v>1.9047000000000001</v>
      </c>
      <c r="T387" s="57"/>
      <c r="U387" s="57"/>
    </row>
    <row r="388" spans="1:21" ht="18" customHeight="1" x14ac:dyDescent="0.15">
      <c r="A388" s="5" t="s">
        <v>2014</v>
      </c>
      <c r="B388" s="6" t="s">
        <v>2049</v>
      </c>
      <c r="C388" s="6" t="s">
        <v>2015</v>
      </c>
      <c r="D388" s="8" t="s">
        <v>2031</v>
      </c>
      <c r="E388" s="8" t="s">
        <v>2049</v>
      </c>
      <c r="F388" s="43" t="s">
        <v>2050</v>
      </c>
      <c r="G388" s="43" t="s">
        <v>2009</v>
      </c>
      <c r="H388" s="50">
        <v>1.9047000000000001</v>
      </c>
      <c r="I388" s="50">
        <v>1.7549999999999999</v>
      </c>
      <c r="J388" s="50">
        <v>2.0672000000000001</v>
      </c>
      <c r="K388" s="50">
        <v>1.029713533675451E-53</v>
      </c>
      <c r="L388" s="6">
        <v>463828</v>
      </c>
      <c r="M388" s="57">
        <v>19734</v>
      </c>
      <c r="N388" s="57"/>
      <c r="O388" s="57"/>
      <c r="P388" s="57"/>
      <c r="Q388" s="57"/>
      <c r="R388" s="57"/>
      <c r="S388" s="57"/>
      <c r="T388" s="57"/>
      <c r="U388" s="57"/>
    </row>
    <row r="389" spans="1:21" ht="18" customHeight="1" x14ac:dyDescent="0.15">
      <c r="A389" s="5" t="s">
        <v>2014</v>
      </c>
      <c r="B389" s="6" t="s">
        <v>2049</v>
      </c>
      <c r="C389" s="6" t="s">
        <v>2016</v>
      </c>
      <c r="D389" s="8" t="s">
        <v>2031</v>
      </c>
      <c r="E389" s="8" t="s">
        <v>2049</v>
      </c>
      <c r="F389" s="43" t="s">
        <v>2050</v>
      </c>
      <c r="G389" s="43" t="s">
        <v>2009</v>
      </c>
      <c r="H389" s="50">
        <v>2.0773000000000001</v>
      </c>
      <c r="I389" s="50">
        <v>1.9089</v>
      </c>
      <c r="J389" s="50">
        <v>2.2606000000000002</v>
      </c>
      <c r="K389" s="50">
        <v>2.0218939954949031E-64</v>
      </c>
      <c r="L389" s="6">
        <v>463828</v>
      </c>
      <c r="M389" s="57">
        <v>19734</v>
      </c>
      <c r="N389" s="57"/>
      <c r="O389" s="57"/>
      <c r="P389" s="57"/>
      <c r="Q389" s="57"/>
      <c r="R389" s="57"/>
      <c r="S389" s="57"/>
      <c r="T389" s="57"/>
      <c r="U389" s="57"/>
    </row>
    <row r="390" spans="1:21" ht="18" customHeight="1" x14ac:dyDescent="0.15">
      <c r="A390" s="5" t="s">
        <v>2014</v>
      </c>
      <c r="B390" s="6" t="s">
        <v>2049</v>
      </c>
      <c r="C390" s="6" t="s">
        <v>2017</v>
      </c>
      <c r="D390" s="8" t="s">
        <v>2031</v>
      </c>
      <c r="E390" s="8" t="s">
        <v>2049</v>
      </c>
      <c r="F390" s="43" t="s">
        <v>2050</v>
      </c>
      <c r="G390" s="43" t="s">
        <v>2009</v>
      </c>
      <c r="H390" s="50">
        <v>1.6255999999999999</v>
      </c>
      <c r="I390" s="50">
        <v>1.4982</v>
      </c>
      <c r="J390" s="50">
        <v>1.7637</v>
      </c>
      <c r="K390" s="50">
        <v>1.741144576395753E-31</v>
      </c>
      <c r="L390" s="6">
        <v>463828</v>
      </c>
      <c r="M390" s="57">
        <v>19734</v>
      </c>
      <c r="N390" s="57"/>
      <c r="O390" s="57"/>
      <c r="P390" s="57"/>
      <c r="Q390" s="57"/>
      <c r="R390" s="57"/>
      <c r="S390" s="57"/>
      <c r="T390" s="57"/>
      <c r="U390" s="57"/>
    </row>
    <row r="391" spans="1:21" ht="18" customHeight="1" x14ac:dyDescent="0.15">
      <c r="A391" s="5" t="s">
        <v>2014</v>
      </c>
      <c r="B391" s="6" t="s">
        <v>2049</v>
      </c>
      <c r="C391" s="6" t="s">
        <v>2018</v>
      </c>
      <c r="D391" s="8" t="s">
        <v>2031</v>
      </c>
      <c r="E391" s="8" t="s">
        <v>2049</v>
      </c>
      <c r="F391" s="43" t="s">
        <v>2050</v>
      </c>
      <c r="G391" s="43" t="s">
        <v>2009</v>
      </c>
      <c r="H391" s="50">
        <v>1.7685</v>
      </c>
      <c r="I391" s="50">
        <v>1.5271999999999999</v>
      </c>
      <c r="J391" s="50">
        <v>2.0478999999999998</v>
      </c>
      <c r="K391" s="50">
        <v>2.5983430971464479E-14</v>
      </c>
      <c r="L391" s="6">
        <v>463828</v>
      </c>
      <c r="M391" s="57">
        <v>19734</v>
      </c>
      <c r="N391" s="57"/>
      <c r="O391" s="57"/>
      <c r="P391" s="57"/>
      <c r="Q391" s="57"/>
      <c r="R391" s="57"/>
      <c r="S391" s="57"/>
      <c r="T391" s="57"/>
      <c r="U391" s="57"/>
    </row>
    <row r="392" spans="1:21" ht="18" customHeight="1" x14ac:dyDescent="0.15">
      <c r="A392" s="5" t="s">
        <v>2014</v>
      </c>
      <c r="B392" s="6" t="s">
        <v>2049</v>
      </c>
      <c r="C392" s="6" t="s">
        <v>2019</v>
      </c>
      <c r="D392" s="8" t="s">
        <v>2031</v>
      </c>
      <c r="E392" s="8" t="s">
        <v>2049</v>
      </c>
      <c r="F392" s="43" t="s">
        <v>2050</v>
      </c>
      <c r="G392" s="43" t="s">
        <v>1816</v>
      </c>
      <c r="H392" s="50">
        <v>3.2391999999999999</v>
      </c>
      <c r="I392" s="50">
        <v>2.7593000000000001</v>
      </c>
      <c r="J392" s="50">
        <v>3.8026</v>
      </c>
      <c r="K392" s="50">
        <v>8.4545824434612758E-47</v>
      </c>
      <c r="L392" s="6">
        <v>451684</v>
      </c>
      <c r="M392" s="57">
        <v>2463</v>
      </c>
      <c r="N392" s="57"/>
      <c r="O392" s="57"/>
      <c r="P392" s="57"/>
      <c r="Q392" s="57"/>
      <c r="R392" s="57"/>
      <c r="S392" s="57"/>
      <c r="T392" s="57"/>
      <c r="U392" s="57"/>
    </row>
    <row r="393" spans="1:21" ht="18" customHeight="1" x14ac:dyDescent="0.15">
      <c r="A393" s="5" t="s">
        <v>2014</v>
      </c>
      <c r="B393" s="6" t="s">
        <v>2049</v>
      </c>
      <c r="C393" s="6" t="s">
        <v>2020</v>
      </c>
      <c r="D393" s="8" t="s">
        <v>2031</v>
      </c>
      <c r="E393" s="8" t="s">
        <v>2049</v>
      </c>
      <c r="F393" s="43" t="s">
        <v>2050</v>
      </c>
      <c r="G393" s="43" t="s">
        <v>2009</v>
      </c>
      <c r="H393" s="50">
        <v>1.5729</v>
      </c>
      <c r="I393" s="50">
        <v>1.4438</v>
      </c>
      <c r="J393" s="50">
        <v>1.7137</v>
      </c>
      <c r="K393" s="50">
        <v>3.7524526075132741E-25</v>
      </c>
      <c r="L393" s="6">
        <v>451686</v>
      </c>
      <c r="M393" s="57">
        <v>19630</v>
      </c>
      <c r="N393" s="57"/>
      <c r="O393" s="57"/>
      <c r="P393" s="57"/>
      <c r="Q393" s="57"/>
      <c r="R393" s="57"/>
      <c r="S393" s="57"/>
      <c r="T393" s="57"/>
      <c r="U393" s="57"/>
    </row>
    <row r="394" spans="1:21" ht="18" customHeight="1" x14ac:dyDescent="0.15">
      <c r="A394" s="5" t="s">
        <v>2021</v>
      </c>
      <c r="B394" s="6" t="s">
        <v>2049</v>
      </c>
      <c r="C394" s="6" t="s">
        <v>2022</v>
      </c>
      <c r="D394" s="8" t="s">
        <v>2031</v>
      </c>
      <c r="E394" s="8" t="s">
        <v>2049</v>
      </c>
      <c r="F394" s="43" t="s">
        <v>2050</v>
      </c>
      <c r="G394" s="43" t="s">
        <v>2009</v>
      </c>
      <c r="H394" s="50">
        <v>1.9897</v>
      </c>
      <c r="I394" s="50">
        <v>0.98070000000000002</v>
      </c>
      <c r="J394" s="50">
        <v>4.0369999999999999</v>
      </c>
      <c r="K394" s="50">
        <v>5.6656707240559483E-2</v>
      </c>
      <c r="L394" s="6">
        <v>4557</v>
      </c>
      <c r="M394" s="57">
        <v>294</v>
      </c>
      <c r="N394" s="57"/>
      <c r="O394" s="57"/>
      <c r="P394" s="57"/>
      <c r="Q394" s="57"/>
      <c r="R394" s="57"/>
      <c r="S394" s="57"/>
      <c r="T394" s="57" t="s">
        <v>2023</v>
      </c>
      <c r="U394" s="57" t="s">
        <v>2024</v>
      </c>
    </row>
    <row r="395" spans="1:21" ht="18" customHeight="1" x14ac:dyDescent="0.15">
      <c r="A395" s="5" t="s">
        <v>2021</v>
      </c>
      <c r="B395" s="6" t="s">
        <v>2049</v>
      </c>
      <c r="C395" s="6" t="s">
        <v>2022</v>
      </c>
      <c r="D395" s="8" t="s">
        <v>2031</v>
      </c>
      <c r="E395" s="8" t="s">
        <v>2049</v>
      </c>
      <c r="F395" s="43" t="s">
        <v>2050</v>
      </c>
      <c r="G395" s="43" t="s">
        <v>2009</v>
      </c>
      <c r="H395" s="50">
        <v>1.9187000000000001</v>
      </c>
      <c r="I395" s="50">
        <v>1.7096</v>
      </c>
      <c r="J395" s="50">
        <v>2.1533000000000002</v>
      </c>
      <c r="K395" s="50">
        <v>1.764967141236423E-28</v>
      </c>
      <c r="L395" s="6">
        <v>305229</v>
      </c>
      <c r="M395" s="57">
        <v>10829</v>
      </c>
      <c r="N395" s="57"/>
      <c r="O395" s="57"/>
      <c r="P395" s="57"/>
      <c r="Q395" s="57"/>
      <c r="R395" s="57"/>
      <c r="S395" s="57"/>
      <c r="T395" s="57" t="s">
        <v>2023</v>
      </c>
      <c r="U395" s="57" t="s">
        <v>2025</v>
      </c>
    </row>
    <row r="396" spans="1:21" ht="18" customHeight="1" x14ac:dyDescent="0.15">
      <c r="A396" s="5" t="s">
        <v>2021</v>
      </c>
      <c r="B396" s="6" t="s">
        <v>2049</v>
      </c>
      <c r="C396" s="6" t="s">
        <v>2022</v>
      </c>
      <c r="D396" s="8" t="s">
        <v>2031</v>
      </c>
      <c r="E396" s="8" t="s">
        <v>2049</v>
      </c>
      <c r="F396" s="43" t="s">
        <v>2050</v>
      </c>
      <c r="G396" s="43" t="s">
        <v>2009</v>
      </c>
      <c r="H396" s="50">
        <v>2.1516999999999999</v>
      </c>
      <c r="I396" s="50">
        <v>1.8972</v>
      </c>
      <c r="J396" s="50">
        <v>2.4403000000000001</v>
      </c>
      <c r="K396" s="50">
        <v>7.9820480852333243E-33</v>
      </c>
      <c r="L396" s="6">
        <v>154042</v>
      </c>
      <c r="M396" s="57">
        <v>8611</v>
      </c>
      <c r="N396" s="57"/>
      <c r="O396" s="57"/>
      <c r="P396" s="57"/>
      <c r="Q396" s="57"/>
      <c r="R396" s="57"/>
      <c r="S396" s="57"/>
      <c r="T396" s="57" t="s">
        <v>2023</v>
      </c>
      <c r="U396" s="57" t="s">
        <v>2026</v>
      </c>
    </row>
    <row r="397" spans="1:21" ht="18" customHeight="1" x14ac:dyDescent="0.15">
      <c r="A397" s="5" t="s">
        <v>2021</v>
      </c>
      <c r="B397" s="6" t="s">
        <v>2049</v>
      </c>
      <c r="C397" s="6" t="s">
        <v>2022</v>
      </c>
      <c r="D397" s="8" t="s">
        <v>2031</v>
      </c>
      <c r="E397" s="8" t="s">
        <v>2049</v>
      </c>
      <c r="F397" s="43" t="s">
        <v>2050</v>
      </c>
      <c r="G397" s="43" t="s">
        <v>2009</v>
      </c>
      <c r="H397" s="50">
        <v>2.9121999999999999</v>
      </c>
      <c r="I397" s="50">
        <v>1.5965</v>
      </c>
      <c r="J397" s="50">
        <v>5.3124000000000002</v>
      </c>
      <c r="K397" s="50">
        <v>4.9174802129007004E-4</v>
      </c>
      <c r="L397" s="6">
        <v>3316</v>
      </c>
      <c r="M397" s="57">
        <v>256</v>
      </c>
      <c r="N397" s="57"/>
      <c r="O397" s="57"/>
      <c r="P397" s="57"/>
      <c r="Q397" s="57"/>
      <c r="R397" s="57"/>
      <c r="S397" s="57"/>
      <c r="T397" s="57" t="s">
        <v>2027</v>
      </c>
      <c r="U397" s="57" t="s">
        <v>2024</v>
      </c>
    </row>
    <row r="398" spans="1:21" ht="18" customHeight="1" x14ac:dyDescent="0.15">
      <c r="A398" s="5" t="s">
        <v>2021</v>
      </c>
      <c r="B398" s="6" t="s">
        <v>2049</v>
      </c>
      <c r="C398" s="6" t="s">
        <v>2022</v>
      </c>
      <c r="D398" s="8" t="s">
        <v>2031</v>
      </c>
      <c r="E398" s="8" t="s">
        <v>2049</v>
      </c>
      <c r="F398" s="43" t="s">
        <v>2050</v>
      </c>
      <c r="G398" s="43" t="s">
        <v>2009</v>
      </c>
      <c r="H398" s="50">
        <v>1.9259999999999999</v>
      </c>
      <c r="I398" s="50">
        <v>1.7464999999999999</v>
      </c>
      <c r="J398" s="50">
        <v>2.1240000000000001</v>
      </c>
      <c r="K398" s="50">
        <v>2.247541158232903E-39</v>
      </c>
      <c r="L398" s="6">
        <v>408990</v>
      </c>
      <c r="M398" s="57">
        <v>15689</v>
      </c>
      <c r="N398" s="57"/>
      <c r="O398" s="57"/>
      <c r="P398" s="57"/>
      <c r="Q398" s="57"/>
      <c r="R398" s="57"/>
      <c r="S398" s="57"/>
      <c r="T398" s="57" t="s">
        <v>2027</v>
      </c>
      <c r="U398" s="57" t="s">
        <v>2025</v>
      </c>
    </row>
    <row r="399" spans="1:21" ht="18" customHeight="1" x14ac:dyDescent="0.15">
      <c r="A399" s="5" t="s">
        <v>2021</v>
      </c>
      <c r="B399" s="6" t="s">
        <v>2049</v>
      </c>
      <c r="C399" s="6" t="s">
        <v>2022</v>
      </c>
      <c r="D399" s="8" t="s">
        <v>2031</v>
      </c>
      <c r="E399" s="8" t="s">
        <v>2049</v>
      </c>
      <c r="F399" s="43" t="s">
        <v>2050</v>
      </c>
      <c r="G399" s="43" t="s">
        <v>2009</v>
      </c>
      <c r="H399" s="50">
        <v>2.3113999999999999</v>
      </c>
      <c r="I399" s="50">
        <v>1.9439</v>
      </c>
      <c r="J399" s="50">
        <v>2.7483</v>
      </c>
      <c r="K399" s="50">
        <v>2.4382229263434699E-21</v>
      </c>
      <c r="L399" s="6">
        <v>51522</v>
      </c>
      <c r="M399" s="57">
        <v>3789</v>
      </c>
      <c r="N399" s="57"/>
      <c r="O399" s="57"/>
      <c r="P399" s="57"/>
      <c r="Q399" s="57"/>
      <c r="R399" s="57"/>
      <c r="S399" s="57"/>
      <c r="T399" s="57" t="s">
        <v>2027</v>
      </c>
      <c r="U399" s="57" t="s">
        <v>2026</v>
      </c>
    </row>
    <row r="400" spans="1:21" ht="18" customHeight="1" x14ac:dyDescent="0.15">
      <c r="A400" s="5" t="s">
        <v>2021</v>
      </c>
      <c r="B400" s="6" t="s">
        <v>2049</v>
      </c>
      <c r="C400" s="6" t="s">
        <v>2022</v>
      </c>
      <c r="D400" s="8" t="s">
        <v>2031</v>
      </c>
      <c r="E400" s="8" t="s">
        <v>2049</v>
      </c>
      <c r="F400" s="43" t="s">
        <v>2050</v>
      </c>
      <c r="G400" s="43" t="s">
        <v>2009</v>
      </c>
      <c r="H400" s="50">
        <v>2.0215999999999998</v>
      </c>
      <c r="I400" s="50">
        <v>1.8460000000000001</v>
      </c>
      <c r="J400" s="50">
        <v>2.214</v>
      </c>
      <c r="K400" s="50">
        <v>4.9277551910192569E-52</v>
      </c>
      <c r="L400" s="6">
        <v>300979</v>
      </c>
      <c r="M400" s="57">
        <v>14581</v>
      </c>
      <c r="N400" s="57"/>
      <c r="O400" s="57"/>
      <c r="P400" s="57"/>
      <c r="Q400" s="57"/>
      <c r="R400" s="57"/>
      <c r="S400" s="57"/>
      <c r="T400" s="57" t="s">
        <v>2028</v>
      </c>
      <c r="U400" s="57" t="s">
        <v>2029</v>
      </c>
    </row>
    <row r="401" spans="1:22" ht="18" customHeight="1" x14ac:dyDescent="0.15">
      <c r="A401" s="5" t="s">
        <v>2021</v>
      </c>
      <c r="B401" s="6" t="s">
        <v>2049</v>
      </c>
      <c r="C401" s="6" t="s">
        <v>2022</v>
      </c>
      <c r="D401" s="8" t="s">
        <v>2031</v>
      </c>
      <c r="E401" s="8" t="s">
        <v>2049</v>
      </c>
      <c r="F401" s="43" t="s">
        <v>2050</v>
      </c>
      <c r="G401" s="43" t="s">
        <v>2009</v>
      </c>
      <c r="H401" s="50">
        <v>1.8542000000000001</v>
      </c>
      <c r="I401" s="50">
        <v>1.4771000000000001</v>
      </c>
      <c r="J401" s="50">
        <v>2.3277000000000001</v>
      </c>
      <c r="K401" s="50">
        <v>1.0284044735750141E-7</v>
      </c>
      <c r="L401" s="6">
        <v>162849</v>
      </c>
      <c r="M401" s="57">
        <v>5153</v>
      </c>
      <c r="N401" s="57"/>
      <c r="O401" s="57"/>
      <c r="P401" s="57"/>
      <c r="Q401" s="57"/>
      <c r="R401" s="57"/>
      <c r="S401" s="57"/>
      <c r="T401" s="57" t="s">
        <v>2028</v>
      </c>
      <c r="U401" s="57" t="s">
        <v>2030</v>
      </c>
    </row>
    <row r="402" spans="1:22" ht="18" customHeight="1" x14ac:dyDescent="0.15">
      <c r="A402" s="5" t="s">
        <v>2004</v>
      </c>
      <c r="B402" s="6" t="s">
        <v>2049</v>
      </c>
      <c r="C402" s="6" t="s">
        <v>2006</v>
      </c>
      <c r="D402" s="8" t="s">
        <v>2032</v>
      </c>
      <c r="E402" s="8" t="s">
        <v>2049</v>
      </c>
      <c r="F402" s="43" t="s">
        <v>2050</v>
      </c>
      <c r="G402" s="43" t="s">
        <v>2009</v>
      </c>
      <c r="H402" s="50">
        <v>4.7510000000000003</v>
      </c>
      <c r="I402" s="50"/>
      <c r="J402" s="50"/>
      <c r="K402" s="50"/>
      <c r="L402" s="6">
        <v>487028</v>
      </c>
      <c r="M402" s="57">
        <v>428</v>
      </c>
      <c r="N402" s="57">
        <v>29919</v>
      </c>
      <c r="O402" s="57">
        <v>33</v>
      </c>
      <c r="P402" s="57">
        <v>112993.8</v>
      </c>
      <c r="Q402" s="57">
        <v>395</v>
      </c>
      <c r="R402" s="57">
        <v>6425711.4000000004</v>
      </c>
      <c r="S402" s="57">
        <v>4.7510000000000003</v>
      </c>
      <c r="T402" s="57"/>
      <c r="U402" s="57"/>
    </row>
    <row r="403" spans="1:22" ht="18" customHeight="1" x14ac:dyDescent="0.15">
      <c r="A403" s="5" t="s">
        <v>2004</v>
      </c>
      <c r="B403" s="6" t="s">
        <v>2049</v>
      </c>
      <c r="C403" s="6" t="s">
        <v>2010</v>
      </c>
      <c r="D403" s="8" t="s">
        <v>2032</v>
      </c>
      <c r="E403" s="8" t="s">
        <v>2049</v>
      </c>
      <c r="F403" s="43" t="s">
        <v>2050</v>
      </c>
      <c r="G403" s="43" t="s">
        <v>2009</v>
      </c>
      <c r="H403" s="50">
        <v>4.7510000000000003</v>
      </c>
      <c r="I403" s="50">
        <v>3.3311000000000002</v>
      </c>
      <c r="J403" s="50">
        <v>6.7760999999999996</v>
      </c>
      <c r="K403" s="50">
        <v>7.7955699486738803E-18</v>
      </c>
      <c r="L403" s="6">
        <v>487028</v>
      </c>
      <c r="M403" s="57">
        <v>428</v>
      </c>
      <c r="N403" s="57">
        <v>29919</v>
      </c>
      <c r="O403" s="57">
        <v>33</v>
      </c>
      <c r="P403" s="57">
        <v>112993.8</v>
      </c>
      <c r="Q403" s="57">
        <v>395</v>
      </c>
      <c r="R403" s="57">
        <v>6425711.4000000004</v>
      </c>
      <c r="S403" s="57">
        <v>4.7510000000000003</v>
      </c>
      <c r="T403" s="57"/>
      <c r="U403" s="57"/>
    </row>
    <row r="404" spans="1:22" ht="18" customHeight="1" x14ac:dyDescent="0.15">
      <c r="A404" s="5" t="s">
        <v>2004</v>
      </c>
      <c r="B404" s="6" t="s">
        <v>2049</v>
      </c>
      <c r="C404" s="6" t="s">
        <v>2011</v>
      </c>
      <c r="D404" s="8" t="s">
        <v>2032</v>
      </c>
      <c r="E404" s="8" t="s">
        <v>2049</v>
      </c>
      <c r="F404" s="43" t="s">
        <v>2050</v>
      </c>
      <c r="G404" s="43" t="s">
        <v>2009</v>
      </c>
      <c r="H404" s="50">
        <v>4.8410000000000002</v>
      </c>
      <c r="I404" s="50">
        <v>3.2940999999999998</v>
      </c>
      <c r="J404" s="50">
        <v>7.1143000000000001</v>
      </c>
      <c r="K404" s="50">
        <v>9.8182450174704886E-16</v>
      </c>
      <c r="L404" s="6">
        <v>487028</v>
      </c>
      <c r="M404" s="57">
        <v>428</v>
      </c>
      <c r="N404" s="57">
        <v>29919</v>
      </c>
      <c r="O404" s="57">
        <v>33</v>
      </c>
      <c r="P404" s="57">
        <v>112993.8</v>
      </c>
      <c r="Q404" s="57">
        <v>395</v>
      </c>
      <c r="R404" s="57">
        <v>6425711.4000000004</v>
      </c>
      <c r="S404" s="57">
        <v>4.7510000000000003</v>
      </c>
      <c r="T404" s="57"/>
      <c r="U404" s="57"/>
    </row>
    <row r="405" spans="1:22" ht="18" customHeight="1" x14ac:dyDescent="0.15">
      <c r="A405" s="5" t="s">
        <v>2004</v>
      </c>
      <c r="B405" s="6" t="s">
        <v>2049</v>
      </c>
      <c r="C405" s="6" t="s">
        <v>2012</v>
      </c>
      <c r="D405" s="8" t="s">
        <v>2032</v>
      </c>
      <c r="E405" s="8" t="s">
        <v>2049</v>
      </c>
      <c r="F405" s="43" t="s">
        <v>2050</v>
      </c>
      <c r="G405" s="43" t="s">
        <v>2009</v>
      </c>
      <c r="H405" s="50">
        <v>3.8268</v>
      </c>
      <c r="I405" s="50">
        <v>2.6065999999999998</v>
      </c>
      <c r="J405" s="50">
        <v>5.6181000000000001</v>
      </c>
      <c r="K405" s="50">
        <v>7.3685584896396478E-12</v>
      </c>
      <c r="L405" s="6">
        <v>487028</v>
      </c>
      <c r="M405" s="57">
        <v>428</v>
      </c>
      <c r="N405" s="57">
        <v>29919</v>
      </c>
      <c r="O405" s="57">
        <v>33</v>
      </c>
      <c r="P405" s="57">
        <v>112993.8</v>
      </c>
      <c r="Q405" s="57">
        <v>395</v>
      </c>
      <c r="R405" s="57">
        <v>6425711.4000000004</v>
      </c>
      <c r="S405" s="57">
        <v>4.7510000000000003</v>
      </c>
      <c r="T405" s="57"/>
      <c r="U405" s="57"/>
    </row>
    <row r="406" spans="1:22" ht="18" customHeight="1" x14ac:dyDescent="0.15">
      <c r="A406" s="5" t="s">
        <v>2004</v>
      </c>
      <c r="B406" s="6" t="s">
        <v>2049</v>
      </c>
      <c r="C406" s="6" t="s">
        <v>2013</v>
      </c>
      <c r="D406" s="8" t="s">
        <v>2032</v>
      </c>
      <c r="E406" s="8" t="s">
        <v>2049</v>
      </c>
      <c r="F406" s="43" t="s">
        <v>2050</v>
      </c>
      <c r="G406" s="43" t="s">
        <v>2009</v>
      </c>
      <c r="H406" s="50">
        <v>3.9007999999999998</v>
      </c>
      <c r="I406" s="50">
        <v>2.6520999999999999</v>
      </c>
      <c r="J406" s="50">
        <v>5.7374000000000001</v>
      </c>
      <c r="K406" s="50">
        <v>4.6860708413413291E-12</v>
      </c>
      <c r="L406" s="6">
        <v>487028</v>
      </c>
      <c r="M406" s="57">
        <v>428</v>
      </c>
      <c r="N406" s="57">
        <v>29919</v>
      </c>
      <c r="O406" s="57">
        <v>33</v>
      </c>
      <c r="P406" s="57">
        <v>112993.8</v>
      </c>
      <c r="Q406" s="57">
        <v>395</v>
      </c>
      <c r="R406" s="57">
        <v>6425711.4000000004</v>
      </c>
      <c r="S406" s="57">
        <v>4.7510000000000003</v>
      </c>
      <c r="T406" s="57"/>
      <c r="U406" s="57"/>
    </row>
    <row r="407" spans="1:22" ht="18" customHeight="1" x14ac:dyDescent="0.15">
      <c r="A407" s="5" t="s">
        <v>2014</v>
      </c>
      <c r="B407" s="6" t="s">
        <v>2049</v>
      </c>
      <c r="C407" s="6" t="s">
        <v>2015</v>
      </c>
      <c r="D407" s="8" t="s">
        <v>2032</v>
      </c>
      <c r="E407" s="8" t="s">
        <v>2049</v>
      </c>
      <c r="F407" s="43" t="s">
        <v>2050</v>
      </c>
      <c r="G407" s="43" t="s">
        <v>2009</v>
      </c>
      <c r="H407" s="50">
        <v>4.7510000000000003</v>
      </c>
      <c r="I407" s="50">
        <v>3.3311000000000002</v>
      </c>
      <c r="J407" s="50">
        <v>6.7760999999999996</v>
      </c>
      <c r="K407" s="50">
        <v>7.7955699486738803E-18</v>
      </c>
      <c r="L407" s="6">
        <v>487028</v>
      </c>
      <c r="M407" s="57">
        <v>428</v>
      </c>
      <c r="N407" s="57"/>
      <c r="O407" s="57"/>
      <c r="P407" s="57"/>
      <c r="Q407" s="57"/>
      <c r="R407" s="57"/>
      <c r="S407" s="57"/>
      <c r="T407" s="57"/>
      <c r="U407" s="57"/>
    </row>
    <row r="408" spans="1:22" ht="18" customHeight="1" x14ac:dyDescent="0.15">
      <c r="A408" s="5" t="s">
        <v>2014</v>
      </c>
      <c r="B408" s="6" t="s">
        <v>2049</v>
      </c>
      <c r="C408" s="6" t="s">
        <v>2016</v>
      </c>
      <c r="D408" s="8" t="s">
        <v>2032</v>
      </c>
      <c r="E408" s="8" t="s">
        <v>2049</v>
      </c>
      <c r="F408" s="43" t="s">
        <v>2050</v>
      </c>
      <c r="G408" s="43" t="s">
        <v>2009</v>
      </c>
      <c r="H408" s="50">
        <v>4.8410000000000002</v>
      </c>
      <c r="I408" s="50">
        <v>3.2940999999999998</v>
      </c>
      <c r="J408" s="50">
        <v>7.1143000000000001</v>
      </c>
      <c r="K408" s="50">
        <v>9.8182450174704886E-16</v>
      </c>
      <c r="L408" s="6">
        <v>487028</v>
      </c>
      <c r="M408" s="57">
        <v>428</v>
      </c>
      <c r="N408" s="57"/>
      <c r="O408" s="57"/>
      <c r="P408" s="57"/>
      <c r="Q408" s="57"/>
      <c r="R408" s="57"/>
      <c r="S408" s="57"/>
      <c r="T408" s="57"/>
      <c r="U408" s="57"/>
    </row>
    <row r="409" spans="1:22" ht="18" customHeight="1" x14ac:dyDescent="0.15">
      <c r="A409" s="5" t="s">
        <v>2014</v>
      </c>
      <c r="B409" s="6" t="s">
        <v>2049</v>
      </c>
      <c r="C409" s="6" t="s">
        <v>2017</v>
      </c>
      <c r="D409" s="8" t="s">
        <v>2032</v>
      </c>
      <c r="E409" s="8" t="s">
        <v>2049</v>
      </c>
      <c r="F409" s="43" t="s">
        <v>2050</v>
      </c>
      <c r="G409" s="43" t="s">
        <v>2009</v>
      </c>
      <c r="H409" s="50">
        <v>2.9815999999999998</v>
      </c>
      <c r="I409" s="50">
        <v>2.0240999999999998</v>
      </c>
      <c r="J409" s="50">
        <v>4.3920000000000003</v>
      </c>
      <c r="K409" s="50">
        <v>3.2401648762663352E-8</v>
      </c>
      <c r="L409" s="6">
        <v>487028</v>
      </c>
      <c r="M409" s="57">
        <v>428</v>
      </c>
      <c r="N409" s="57"/>
      <c r="O409" s="57"/>
      <c r="P409" s="57"/>
      <c r="Q409" s="57"/>
      <c r="R409" s="57"/>
      <c r="S409" s="57"/>
      <c r="T409" s="57"/>
      <c r="U409" s="57"/>
    </row>
    <row r="410" spans="1:22" ht="18" customHeight="1" x14ac:dyDescent="0.15">
      <c r="A410" s="5" t="s">
        <v>2014</v>
      </c>
      <c r="B410" s="6" t="s">
        <v>2049</v>
      </c>
      <c r="C410" s="6" t="s">
        <v>2018</v>
      </c>
      <c r="D410" s="8" t="s">
        <v>2032</v>
      </c>
      <c r="E410" s="8" t="s">
        <v>2049</v>
      </c>
      <c r="F410" s="43" t="s">
        <v>2050</v>
      </c>
      <c r="G410" s="43" t="s">
        <v>2009</v>
      </c>
      <c r="H410" s="50">
        <v>5.3571</v>
      </c>
      <c r="I410" s="50">
        <v>2.3462000000000001</v>
      </c>
      <c r="J410" s="50">
        <v>12.2319</v>
      </c>
      <c r="K410" s="50">
        <v>6.7654926112831849E-5</v>
      </c>
      <c r="L410" s="6">
        <v>487028</v>
      </c>
      <c r="M410" s="57">
        <v>428</v>
      </c>
      <c r="N410" s="57"/>
      <c r="O410" s="57"/>
      <c r="P410" s="57"/>
      <c r="Q410" s="57"/>
      <c r="R410" s="57"/>
      <c r="S410" s="57"/>
      <c r="T410" s="57"/>
      <c r="U410" s="57"/>
    </row>
    <row r="411" spans="1:22" ht="18" customHeight="1" x14ac:dyDescent="0.15">
      <c r="A411" s="5" t="s">
        <v>2014</v>
      </c>
      <c r="B411" s="6" t="s">
        <v>2049</v>
      </c>
      <c r="C411" s="6" t="s">
        <v>2019</v>
      </c>
      <c r="D411" s="8" t="s">
        <v>2032</v>
      </c>
      <c r="E411" s="8" t="s">
        <v>2049</v>
      </c>
      <c r="F411" s="43" t="s">
        <v>2050</v>
      </c>
      <c r="G411" s="43" t="s">
        <v>1816</v>
      </c>
      <c r="H411" s="50">
        <v>3.6189</v>
      </c>
      <c r="I411" s="50">
        <v>1.4272</v>
      </c>
      <c r="J411" s="50">
        <v>9.1762999999999995</v>
      </c>
      <c r="K411" s="50">
        <v>6.7425439522044899E-3</v>
      </c>
      <c r="L411" s="6">
        <v>472299</v>
      </c>
      <c r="M411" s="57">
        <v>44</v>
      </c>
      <c r="N411" s="57"/>
      <c r="O411" s="57"/>
      <c r="P411" s="57"/>
      <c r="Q411" s="57"/>
      <c r="R411" s="57"/>
      <c r="S411" s="57"/>
      <c r="T411" s="57"/>
      <c r="U411" s="57"/>
      <c r="V411" t="s">
        <v>2036</v>
      </c>
    </row>
    <row r="412" spans="1:22" ht="18" customHeight="1" x14ac:dyDescent="0.15">
      <c r="A412" s="5" t="s">
        <v>2014</v>
      </c>
      <c r="B412" s="6" t="s">
        <v>2049</v>
      </c>
      <c r="C412" s="6" t="s">
        <v>2020</v>
      </c>
      <c r="D412" s="8" t="s">
        <v>2032</v>
      </c>
      <c r="E412" s="8" t="s">
        <v>2049</v>
      </c>
      <c r="F412" s="43" t="s">
        <v>2050</v>
      </c>
      <c r="G412" s="43" t="s">
        <v>2009</v>
      </c>
      <c r="H412" s="50">
        <v>3.2159</v>
      </c>
      <c r="I412" s="50">
        <v>2.1051000000000002</v>
      </c>
      <c r="J412" s="50">
        <v>4.9130000000000003</v>
      </c>
      <c r="K412" s="50">
        <v>6.5670820212406841E-8</v>
      </c>
      <c r="L412" s="6">
        <v>472301</v>
      </c>
      <c r="M412" s="57">
        <v>417</v>
      </c>
      <c r="N412" s="57"/>
      <c r="O412" s="57"/>
      <c r="P412" s="57"/>
      <c r="Q412" s="57"/>
      <c r="R412" s="57"/>
      <c r="S412" s="57"/>
      <c r="T412" s="57"/>
      <c r="U412" s="57"/>
    </row>
    <row r="413" spans="1:22" ht="18" customHeight="1" x14ac:dyDescent="0.15">
      <c r="A413" s="5" t="s">
        <v>2021</v>
      </c>
      <c r="B413" s="6" t="s">
        <v>2049</v>
      </c>
      <c r="C413" s="6" t="s">
        <v>2022</v>
      </c>
      <c r="D413" s="8" t="s">
        <v>2032</v>
      </c>
      <c r="E413" s="8" t="s">
        <v>2049</v>
      </c>
      <c r="F413" s="43" t="s">
        <v>2050</v>
      </c>
      <c r="G413" s="43" t="s">
        <v>2009</v>
      </c>
      <c r="H413" s="50">
        <v>2.5642</v>
      </c>
      <c r="I413" s="50">
        <v>0.32590000000000002</v>
      </c>
      <c r="J413" s="50">
        <v>20.178100000000001</v>
      </c>
      <c r="K413" s="50">
        <v>0.37098325277221378</v>
      </c>
      <c r="L413" s="6">
        <v>4832</v>
      </c>
      <c r="M413" s="57">
        <v>16</v>
      </c>
      <c r="N413" s="57"/>
      <c r="O413" s="57"/>
      <c r="P413" s="57"/>
      <c r="Q413" s="57"/>
      <c r="R413" s="57"/>
      <c r="S413" s="57"/>
      <c r="T413" s="57" t="s">
        <v>2023</v>
      </c>
      <c r="U413" s="57" t="s">
        <v>2024</v>
      </c>
    </row>
    <row r="414" spans="1:22" ht="18" customHeight="1" x14ac:dyDescent="0.15">
      <c r="A414" s="5" t="s">
        <v>2021</v>
      </c>
      <c r="B414" s="6" t="s">
        <v>2049</v>
      </c>
      <c r="C414" s="6" t="s">
        <v>2022</v>
      </c>
      <c r="D414" s="8" t="s">
        <v>2032</v>
      </c>
      <c r="E414" s="8" t="s">
        <v>2049</v>
      </c>
      <c r="F414" s="43" t="s">
        <v>2050</v>
      </c>
      <c r="G414" s="43" t="s">
        <v>2009</v>
      </c>
      <c r="H414" s="50">
        <v>6.3967000000000001</v>
      </c>
      <c r="I414" s="50">
        <v>2.8715000000000002</v>
      </c>
      <c r="J414" s="50">
        <v>14.249599999999999</v>
      </c>
      <c r="K414" s="50">
        <v>5.5925125798894568E-6</v>
      </c>
      <c r="L414" s="6">
        <v>318944</v>
      </c>
      <c r="M414" s="57">
        <v>91</v>
      </c>
      <c r="N414" s="57"/>
      <c r="O414" s="57"/>
      <c r="P414" s="57"/>
      <c r="Q414" s="57"/>
      <c r="R414" s="57"/>
      <c r="S414" s="57"/>
      <c r="T414" s="57" t="s">
        <v>2023</v>
      </c>
      <c r="U414" s="57" t="s">
        <v>2025</v>
      </c>
    </row>
    <row r="415" spans="1:22" ht="18" customHeight="1" x14ac:dyDescent="0.15">
      <c r="A415" s="5" t="s">
        <v>2021</v>
      </c>
      <c r="B415" s="6" t="s">
        <v>2049</v>
      </c>
      <c r="C415" s="6" t="s">
        <v>2022</v>
      </c>
      <c r="D415" s="8" t="s">
        <v>2032</v>
      </c>
      <c r="E415" s="8" t="s">
        <v>2049</v>
      </c>
      <c r="F415" s="43" t="s">
        <v>2050</v>
      </c>
      <c r="G415" s="43" t="s">
        <v>2009</v>
      </c>
      <c r="H415" s="50">
        <v>3.7776000000000001</v>
      </c>
      <c r="I415" s="50">
        <v>2.4068999999999998</v>
      </c>
      <c r="J415" s="50">
        <v>5.9291</v>
      </c>
      <c r="K415" s="50">
        <v>7.5182905640012998E-9</v>
      </c>
      <c r="L415" s="6">
        <v>163252</v>
      </c>
      <c r="M415" s="57">
        <v>321</v>
      </c>
      <c r="N415" s="57"/>
      <c r="O415" s="57"/>
      <c r="P415" s="57"/>
      <c r="Q415" s="57"/>
      <c r="R415" s="57"/>
      <c r="S415" s="57"/>
      <c r="T415" s="57" t="s">
        <v>2023</v>
      </c>
      <c r="U415" s="57" t="s">
        <v>2026</v>
      </c>
    </row>
    <row r="416" spans="1:22" ht="18" customHeight="1" x14ac:dyDescent="0.15">
      <c r="A416" s="5" t="s">
        <v>2021</v>
      </c>
      <c r="B416" s="6" t="s">
        <v>2049</v>
      </c>
      <c r="C416" s="6" t="s">
        <v>2022</v>
      </c>
      <c r="D416" s="8" t="s">
        <v>2032</v>
      </c>
      <c r="E416" s="8" t="s">
        <v>2049</v>
      </c>
      <c r="F416" s="43" t="s">
        <v>2050</v>
      </c>
      <c r="G416" s="43" t="s">
        <v>2009</v>
      </c>
      <c r="H416" s="50">
        <v>2.1459999999999999</v>
      </c>
      <c r="I416" s="50">
        <v>0.30370000000000003</v>
      </c>
      <c r="J416" s="50">
        <v>15.167</v>
      </c>
      <c r="K416" s="50">
        <v>0.44404885992789012</v>
      </c>
      <c r="L416" s="6">
        <v>3528</v>
      </c>
      <c r="M416" s="57">
        <v>21</v>
      </c>
      <c r="N416" s="57"/>
      <c r="O416" s="57"/>
      <c r="P416" s="57"/>
      <c r="Q416" s="57"/>
      <c r="R416" s="57"/>
      <c r="S416" s="57"/>
      <c r="T416" s="57" t="s">
        <v>2027</v>
      </c>
      <c r="U416" s="57" t="s">
        <v>2024</v>
      </c>
    </row>
    <row r="417" spans="1:21" ht="18" customHeight="1" x14ac:dyDescent="0.15">
      <c r="A417" s="5" t="s">
        <v>2021</v>
      </c>
      <c r="B417" s="6" t="s">
        <v>2049</v>
      </c>
      <c r="C417" s="6" t="s">
        <v>2022</v>
      </c>
      <c r="D417" s="8" t="s">
        <v>2032</v>
      </c>
      <c r="E417" s="8" t="s">
        <v>2049</v>
      </c>
      <c r="F417" s="43" t="s">
        <v>2050</v>
      </c>
      <c r="G417" s="43" t="s">
        <v>2009</v>
      </c>
      <c r="H417" s="50">
        <v>6.5042</v>
      </c>
      <c r="I417" s="50">
        <v>3.2458999999999998</v>
      </c>
      <c r="J417" s="50">
        <v>13.033099999999999</v>
      </c>
      <c r="K417" s="50">
        <v>1.290720240572555E-7</v>
      </c>
      <c r="L417" s="6">
        <v>428779</v>
      </c>
      <c r="M417" s="57">
        <v>117</v>
      </c>
      <c r="N417" s="57"/>
      <c r="O417" s="57"/>
      <c r="P417" s="57"/>
      <c r="Q417" s="57"/>
      <c r="R417" s="57"/>
      <c r="S417" s="57"/>
      <c r="T417" s="57" t="s">
        <v>2027</v>
      </c>
      <c r="U417" s="57" t="s">
        <v>2025</v>
      </c>
    </row>
    <row r="418" spans="1:21" ht="18" customHeight="1" x14ac:dyDescent="0.15">
      <c r="A418" s="5" t="s">
        <v>2021</v>
      </c>
      <c r="B418" s="6" t="s">
        <v>2049</v>
      </c>
      <c r="C418" s="6" t="s">
        <v>2022</v>
      </c>
      <c r="D418" s="8" t="s">
        <v>2032</v>
      </c>
      <c r="E418" s="8" t="s">
        <v>2049</v>
      </c>
      <c r="F418" s="43" t="s">
        <v>2050</v>
      </c>
      <c r="G418" s="43" t="s">
        <v>2009</v>
      </c>
      <c r="H418" s="50">
        <v>3.0297000000000001</v>
      </c>
      <c r="I418" s="50">
        <v>1.8822000000000001</v>
      </c>
      <c r="J418" s="50">
        <v>4.8766999999999996</v>
      </c>
      <c r="K418" s="50">
        <v>5.0171518044062506E-6</v>
      </c>
      <c r="L418" s="6">
        <v>54721</v>
      </c>
      <c r="M418" s="57">
        <v>290</v>
      </c>
      <c r="N418" s="57"/>
      <c r="O418" s="57"/>
      <c r="P418" s="57"/>
      <c r="Q418" s="57"/>
      <c r="R418" s="57"/>
      <c r="S418" s="57"/>
      <c r="T418" s="57" t="s">
        <v>2027</v>
      </c>
      <c r="U418" s="57" t="s">
        <v>2026</v>
      </c>
    </row>
    <row r="419" spans="1:21" ht="18" customHeight="1" x14ac:dyDescent="0.15">
      <c r="A419" s="5" t="s">
        <v>2021</v>
      </c>
      <c r="B419" s="6" t="s">
        <v>2049</v>
      </c>
      <c r="C419" s="6" t="s">
        <v>2022</v>
      </c>
      <c r="D419" s="8" t="s">
        <v>2032</v>
      </c>
      <c r="E419" s="8" t="s">
        <v>2049</v>
      </c>
      <c r="F419" s="43" t="s">
        <v>2050</v>
      </c>
      <c r="G419" s="43" t="s">
        <v>2009</v>
      </c>
      <c r="H419" s="50">
        <v>4.5690999999999997</v>
      </c>
      <c r="I419" s="50">
        <v>3.0367999999999999</v>
      </c>
      <c r="J419" s="50">
        <v>6.8746</v>
      </c>
      <c r="K419" s="50">
        <v>3.1147873933560408E-13</v>
      </c>
      <c r="L419" s="6">
        <v>318468</v>
      </c>
      <c r="M419" s="57">
        <v>339</v>
      </c>
      <c r="N419" s="57"/>
      <c r="O419" s="57"/>
      <c r="P419" s="57"/>
      <c r="Q419" s="57"/>
      <c r="R419" s="57"/>
      <c r="S419" s="57"/>
      <c r="T419" s="57" t="s">
        <v>2028</v>
      </c>
      <c r="U419" s="57" t="s">
        <v>2029</v>
      </c>
    </row>
    <row r="420" spans="1:21" ht="18" customHeight="1" x14ac:dyDescent="0.15">
      <c r="A420" s="5" t="s">
        <v>2021</v>
      </c>
      <c r="B420" s="6" t="s">
        <v>2049</v>
      </c>
      <c r="C420" s="6" t="s">
        <v>2022</v>
      </c>
      <c r="D420" s="8" t="s">
        <v>2032</v>
      </c>
      <c r="E420" s="8" t="s">
        <v>2049</v>
      </c>
      <c r="F420" s="43" t="s">
        <v>2050</v>
      </c>
      <c r="G420" s="43" t="s">
        <v>2009</v>
      </c>
      <c r="H420" s="50">
        <v>4.6562999999999999</v>
      </c>
      <c r="I420" s="50">
        <v>1.5911</v>
      </c>
      <c r="J420" s="50">
        <v>13.6264</v>
      </c>
      <c r="K420" s="50">
        <v>4.9900483184038696E-3</v>
      </c>
      <c r="L420" s="6">
        <v>168560</v>
      </c>
      <c r="M420" s="57">
        <v>89</v>
      </c>
      <c r="N420" s="57"/>
      <c r="O420" s="57"/>
      <c r="P420" s="57"/>
      <c r="Q420" s="57"/>
      <c r="R420" s="57"/>
      <c r="S420" s="57"/>
      <c r="T420" s="57" t="s">
        <v>2028</v>
      </c>
      <c r="U420" s="57" t="s">
        <v>2030</v>
      </c>
    </row>
    <row r="421" spans="1:21" ht="18" customHeight="1" x14ac:dyDescent="0.15">
      <c r="A421" s="5" t="s">
        <v>2004</v>
      </c>
      <c r="B421" s="6" t="s">
        <v>2049</v>
      </c>
      <c r="C421" s="6" t="s">
        <v>2006</v>
      </c>
      <c r="D421" s="8" t="s">
        <v>2033</v>
      </c>
      <c r="E421" s="8" t="s">
        <v>2049</v>
      </c>
      <c r="F421" s="43" t="s">
        <v>2050</v>
      </c>
      <c r="G421" s="43" t="s">
        <v>2009</v>
      </c>
      <c r="H421" s="50">
        <v>4.7245999999999997</v>
      </c>
      <c r="I421" s="50"/>
      <c r="J421" s="50"/>
      <c r="K421" s="50"/>
      <c r="L421" s="6">
        <v>487778</v>
      </c>
      <c r="M421" s="57">
        <v>143</v>
      </c>
      <c r="N421" s="57">
        <v>30081</v>
      </c>
      <c r="O421" s="57">
        <v>11</v>
      </c>
      <c r="P421" s="57">
        <v>113475.6</v>
      </c>
      <c r="Q421" s="57">
        <v>132</v>
      </c>
      <c r="R421" s="57">
        <v>6433536.5</v>
      </c>
      <c r="S421" s="57">
        <v>4.7245999999999997</v>
      </c>
      <c r="T421" s="57"/>
      <c r="U421" s="57"/>
    </row>
    <row r="422" spans="1:21" ht="18" customHeight="1" x14ac:dyDescent="0.15">
      <c r="A422" s="5" t="s">
        <v>2004</v>
      </c>
      <c r="B422" s="6" t="s">
        <v>2049</v>
      </c>
      <c r="C422" s="6" t="s">
        <v>2010</v>
      </c>
      <c r="D422" s="8" t="s">
        <v>2033</v>
      </c>
      <c r="E422" s="8" t="s">
        <v>2049</v>
      </c>
      <c r="F422" s="43" t="s">
        <v>2050</v>
      </c>
      <c r="G422" s="43" t="s">
        <v>2009</v>
      </c>
      <c r="H422" s="50">
        <v>4.7245999999999997</v>
      </c>
      <c r="I422" s="50">
        <v>2.5547</v>
      </c>
      <c r="J422" s="50">
        <v>8.7377000000000002</v>
      </c>
      <c r="K422" s="50">
        <v>7.4303374489708236E-7</v>
      </c>
      <c r="L422" s="6">
        <v>487778</v>
      </c>
      <c r="M422" s="57">
        <v>143</v>
      </c>
      <c r="N422" s="57">
        <v>30081</v>
      </c>
      <c r="O422" s="57">
        <v>11</v>
      </c>
      <c r="P422" s="57">
        <v>113475.6</v>
      </c>
      <c r="Q422" s="57">
        <v>132</v>
      </c>
      <c r="R422" s="57">
        <v>6433536.5</v>
      </c>
      <c r="S422" s="57">
        <v>4.7245999999999997</v>
      </c>
      <c r="T422" s="57"/>
      <c r="U422" s="57"/>
    </row>
    <row r="423" spans="1:21" ht="18" customHeight="1" x14ac:dyDescent="0.15">
      <c r="A423" s="5" t="s">
        <v>2004</v>
      </c>
      <c r="B423" s="6" t="s">
        <v>2049</v>
      </c>
      <c r="C423" s="6" t="s">
        <v>2011</v>
      </c>
      <c r="D423" s="8" t="s">
        <v>2033</v>
      </c>
      <c r="E423" s="8" t="s">
        <v>2049</v>
      </c>
      <c r="F423" s="43" t="s">
        <v>2050</v>
      </c>
      <c r="G423" s="43" t="s">
        <v>2009</v>
      </c>
      <c r="H423" s="50">
        <v>6.2019000000000002</v>
      </c>
      <c r="I423" s="50">
        <v>3.3191999999999999</v>
      </c>
      <c r="J423" s="50">
        <v>11.588200000000001</v>
      </c>
      <c r="K423" s="50">
        <v>1.0563858908307339E-8</v>
      </c>
      <c r="L423" s="6">
        <v>487778</v>
      </c>
      <c r="M423" s="57">
        <v>143</v>
      </c>
      <c r="N423" s="57">
        <v>30081</v>
      </c>
      <c r="O423" s="57">
        <v>11</v>
      </c>
      <c r="P423" s="57">
        <v>113475.6</v>
      </c>
      <c r="Q423" s="57">
        <v>132</v>
      </c>
      <c r="R423" s="57">
        <v>6433536.5</v>
      </c>
      <c r="S423" s="57">
        <v>4.7245999999999997</v>
      </c>
      <c r="T423" s="57"/>
      <c r="U423" s="57"/>
    </row>
    <row r="424" spans="1:21" ht="18" customHeight="1" x14ac:dyDescent="0.15">
      <c r="A424" s="5" t="s">
        <v>2004</v>
      </c>
      <c r="B424" s="6" t="s">
        <v>2049</v>
      </c>
      <c r="C424" s="6" t="s">
        <v>2012</v>
      </c>
      <c r="D424" s="8" t="s">
        <v>2033</v>
      </c>
      <c r="E424" s="8" t="s">
        <v>2049</v>
      </c>
      <c r="F424" s="43" t="s">
        <v>2050</v>
      </c>
      <c r="G424" s="43" t="s">
        <v>2009</v>
      </c>
      <c r="H424" s="50">
        <v>4.7735000000000003</v>
      </c>
      <c r="I424" s="50">
        <v>2.5152999999999999</v>
      </c>
      <c r="J424" s="50">
        <v>9.0591000000000008</v>
      </c>
      <c r="K424" s="50">
        <v>1.7388564157203659E-6</v>
      </c>
      <c r="L424" s="6">
        <v>487778</v>
      </c>
      <c r="M424" s="57">
        <v>143</v>
      </c>
      <c r="N424" s="57">
        <v>30081</v>
      </c>
      <c r="O424" s="57">
        <v>11</v>
      </c>
      <c r="P424" s="57">
        <v>113475.6</v>
      </c>
      <c r="Q424" s="57">
        <v>132</v>
      </c>
      <c r="R424" s="57">
        <v>6433536.5</v>
      </c>
      <c r="S424" s="57">
        <v>4.7245999999999997</v>
      </c>
      <c r="T424" s="57"/>
      <c r="U424" s="57"/>
    </row>
    <row r="425" spans="1:21" ht="18" customHeight="1" x14ac:dyDescent="0.15">
      <c r="A425" s="5" t="s">
        <v>2004</v>
      </c>
      <c r="B425" s="6" t="s">
        <v>2049</v>
      </c>
      <c r="C425" s="6" t="s">
        <v>2013</v>
      </c>
      <c r="D425" s="8" t="s">
        <v>2033</v>
      </c>
      <c r="E425" s="8" t="s">
        <v>2049</v>
      </c>
      <c r="F425" s="43" t="s">
        <v>2050</v>
      </c>
      <c r="G425" s="43" t="s">
        <v>2009</v>
      </c>
      <c r="H425" s="50">
        <v>4.8532999999999999</v>
      </c>
      <c r="I425" s="50">
        <v>2.5495000000000001</v>
      </c>
      <c r="J425" s="50">
        <v>9.2390000000000008</v>
      </c>
      <c r="K425" s="50">
        <v>1.51513504783918E-6</v>
      </c>
      <c r="L425" s="6">
        <v>487778</v>
      </c>
      <c r="M425" s="57">
        <v>143</v>
      </c>
      <c r="N425" s="57">
        <v>30081</v>
      </c>
      <c r="O425" s="57">
        <v>11</v>
      </c>
      <c r="P425" s="57">
        <v>113475.6</v>
      </c>
      <c r="Q425" s="57">
        <v>132</v>
      </c>
      <c r="R425" s="57">
        <v>6433536.5</v>
      </c>
      <c r="S425" s="57">
        <v>4.7245999999999997</v>
      </c>
      <c r="T425" s="57"/>
      <c r="U425" s="57"/>
    </row>
    <row r="426" spans="1:21" ht="18" customHeight="1" x14ac:dyDescent="0.15">
      <c r="A426" s="5" t="s">
        <v>2004</v>
      </c>
      <c r="B426" s="6" t="s">
        <v>2049</v>
      </c>
      <c r="C426" s="6" t="s">
        <v>2006</v>
      </c>
      <c r="D426" s="8" t="s">
        <v>2034</v>
      </c>
      <c r="E426" s="8" t="s">
        <v>2049</v>
      </c>
      <c r="F426" s="43" t="s">
        <v>2050</v>
      </c>
      <c r="G426" s="43" t="s">
        <v>2009</v>
      </c>
      <c r="H426" s="50">
        <v>1.6486000000000001</v>
      </c>
      <c r="I426" s="50"/>
      <c r="J426" s="50"/>
      <c r="K426" s="50"/>
      <c r="L426" s="6">
        <v>487665</v>
      </c>
      <c r="M426" s="57">
        <v>177</v>
      </c>
      <c r="N426" s="57">
        <v>30069</v>
      </c>
      <c r="O426" s="57">
        <v>5</v>
      </c>
      <c r="P426" s="57">
        <v>113418.5</v>
      </c>
      <c r="Q426" s="57">
        <v>172</v>
      </c>
      <c r="R426" s="57">
        <v>6432128.9000000004</v>
      </c>
      <c r="S426" s="57">
        <v>1.6486000000000001</v>
      </c>
      <c r="T426" s="57"/>
      <c r="U426" s="57"/>
    </row>
    <row r="427" spans="1:21" ht="18" customHeight="1" x14ac:dyDescent="0.15">
      <c r="A427" s="5" t="s">
        <v>2004</v>
      </c>
      <c r="B427" s="6" t="s">
        <v>2049</v>
      </c>
      <c r="C427" s="6" t="s">
        <v>2010</v>
      </c>
      <c r="D427" s="8" t="s">
        <v>2034</v>
      </c>
      <c r="E427" s="8" t="s">
        <v>2049</v>
      </c>
      <c r="F427" s="43" t="s">
        <v>2050</v>
      </c>
      <c r="G427" s="43" t="s">
        <v>2009</v>
      </c>
      <c r="H427" s="50">
        <v>1.6486000000000001</v>
      </c>
      <c r="I427" s="50">
        <v>0.67759999999999998</v>
      </c>
      <c r="J427" s="50">
        <v>4.0110000000000001</v>
      </c>
      <c r="K427" s="50">
        <v>0.27045331686466401</v>
      </c>
      <c r="L427" s="6">
        <v>487665</v>
      </c>
      <c r="M427" s="57">
        <v>177</v>
      </c>
      <c r="N427" s="57">
        <v>30069</v>
      </c>
      <c r="O427" s="57">
        <v>5</v>
      </c>
      <c r="P427" s="57">
        <v>113418.5</v>
      </c>
      <c r="Q427" s="57">
        <v>172</v>
      </c>
      <c r="R427" s="57">
        <v>6432128.9000000004</v>
      </c>
      <c r="S427" s="57">
        <v>1.6486000000000001</v>
      </c>
      <c r="T427" s="57"/>
      <c r="U427" s="57"/>
    </row>
    <row r="428" spans="1:21" ht="18" customHeight="1" x14ac:dyDescent="0.15">
      <c r="A428" s="5" t="s">
        <v>2004</v>
      </c>
      <c r="B428" s="6" t="s">
        <v>2049</v>
      </c>
      <c r="C428" s="6" t="s">
        <v>2011</v>
      </c>
      <c r="D428" s="8" t="s">
        <v>2034</v>
      </c>
      <c r="E428" s="8" t="s">
        <v>2049</v>
      </c>
      <c r="F428" s="43" t="s">
        <v>2050</v>
      </c>
      <c r="G428" s="43" t="s">
        <v>2009</v>
      </c>
      <c r="H428" s="50">
        <v>1.6521999999999999</v>
      </c>
      <c r="I428" s="50">
        <v>0.67</v>
      </c>
      <c r="J428" s="50">
        <v>4.0742000000000003</v>
      </c>
      <c r="K428" s="50">
        <v>0.2755398144064527</v>
      </c>
      <c r="L428" s="6">
        <v>487665</v>
      </c>
      <c r="M428" s="57">
        <v>177</v>
      </c>
      <c r="N428" s="57">
        <v>30069</v>
      </c>
      <c r="O428" s="57">
        <v>5</v>
      </c>
      <c r="P428" s="57">
        <v>113418.5</v>
      </c>
      <c r="Q428" s="57">
        <v>172</v>
      </c>
      <c r="R428" s="57">
        <v>6432128.9000000004</v>
      </c>
      <c r="S428" s="57">
        <v>1.6486000000000001</v>
      </c>
      <c r="T428" s="57"/>
      <c r="U428" s="57"/>
    </row>
    <row r="429" spans="1:21" ht="18" customHeight="1" x14ac:dyDescent="0.15">
      <c r="A429" s="5" t="s">
        <v>2004</v>
      </c>
      <c r="B429" s="6" t="s">
        <v>2049</v>
      </c>
      <c r="C429" s="6" t="s">
        <v>2012</v>
      </c>
      <c r="D429" s="8" t="s">
        <v>2034</v>
      </c>
      <c r="E429" s="8" t="s">
        <v>2049</v>
      </c>
      <c r="F429" s="43" t="s">
        <v>2050</v>
      </c>
      <c r="G429" s="43" t="s">
        <v>2009</v>
      </c>
      <c r="H429" s="50">
        <v>1.3983000000000001</v>
      </c>
      <c r="I429" s="50">
        <v>0.55979999999999996</v>
      </c>
      <c r="J429" s="50">
        <v>3.4927999999999999</v>
      </c>
      <c r="K429" s="50">
        <v>0.47294745761013918</v>
      </c>
      <c r="L429" s="6">
        <v>487665</v>
      </c>
      <c r="M429" s="57">
        <v>177</v>
      </c>
      <c r="N429" s="57">
        <v>30069</v>
      </c>
      <c r="O429" s="57">
        <v>5</v>
      </c>
      <c r="P429" s="57">
        <v>113418.5</v>
      </c>
      <c r="Q429" s="57">
        <v>172</v>
      </c>
      <c r="R429" s="57">
        <v>6432128.9000000004</v>
      </c>
      <c r="S429" s="57">
        <v>1.6486000000000001</v>
      </c>
      <c r="T429" s="57"/>
      <c r="U429" s="57"/>
    </row>
    <row r="430" spans="1:21" ht="18" customHeight="1" x14ac:dyDescent="0.15">
      <c r="A430" s="5" t="s">
        <v>2004</v>
      </c>
      <c r="B430" s="6" t="s">
        <v>2049</v>
      </c>
      <c r="C430" s="6" t="s">
        <v>2013</v>
      </c>
      <c r="D430" s="8" t="s">
        <v>2034</v>
      </c>
      <c r="E430" s="8" t="s">
        <v>2049</v>
      </c>
      <c r="F430" s="43" t="s">
        <v>2050</v>
      </c>
      <c r="G430" s="43" t="s">
        <v>2009</v>
      </c>
      <c r="H430" s="50">
        <v>1.3520000000000001</v>
      </c>
      <c r="I430" s="50">
        <v>0.53990000000000005</v>
      </c>
      <c r="J430" s="50">
        <v>3.3851</v>
      </c>
      <c r="K430" s="50">
        <v>0.51961542586359633</v>
      </c>
      <c r="L430" s="6">
        <v>487665</v>
      </c>
      <c r="M430" s="57">
        <v>177</v>
      </c>
      <c r="N430" s="57">
        <v>30069</v>
      </c>
      <c r="O430" s="57">
        <v>5</v>
      </c>
      <c r="P430" s="57">
        <v>113418.5</v>
      </c>
      <c r="Q430" s="57">
        <v>172</v>
      </c>
      <c r="R430" s="57">
        <v>6432128.9000000004</v>
      </c>
      <c r="S430" s="57">
        <v>1.6486000000000001</v>
      </c>
      <c r="T430" s="57"/>
      <c r="U430" s="57"/>
    </row>
    <row r="431" spans="1:21" ht="18" customHeight="1" x14ac:dyDescent="0.15">
      <c r="A431" s="5" t="s">
        <v>2004</v>
      </c>
      <c r="B431" s="6" t="s">
        <v>2049</v>
      </c>
      <c r="C431" s="6" t="s">
        <v>2006</v>
      </c>
      <c r="D431" s="8" t="s">
        <v>2035</v>
      </c>
      <c r="E431" s="8" t="s">
        <v>2049</v>
      </c>
      <c r="F431" s="43" t="s">
        <v>2050</v>
      </c>
      <c r="G431" s="43" t="s">
        <v>2009</v>
      </c>
      <c r="H431" s="50">
        <v>2.6074000000000002</v>
      </c>
      <c r="I431" s="50"/>
      <c r="J431" s="50"/>
      <c r="K431" s="50"/>
      <c r="L431" s="6">
        <v>486195</v>
      </c>
      <c r="M431" s="57">
        <v>732</v>
      </c>
      <c r="N431" s="57">
        <v>29797</v>
      </c>
      <c r="O431" s="57">
        <v>32</v>
      </c>
      <c r="P431" s="57">
        <v>112485.7</v>
      </c>
      <c r="Q431" s="57">
        <v>700</v>
      </c>
      <c r="R431" s="57">
        <v>6415718.5999999996</v>
      </c>
      <c r="S431" s="57">
        <v>2.6074000000000002</v>
      </c>
      <c r="T431" s="57"/>
      <c r="U431" s="57"/>
    </row>
    <row r="432" spans="1:21" ht="18" customHeight="1" x14ac:dyDescent="0.15">
      <c r="A432" s="5" t="s">
        <v>2004</v>
      </c>
      <c r="B432" s="6" t="s">
        <v>2049</v>
      </c>
      <c r="C432" s="6" t="s">
        <v>2010</v>
      </c>
      <c r="D432" s="8" t="s">
        <v>2035</v>
      </c>
      <c r="E432" s="8" t="s">
        <v>2049</v>
      </c>
      <c r="F432" s="43" t="s">
        <v>2050</v>
      </c>
      <c r="G432" s="43" t="s">
        <v>2009</v>
      </c>
      <c r="H432" s="50">
        <v>2.6074000000000002</v>
      </c>
      <c r="I432" s="50">
        <v>1.8302</v>
      </c>
      <c r="J432" s="50">
        <v>3.7145999999999999</v>
      </c>
      <c r="K432" s="50">
        <v>1.115175715004651E-7</v>
      </c>
      <c r="L432" s="6">
        <v>486195</v>
      </c>
      <c r="M432" s="57">
        <v>732</v>
      </c>
      <c r="N432" s="57">
        <v>29797</v>
      </c>
      <c r="O432" s="57">
        <v>32</v>
      </c>
      <c r="P432" s="57">
        <v>112485.7</v>
      </c>
      <c r="Q432" s="57">
        <v>700</v>
      </c>
      <c r="R432" s="57">
        <v>6415718.5999999996</v>
      </c>
      <c r="S432" s="57">
        <v>2.6074000000000002</v>
      </c>
      <c r="T432" s="57"/>
      <c r="U432" s="57"/>
    </row>
    <row r="433" spans="1:22" ht="18" customHeight="1" x14ac:dyDescent="0.15">
      <c r="A433" s="5" t="s">
        <v>2004</v>
      </c>
      <c r="B433" s="6" t="s">
        <v>2049</v>
      </c>
      <c r="C433" s="6" t="s">
        <v>2011</v>
      </c>
      <c r="D433" s="8" t="s">
        <v>2035</v>
      </c>
      <c r="E433" s="8" t="s">
        <v>2049</v>
      </c>
      <c r="F433" s="43" t="s">
        <v>2050</v>
      </c>
      <c r="G433" s="43" t="s">
        <v>2009</v>
      </c>
      <c r="H433" s="50">
        <v>2.9157000000000002</v>
      </c>
      <c r="I433" s="50">
        <v>2.0139999999999998</v>
      </c>
      <c r="J433" s="50">
        <v>4.2211999999999996</v>
      </c>
      <c r="K433" s="50">
        <v>1.4405971911984611E-8</v>
      </c>
      <c r="L433" s="6">
        <v>486195</v>
      </c>
      <c r="M433" s="57">
        <v>732</v>
      </c>
      <c r="N433" s="57">
        <v>29797</v>
      </c>
      <c r="O433" s="57">
        <v>32</v>
      </c>
      <c r="P433" s="57">
        <v>112485.7</v>
      </c>
      <c r="Q433" s="57">
        <v>700</v>
      </c>
      <c r="R433" s="57">
        <v>6415718.5999999996</v>
      </c>
      <c r="S433" s="57">
        <v>2.6074000000000002</v>
      </c>
      <c r="T433" s="57"/>
      <c r="U433" s="57"/>
    </row>
    <row r="434" spans="1:22" ht="18" customHeight="1" x14ac:dyDescent="0.15">
      <c r="A434" s="5" t="s">
        <v>2004</v>
      </c>
      <c r="B434" s="6" t="s">
        <v>2049</v>
      </c>
      <c r="C434" s="6" t="s">
        <v>2012</v>
      </c>
      <c r="D434" s="8" t="s">
        <v>2035</v>
      </c>
      <c r="E434" s="8" t="s">
        <v>2049</v>
      </c>
      <c r="F434" s="43" t="s">
        <v>2050</v>
      </c>
      <c r="G434" s="43" t="s">
        <v>2009</v>
      </c>
      <c r="H434" s="50">
        <v>2.3845999999999998</v>
      </c>
      <c r="I434" s="50">
        <v>1.647</v>
      </c>
      <c r="J434" s="50">
        <v>3.4523999999999999</v>
      </c>
      <c r="K434" s="50">
        <v>4.1672226254666134E-6</v>
      </c>
      <c r="L434" s="6">
        <v>486195</v>
      </c>
      <c r="M434" s="57">
        <v>732</v>
      </c>
      <c r="N434" s="57">
        <v>29797</v>
      </c>
      <c r="O434" s="57">
        <v>32</v>
      </c>
      <c r="P434" s="57">
        <v>112485.7</v>
      </c>
      <c r="Q434" s="57">
        <v>700</v>
      </c>
      <c r="R434" s="57">
        <v>6415718.5999999996</v>
      </c>
      <c r="S434" s="57">
        <v>2.6074000000000002</v>
      </c>
      <c r="T434" s="57"/>
      <c r="U434" s="57"/>
    </row>
    <row r="435" spans="1:22" ht="18" customHeight="1" x14ac:dyDescent="0.15">
      <c r="A435" s="5" t="s">
        <v>2004</v>
      </c>
      <c r="B435" s="6" t="s">
        <v>2049</v>
      </c>
      <c r="C435" s="6" t="s">
        <v>2013</v>
      </c>
      <c r="D435" s="8" t="s">
        <v>2035</v>
      </c>
      <c r="E435" s="8" t="s">
        <v>2049</v>
      </c>
      <c r="F435" s="43" t="s">
        <v>2050</v>
      </c>
      <c r="G435" s="43" t="s">
        <v>2009</v>
      </c>
      <c r="H435" s="50">
        <v>2.3610000000000002</v>
      </c>
      <c r="I435" s="50">
        <v>1.63</v>
      </c>
      <c r="J435" s="50">
        <v>3.4198</v>
      </c>
      <c r="K435" s="50">
        <v>5.5087434116079608E-6</v>
      </c>
      <c r="L435" s="6">
        <v>486195</v>
      </c>
      <c r="M435" s="57">
        <v>732</v>
      </c>
      <c r="N435" s="57">
        <v>29797</v>
      </c>
      <c r="O435" s="57">
        <v>32</v>
      </c>
      <c r="P435" s="57">
        <v>112485.7</v>
      </c>
      <c r="Q435" s="57">
        <v>700</v>
      </c>
      <c r="R435" s="57">
        <v>6415718.5999999996</v>
      </c>
      <c r="S435" s="57">
        <v>2.6074000000000002</v>
      </c>
      <c r="T435" s="57"/>
      <c r="U435" s="57"/>
    </row>
    <row r="436" spans="1:22" ht="18" customHeight="1" x14ac:dyDescent="0.15">
      <c r="A436" s="5" t="s">
        <v>2014</v>
      </c>
      <c r="B436" s="6" t="s">
        <v>2049</v>
      </c>
      <c r="C436" s="6" t="s">
        <v>2015</v>
      </c>
      <c r="D436" s="8" t="s">
        <v>2035</v>
      </c>
      <c r="E436" s="8" t="s">
        <v>2049</v>
      </c>
      <c r="F436" s="43" t="s">
        <v>2050</v>
      </c>
      <c r="G436" s="43" t="s">
        <v>2009</v>
      </c>
      <c r="H436" s="50">
        <v>2.6074000000000002</v>
      </c>
      <c r="I436" s="50">
        <v>1.8302</v>
      </c>
      <c r="J436" s="50">
        <v>3.7145999999999999</v>
      </c>
      <c r="K436" s="50">
        <v>1.115175715004651E-7</v>
      </c>
      <c r="L436" s="6">
        <v>486195</v>
      </c>
      <c r="M436" s="57">
        <v>732</v>
      </c>
      <c r="N436" s="57"/>
      <c r="O436" s="57"/>
      <c r="P436" s="57"/>
      <c r="Q436" s="57"/>
      <c r="R436" s="57"/>
      <c r="S436" s="57"/>
      <c r="T436" s="57"/>
      <c r="U436" s="57"/>
    </row>
    <row r="437" spans="1:22" ht="18" customHeight="1" x14ac:dyDescent="0.15">
      <c r="A437" s="5" t="s">
        <v>2014</v>
      </c>
      <c r="B437" s="6" t="s">
        <v>2049</v>
      </c>
      <c r="C437" s="6" t="s">
        <v>2016</v>
      </c>
      <c r="D437" s="8" t="s">
        <v>2035</v>
      </c>
      <c r="E437" s="8" t="s">
        <v>2049</v>
      </c>
      <c r="F437" s="43" t="s">
        <v>2050</v>
      </c>
      <c r="G437" s="43" t="s">
        <v>2009</v>
      </c>
      <c r="H437" s="50">
        <v>2.9157000000000002</v>
      </c>
      <c r="I437" s="50">
        <v>2.0139999999999998</v>
      </c>
      <c r="J437" s="50">
        <v>4.2211999999999996</v>
      </c>
      <c r="K437" s="50">
        <v>1.4405971911984611E-8</v>
      </c>
      <c r="L437" s="6">
        <v>486195</v>
      </c>
      <c r="M437" s="57">
        <v>732</v>
      </c>
      <c r="N437" s="57"/>
      <c r="O437" s="57"/>
      <c r="P437" s="57"/>
      <c r="Q437" s="57"/>
      <c r="R437" s="57"/>
      <c r="S437" s="57"/>
      <c r="T437" s="57"/>
      <c r="U437" s="57"/>
    </row>
    <row r="438" spans="1:22" ht="18" customHeight="1" x14ac:dyDescent="0.15">
      <c r="A438" s="5" t="s">
        <v>2014</v>
      </c>
      <c r="B438" s="6" t="s">
        <v>2049</v>
      </c>
      <c r="C438" s="6" t="s">
        <v>2017</v>
      </c>
      <c r="D438" s="8" t="s">
        <v>2035</v>
      </c>
      <c r="E438" s="8" t="s">
        <v>2049</v>
      </c>
      <c r="F438" s="43" t="s">
        <v>2050</v>
      </c>
      <c r="G438" s="43" t="s">
        <v>2009</v>
      </c>
      <c r="H438" s="50">
        <v>1.8807</v>
      </c>
      <c r="I438" s="50">
        <v>1.2981</v>
      </c>
      <c r="J438" s="50">
        <v>2.7248000000000001</v>
      </c>
      <c r="K438" s="50">
        <v>8.4039916890984003E-4</v>
      </c>
      <c r="L438" s="6">
        <v>486195</v>
      </c>
      <c r="M438" s="57">
        <v>732</v>
      </c>
      <c r="N438" s="57"/>
      <c r="O438" s="57"/>
      <c r="P438" s="57"/>
      <c r="Q438" s="57"/>
      <c r="R438" s="57"/>
      <c r="S438" s="57"/>
      <c r="T438" s="57"/>
      <c r="U438" s="57"/>
    </row>
    <row r="439" spans="1:22" ht="18" customHeight="1" x14ac:dyDescent="0.15">
      <c r="A439" s="5" t="s">
        <v>2014</v>
      </c>
      <c r="B439" s="6" t="s">
        <v>2049</v>
      </c>
      <c r="C439" s="6" t="s">
        <v>2018</v>
      </c>
      <c r="D439" s="8" t="s">
        <v>2035</v>
      </c>
      <c r="E439" s="8" t="s">
        <v>2049</v>
      </c>
      <c r="F439" s="43" t="s">
        <v>2050</v>
      </c>
      <c r="G439" s="43" t="s">
        <v>2009</v>
      </c>
      <c r="H439" s="50">
        <v>2.4434</v>
      </c>
      <c r="I439" s="50">
        <v>1.0099</v>
      </c>
      <c r="J439" s="50">
        <v>5.9119999999999999</v>
      </c>
      <c r="K439" s="50">
        <v>4.750697372125591E-2</v>
      </c>
      <c r="L439" s="6">
        <v>486195</v>
      </c>
      <c r="M439" s="57">
        <v>732</v>
      </c>
      <c r="N439" s="57"/>
      <c r="O439" s="57"/>
      <c r="P439" s="57"/>
      <c r="Q439" s="57"/>
      <c r="R439" s="57"/>
      <c r="S439" s="57"/>
      <c r="T439" s="57"/>
      <c r="U439" s="57"/>
    </row>
    <row r="440" spans="1:22" ht="18" customHeight="1" x14ac:dyDescent="0.15">
      <c r="A440" s="5" t="s">
        <v>2014</v>
      </c>
      <c r="B440" s="6" t="s">
        <v>2049</v>
      </c>
      <c r="C440" s="6" t="s">
        <v>2019</v>
      </c>
      <c r="D440" s="8" t="s">
        <v>2035</v>
      </c>
      <c r="E440" s="8" t="s">
        <v>2049</v>
      </c>
      <c r="F440" s="43" t="s">
        <v>2050</v>
      </c>
      <c r="G440" s="43" t="s">
        <v>1816</v>
      </c>
      <c r="H440" s="50">
        <v>2.8811</v>
      </c>
      <c r="I440" s="50">
        <v>1.3596999999999999</v>
      </c>
      <c r="J440" s="50">
        <v>6.1048999999999998</v>
      </c>
      <c r="K440" s="50">
        <v>5.7463854140447903E-3</v>
      </c>
      <c r="L440" s="6">
        <v>471517</v>
      </c>
      <c r="M440" s="57">
        <v>92</v>
      </c>
      <c r="N440" s="57"/>
      <c r="O440" s="57"/>
      <c r="P440" s="57"/>
      <c r="Q440" s="57"/>
      <c r="R440" s="57"/>
      <c r="S440" s="57"/>
      <c r="T440" s="57"/>
      <c r="U440" s="57"/>
      <c r="V440" t="s">
        <v>2036</v>
      </c>
    </row>
    <row r="441" spans="1:22" ht="18" customHeight="1" x14ac:dyDescent="0.15">
      <c r="A441" s="5" t="s">
        <v>2014</v>
      </c>
      <c r="B441" s="6" t="s">
        <v>2049</v>
      </c>
      <c r="C441" s="6" t="s">
        <v>2020</v>
      </c>
      <c r="D441" s="8" t="s">
        <v>2035</v>
      </c>
      <c r="E441" s="8" t="s">
        <v>2049</v>
      </c>
      <c r="F441" s="43" t="s">
        <v>2050</v>
      </c>
      <c r="G441" s="43" t="s">
        <v>2009</v>
      </c>
      <c r="H441" s="50">
        <v>2.2235999999999998</v>
      </c>
      <c r="I441" s="50">
        <v>1.5051000000000001</v>
      </c>
      <c r="J441" s="50">
        <v>3.2850000000000001</v>
      </c>
      <c r="K441" s="50">
        <v>5.9810827759541607E-5</v>
      </c>
      <c r="L441" s="6">
        <v>471519</v>
      </c>
      <c r="M441" s="57">
        <v>727</v>
      </c>
      <c r="N441" s="57"/>
      <c r="O441" s="57"/>
      <c r="P441" s="57"/>
      <c r="Q441" s="57"/>
      <c r="R441" s="57"/>
      <c r="S441" s="57"/>
      <c r="T441" s="57"/>
      <c r="U441" s="57"/>
    </row>
    <row r="442" spans="1:22" ht="18" customHeight="1" x14ac:dyDescent="0.15">
      <c r="A442" s="5" t="s">
        <v>2021</v>
      </c>
      <c r="B442" s="6" t="s">
        <v>2049</v>
      </c>
      <c r="C442" s="6" t="s">
        <v>2022</v>
      </c>
      <c r="D442" s="8" t="s">
        <v>2035</v>
      </c>
      <c r="E442" s="8" t="s">
        <v>2049</v>
      </c>
      <c r="F442" s="43" t="s">
        <v>2050</v>
      </c>
      <c r="G442" s="43" t="s">
        <v>2009</v>
      </c>
      <c r="H442" s="50">
        <v>5.2717999999999998</v>
      </c>
      <c r="I442" s="50">
        <v>0.76290000000000002</v>
      </c>
      <c r="J442" s="50">
        <v>36.427599999999998</v>
      </c>
      <c r="K442" s="50">
        <v>9.1875826738390634E-2</v>
      </c>
      <c r="L442" s="6">
        <v>4848</v>
      </c>
      <c r="M442" s="57">
        <v>13</v>
      </c>
      <c r="N442" s="57"/>
      <c r="O442" s="57"/>
      <c r="P442" s="57"/>
      <c r="Q442" s="57"/>
      <c r="R442" s="57"/>
      <c r="S442" s="57"/>
      <c r="T442" s="57" t="s">
        <v>2023</v>
      </c>
      <c r="U442" s="57" t="s">
        <v>2024</v>
      </c>
    </row>
    <row r="443" spans="1:22" ht="18" customHeight="1" x14ac:dyDescent="0.15">
      <c r="A443" s="5" t="s">
        <v>2021</v>
      </c>
      <c r="B443" s="6" t="s">
        <v>2049</v>
      </c>
      <c r="C443" s="6" t="s">
        <v>2022</v>
      </c>
      <c r="D443" s="8" t="s">
        <v>2035</v>
      </c>
      <c r="E443" s="8" t="s">
        <v>2049</v>
      </c>
      <c r="F443" s="43" t="s">
        <v>2050</v>
      </c>
      <c r="G443" s="43" t="s">
        <v>2009</v>
      </c>
      <c r="H443" s="50">
        <v>3.6484000000000001</v>
      </c>
      <c r="I443" s="50">
        <v>1.5511999999999999</v>
      </c>
      <c r="J443" s="50">
        <v>8.5810999999999993</v>
      </c>
      <c r="K443" s="50">
        <v>3.01658855414654E-3</v>
      </c>
      <c r="L443" s="6">
        <v>318991</v>
      </c>
      <c r="M443" s="57">
        <v>100</v>
      </c>
      <c r="N443" s="57"/>
      <c r="O443" s="57"/>
      <c r="P443" s="57"/>
      <c r="Q443" s="57"/>
      <c r="R443" s="57"/>
      <c r="S443" s="57"/>
      <c r="T443" s="57" t="s">
        <v>2023</v>
      </c>
      <c r="U443" s="57" t="s">
        <v>2025</v>
      </c>
    </row>
    <row r="444" spans="1:22" ht="18" customHeight="1" x14ac:dyDescent="0.15">
      <c r="A444" s="5" t="s">
        <v>2021</v>
      </c>
      <c r="B444" s="6" t="s">
        <v>2049</v>
      </c>
      <c r="C444" s="6" t="s">
        <v>2022</v>
      </c>
      <c r="D444" s="8" t="s">
        <v>2035</v>
      </c>
      <c r="E444" s="8" t="s">
        <v>2049</v>
      </c>
      <c r="F444" s="43" t="s">
        <v>2050</v>
      </c>
      <c r="G444" s="43" t="s">
        <v>2009</v>
      </c>
      <c r="H444" s="50">
        <v>2.2713000000000001</v>
      </c>
      <c r="I444" s="50">
        <v>1.4942</v>
      </c>
      <c r="J444" s="50">
        <v>3.4525000000000001</v>
      </c>
      <c r="K444" s="50">
        <v>1.2325370178957001E-4</v>
      </c>
      <c r="L444" s="6">
        <v>162356</v>
      </c>
      <c r="M444" s="57">
        <v>619</v>
      </c>
      <c r="N444" s="57"/>
      <c r="O444" s="57"/>
      <c r="P444" s="57"/>
      <c r="Q444" s="57"/>
      <c r="R444" s="57"/>
      <c r="S444" s="57"/>
      <c r="T444" s="57" t="s">
        <v>2023</v>
      </c>
      <c r="U444" s="57" t="s">
        <v>2026</v>
      </c>
    </row>
    <row r="445" spans="1:22" ht="18" customHeight="1" x14ac:dyDescent="0.15">
      <c r="A445" s="5" t="s">
        <v>2021</v>
      </c>
      <c r="B445" s="6" t="s">
        <v>2049</v>
      </c>
      <c r="C445" s="6" t="s">
        <v>2022</v>
      </c>
      <c r="D445" s="8" t="s">
        <v>2035</v>
      </c>
      <c r="E445" s="8" t="s">
        <v>2049</v>
      </c>
      <c r="F445" s="43" t="s">
        <v>2050</v>
      </c>
      <c r="G445" s="43" t="s">
        <v>2009</v>
      </c>
      <c r="H445" s="50">
        <v>5.0875000000000004</v>
      </c>
      <c r="I445" s="50">
        <v>0.76959999999999995</v>
      </c>
      <c r="J445" s="50">
        <v>33.630000000000003</v>
      </c>
      <c r="K445" s="50">
        <v>9.136829336637374E-2</v>
      </c>
      <c r="L445" s="6">
        <v>3539</v>
      </c>
      <c r="M445" s="57">
        <v>12</v>
      </c>
      <c r="N445" s="57"/>
      <c r="O445" s="57"/>
      <c r="P445" s="57"/>
      <c r="Q445" s="57"/>
      <c r="R445" s="57"/>
      <c r="S445" s="57"/>
      <c r="T445" s="57" t="s">
        <v>2027</v>
      </c>
      <c r="U445" s="57" t="s">
        <v>2024</v>
      </c>
    </row>
    <row r="446" spans="1:22" ht="18" customHeight="1" x14ac:dyDescent="0.15">
      <c r="A446" s="5" t="s">
        <v>2021</v>
      </c>
      <c r="B446" s="6" t="s">
        <v>2049</v>
      </c>
      <c r="C446" s="6" t="s">
        <v>2022</v>
      </c>
      <c r="D446" s="8" t="s">
        <v>2035</v>
      </c>
      <c r="E446" s="8" t="s">
        <v>2049</v>
      </c>
      <c r="F446" s="43" t="s">
        <v>2050</v>
      </c>
      <c r="G446" s="43" t="s">
        <v>2009</v>
      </c>
      <c r="H446" s="50">
        <v>2.5371999999999999</v>
      </c>
      <c r="I446" s="50">
        <v>1.2421</v>
      </c>
      <c r="J446" s="50">
        <v>5.1828000000000003</v>
      </c>
      <c r="K446" s="50">
        <v>1.062605167595192E-2</v>
      </c>
      <c r="L446" s="6">
        <v>428760</v>
      </c>
      <c r="M446" s="57">
        <v>236</v>
      </c>
      <c r="N446" s="57"/>
      <c r="O446" s="57"/>
      <c r="P446" s="57"/>
      <c r="Q446" s="57"/>
      <c r="R446" s="57"/>
      <c r="S446" s="57"/>
      <c r="T446" s="57" t="s">
        <v>2027</v>
      </c>
      <c r="U446" s="57" t="s">
        <v>2025</v>
      </c>
    </row>
    <row r="447" spans="1:22" ht="18" customHeight="1" x14ac:dyDescent="0.15">
      <c r="A447" s="5" t="s">
        <v>2021</v>
      </c>
      <c r="B447" s="6" t="s">
        <v>2049</v>
      </c>
      <c r="C447" s="6" t="s">
        <v>2022</v>
      </c>
      <c r="D447" s="8" t="s">
        <v>2035</v>
      </c>
      <c r="E447" s="8" t="s">
        <v>2049</v>
      </c>
      <c r="F447" s="43" t="s">
        <v>2050</v>
      </c>
      <c r="G447" s="43" t="s">
        <v>2009</v>
      </c>
      <c r="H447" s="50">
        <v>2.0710000000000002</v>
      </c>
      <c r="I447" s="50">
        <v>1.3303</v>
      </c>
      <c r="J447" s="50">
        <v>3.2244000000000002</v>
      </c>
      <c r="K447" s="50">
        <v>1.2667303537829901E-3</v>
      </c>
      <c r="L447" s="6">
        <v>53896</v>
      </c>
      <c r="M447" s="57">
        <v>484</v>
      </c>
      <c r="N447" s="57"/>
      <c r="O447" s="57"/>
      <c r="P447" s="57"/>
      <c r="Q447" s="57"/>
      <c r="R447" s="57"/>
      <c r="S447" s="57"/>
      <c r="T447" s="57" t="s">
        <v>2027</v>
      </c>
      <c r="U447" s="57" t="s">
        <v>2026</v>
      </c>
    </row>
    <row r="448" spans="1:22" ht="18" customHeight="1" x14ac:dyDescent="0.15">
      <c r="A448" s="5" t="s">
        <v>2021</v>
      </c>
      <c r="B448" s="6" t="s">
        <v>2049</v>
      </c>
      <c r="C448" s="6" t="s">
        <v>2022</v>
      </c>
      <c r="D448" s="8" t="s">
        <v>2035</v>
      </c>
      <c r="E448" s="8" t="s">
        <v>2049</v>
      </c>
      <c r="F448" s="43" t="s">
        <v>2050</v>
      </c>
      <c r="G448" s="43" t="s">
        <v>2009</v>
      </c>
      <c r="H448" s="50">
        <v>2.5855999999999999</v>
      </c>
      <c r="I448" s="50">
        <v>1.7304999999999999</v>
      </c>
      <c r="J448" s="50">
        <v>3.8631000000000002</v>
      </c>
      <c r="K448" s="50">
        <v>3.5386694433193381E-6</v>
      </c>
      <c r="L448" s="6">
        <v>317778</v>
      </c>
      <c r="M448" s="57">
        <v>597</v>
      </c>
      <c r="N448" s="57"/>
      <c r="O448" s="57"/>
      <c r="P448" s="57"/>
      <c r="Q448" s="57"/>
      <c r="R448" s="57"/>
      <c r="S448" s="57"/>
      <c r="T448" s="57" t="s">
        <v>2028</v>
      </c>
      <c r="U448" s="57" t="s">
        <v>2029</v>
      </c>
    </row>
    <row r="449" spans="1:21" ht="18" customHeight="1" x14ac:dyDescent="0.15">
      <c r="A449" s="5" t="s">
        <v>2021</v>
      </c>
      <c r="B449" s="6" t="s">
        <v>2049</v>
      </c>
      <c r="C449" s="6" t="s">
        <v>2022</v>
      </c>
      <c r="D449" s="8" t="s">
        <v>2035</v>
      </c>
      <c r="E449" s="8" t="s">
        <v>2049</v>
      </c>
      <c r="F449" s="43" t="s">
        <v>2050</v>
      </c>
      <c r="G449" s="43" t="s">
        <v>2009</v>
      </c>
      <c r="H449" s="50">
        <v>3.8673000000000002</v>
      </c>
      <c r="I449" s="50">
        <v>1.5418000000000001</v>
      </c>
      <c r="J449" s="50">
        <v>9.7004999999999999</v>
      </c>
      <c r="K449" s="50">
        <v>3.94341102638364E-3</v>
      </c>
      <c r="L449" s="6">
        <v>168417</v>
      </c>
      <c r="M449" s="57">
        <v>135</v>
      </c>
      <c r="N449" s="57"/>
      <c r="O449" s="57"/>
      <c r="P449" s="57"/>
      <c r="Q449" s="57"/>
      <c r="R449" s="57"/>
      <c r="S449" s="57"/>
      <c r="T449" s="57" t="s">
        <v>2028</v>
      </c>
      <c r="U449" s="57" t="s">
        <v>2030</v>
      </c>
    </row>
    <row r="450" spans="1:21" ht="18" customHeight="1" x14ac:dyDescent="0.15">
      <c r="A450" s="5" t="s">
        <v>2004</v>
      </c>
      <c r="B450" s="6" t="s">
        <v>2049</v>
      </c>
      <c r="C450" s="6" t="s">
        <v>2006</v>
      </c>
      <c r="D450" s="8" t="s">
        <v>2038</v>
      </c>
      <c r="E450" s="8" t="s">
        <v>2049</v>
      </c>
      <c r="F450" s="43" t="s">
        <v>2050</v>
      </c>
      <c r="G450" s="43" t="s">
        <v>2009</v>
      </c>
      <c r="H450" s="50">
        <v>3.4413999999999998</v>
      </c>
      <c r="I450" s="50"/>
      <c r="J450" s="50"/>
      <c r="K450" s="50"/>
      <c r="L450" s="6">
        <v>446133</v>
      </c>
      <c r="M450" s="57">
        <v>18880</v>
      </c>
      <c r="N450" s="57">
        <v>24689</v>
      </c>
      <c r="O450" s="57">
        <v>980</v>
      </c>
      <c r="P450" s="57">
        <v>94271.6</v>
      </c>
      <c r="Q450" s="57">
        <v>17900</v>
      </c>
      <c r="R450" s="57">
        <v>5925773.0999999996</v>
      </c>
      <c r="S450" s="57">
        <v>3.4413999999999998</v>
      </c>
      <c r="T450" s="57"/>
      <c r="U450" s="57"/>
    </row>
    <row r="451" spans="1:21" ht="18" customHeight="1" x14ac:dyDescent="0.15">
      <c r="A451" s="5" t="s">
        <v>2004</v>
      </c>
      <c r="B451" s="6" t="s">
        <v>2049</v>
      </c>
      <c r="C451" s="6" t="s">
        <v>2010</v>
      </c>
      <c r="D451" s="8" t="s">
        <v>2038</v>
      </c>
      <c r="E451" s="8" t="s">
        <v>2049</v>
      </c>
      <c r="F451" s="43" t="s">
        <v>2050</v>
      </c>
      <c r="G451" s="43" t="s">
        <v>2009</v>
      </c>
      <c r="H451" s="50">
        <v>3.4413999999999998</v>
      </c>
      <c r="I451" s="50">
        <v>3.2320000000000002</v>
      </c>
      <c r="J451" s="50">
        <v>3.6644000000000001</v>
      </c>
      <c r="K451" s="50">
        <v>0</v>
      </c>
      <c r="L451" s="6">
        <v>446133</v>
      </c>
      <c r="M451" s="57">
        <v>18880</v>
      </c>
      <c r="N451" s="57">
        <v>24689</v>
      </c>
      <c r="O451" s="57">
        <v>980</v>
      </c>
      <c r="P451" s="57">
        <v>94271.6</v>
      </c>
      <c r="Q451" s="57">
        <v>17900</v>
      </c>
      <c r="R451" s="57">
        <v>5925773.0999999996</v>
      </c>
      <c r="S451" s="57">
        <v>3.4413999999999998</v>
      </c>
      <c r="T451" s="57"/>
      <c r="U451" s="57"/>
    </row>
    <row r="452" spans="1:21" ht="18" customHeight="1" x14ac:dyDescent="0.15">
      <c r="A452" s="5" t="s">
        <v>2004</v>
      </c>
      <c r="B452" s="6" t="s">
        <v>2049</v>
      </c>
      <c r="C452" s="6" t="s">
        <v>2011</v>
      </c>
      <c r="D452" s="8" t="s">
        <v>2038</v>
      </c>
      <c r="E452" s="8" t="s">
        <v>2049</v>
      </c>
      <c r="F452" s="43" t="s">
        <v>2050</v>
      </c>
      <c r="G452" s="43" t="s">
        <v>2009</v>
      </c>
      <c r="H452" s="50">
        <v>3.6046999999999998</v>
      </c>
      <c r="I452" s="50">
        <v>3.3759000000000001</v>
      </c>
      <c r="J452" s="50">
        <v>3.8491</v>
      </c>
      <c r="K452" s="50">
        <v>0</v>
      </c>
      <c r="L452" s="6">
        <v>446133</v>
      </c>
      <c r="M452" s="57">
        <v>18880</v>
      </c>
      <c r="N452" s="57">
        <v>24689</v>
      </c>
      <c r="O452" s="57">
        <v>980</v>
      </c>
      <c r="P452" s="57">
        <v>94271.6</v>
      </c>
      <c r="Q452" s="57">
        <v>17900</v>
      </c>
      <c r="R452" s="57">
        <v>5925773.0999999996</v>
      </c>
      <c r="S452" s="57">
        <v>3.4413999999999998</v>
      </c>
      <c r="T452" s="57"/>
      <c r="U452" s="57"/>
    </row>
    <row r="453" spans="1:21" ht="18" customHeight="1" x14ac:dyDescent="0.15">
      <c r="A453" s="5" t="s">
        <v>2004</v>
      </c>
      <c r="B453" s="6" t="s">
        <v>2049</v>
      </c>
      <c r="C453" s="6" t="s">
        <v>2012</v>
      </c>
      <c r="D453" s="8" t="s">
        <v>2038</v>
      </c>
      <c r="E453" s="8" t="s">
        <v>2049</v>
      </c>
      <c r="F453" s="43" t="s">
        <v>2050</v>
      </c>
      <c r="G453" s="43" t="s">
        <v>2009</v>
      </c>
      <c r="H453" s="50">
        <v>3.2745000000000002</v>
      </c>
      <c r="I453" s="50">
        <v>3.0661999999999998</v>
      </c>
      <c r="J453" s="50">
        <v>3.4967999999999999</v>
      </c>
      <c r="K453" s="50">
        <v>3.4577893465156099E-274</v>
      </c>
      <c r="L453" s="6">
        <v>446133</v>
      </c>
      <c r="M453" s="57">
        <v>18880</v>
      </c>
      <c r="N453" s="57">
        <v>24689</v>
      </c>
      <c r="O453" s="57">
        <v>980</v>
      </c>
      <c r="P453" s="57">
        <v>94271.6</v>
      </c>
      <c r="Q453" s="57">
        <v>17900</v>
      </c>
      <c r="R453" s="57">
        <v>5925773.0999999996</v>
      </c>
      <c r="S453" s="57">
        <v>3.4413999999999998</v>
      </c>
      <c r="T453" s="57"/>
      <c r="U453" s="57"/>
    </row>
    <row r="454" spans="1:21" ht="18" customHeight="1" x14ac:dyDescent="0.15">
      <c r="A454" s="5" t="s">
        <v>2004</v>
      </c>
      <c r="B454" s="6" t="s">
        <v>2049</v>
      </c>
      <c r="C454" s="6" t="s">
        <v>2013</v>
      </c>
      <c r="D454" s="8" t="s">
        <v>2038</v>
      </c>
      <c r="E454" s="8" t="s">
        <v>2049</v>
      </c>
      <c r="F454" s="43" t="s">
        <v>2050</v>
      </c>
      <c r="G454" s="43" t="s">
        <v>2009</v>
      </c>
      <c r="H454" s="50">
        <v>3.2126000000000001</v>
      </c>
      <c r="I454" s="50">
        <v>3.0081000000000002</v>
      </c>
      <c r="J454" s="50">
        <v>3.4310999999999998</v>
      </c>
      <c r="K454" s="50">
        <v>8.4077902234939602E-265</v>
      </c>
      <c r="L454" s="6">
        <v>446133</v>
      </c>
      <c r="M454" s="57">
        <v>18880</v>
      </c>
      <c r="N454" s="57">
        <v>24689</v>
      </c>
      <c r="O454" s="57">
        <v>980</v>
      </c>
      <c r="P454" s="57">
        <v>94271.6</v>
      </c>
      <c r="Q454" s="57">
        <v>17900</v>
      </c>
      <c r="R454" s="57">
        <v>5925773.0999999996</v>
      </c>
      <c r="S454" s="57">
        <v>3.4413999999999998</v>
      </c>
      <c r="T454" s="57"/>
      <c r="U454" s="57"/>
    </row>
    <row r="455" spans="1:21" ht="18" customHeight="1" x14ac:dyDescent="0.15">
      <c r="A455" s="5" t="s">
        <v>2014</v>
      </c>
      <c r="B455" s="6" t="s">
        <v>2049</v>
      </c>
      <c r="C455" s="6" t="s">
        <v>2015</v>
      </c>
      <c r="D455" s="8" t="s">
        <v>2038</v>
      </c>
      <c r="E455" s="8" t="s">
        <v>2049</v>
      </c>
      <c r="F455" s="43" t="s">
        <v>2050</v>
      </c>
      <c r="G455" s="43" t="s">
        <v>2009</v>
      </c>
      <c r="H455" s="50">
        <v>3.4413999999999998</v>
      </c>
      <c r="I455" s="50">
        <v>3.2320000000000002</v>
      </c>
      <c r="J455" s="50">
        <v>3.6644000000000001</v>
      </c>
      <c r="K455" s="50">
        <v>0</v>
      </c>
      <c r="L455" s="6">
        <v>446133</v>
      </c>
      <c r="M455" s="57">
        <v>18880</v>
      </c>
      <c r="N455" s="57"/>
      <c r="O455" s="57"/>
      <c r="P455" s="57"/>
      <c r="Q455" s="57"/>
      <c r="R455" s="57"/>
      <c r="S455" s="57"/>
      <c r="T455" s="57"/>
      <c r="U455" s="57"/>
    </row>
    <row r="456" spans="1:21" ht="18" customHeight="1" x14ac:dyDescent="0.15">
      <c r="A456" s="5" t="s">
        <v>2014</v>
      </c>
      <c r="B456" s="6" t="s">
        <v>2049</v>
      </c>
      <c r="C456" s="6" t="s">
        <v>2016</v>
      </c>
      <c r="D456" s="8" t="s">
        <v>2038</v>
      </c>
      <c r="E456" s="8" t="s">
        <v>2049</v>
      </c>
      <c r="F456" s="43" t="s">
        <v>2050</v>
      </c>
      <c r="G456" s="43" t="s">
        <v>2009</v>
      </c>
      <c r="H456" s="50">
        <v>3.6046999999999998</v>
      </c>
      <c r="I456" s="50">
        <v>3.3759000000000001</v>
      </c>
      <c r="J456" s="50">
        <v>3.8491</v>
      </c>
      <c r="K456" s="50">
        <v>0</v>
      </c>
      <c r="L456" s="6">
        <v>446133</v>
      </c>
      <c r="M456" s="57">
        <v>18880</v>
      </c>
      <c r="N456" s="57"/>
      <c r="O456" s="57"/>
      <c r="P456" s="57"/>
      <c r="Q456" s="57"/>
      <c r="R456" s="57"/>
      <c r="S456" s="57"/>
      <c r="T456" s="57"/>
      <c r="U456" s="57"/>
    </row>
    <row r="457" spans="1:21" ht="18" customHeight="1" x14ac:dyDescent="0.15">
      <c r="A457" s="5" t="s">
        <v>2014</v>
      </c>
      <c r="B457" s="6" t="s">
        <v>2049</v>
      </c>
      <c r="C457" s="6" t="s">
        <v>2017</v>
      </c>
      <c r="D457" s="8" t="s">
        <v>2038</v>
      </c>
      <c r="E457" s="8" t="s">
        <v>2049</v>
      </c>
      <c r="F457" s="43" t="s">
        <v>2050</v>
      </c>
      <c r="G457" s="43" t="s">
        <v>2009</v>
      </c>
      <c r="H457" s="50">
        <v>3.1291000000000002</v>
      </c>
      <c r="I457" s="50">
        <v>2.9306999999999999</v>
      </c>
      <c r="J457" s="50">
        <v>3.3410000000000002</v>
      </c>
      <c r="K457" s="50">
        <v>2.684983115372281E-255</v>
      </c>
      <c r="L457" s="6">
        <v>446133</v>
      </c>
      <c r="M457" s="57">
        <v>18880</v>
      </c>
      <c r="N457" s="57"/>
      <c r="O457" s="57"/>
      <c r="P457" s="57"/>
      <c r="Q457" s="57"/>
      <c r="R457" s="57"/>
      <c r="S457" s="57"/>
      <c r="T457" s="57"/>
      <c r="U457" s="57"/>
    </row>
    <row r="458" spans="1:21" ht="18" customHeight="1" x14ac:dyDescent="0.15">
      <c r="A458" s="5" t="s">
        <v>2014</v>
      </c>
      <c r="B458" s="6" t="s">
        <v>2049</v>
      </c>
      <c r="C458" s="6" t="s">
        <v>2018</v>
      </c>
      <c r="D458" s="8" t="s">
        <v>2038</v>
      </c>
      <c r="E458" s="8" t="s">
        <v>2049</v>
      </c>
      <c r="F458" s="43" t="s">
        <v>2050</v>
      </c>
      <c r="G458" s="43" t="s">
        <v>2009</v>
      </c>
      <c r="H458" s="50">
        <v>2.4439000000000002</v>
      </c>
      <c r="I458" s="50">
        <v>2.048</v>
      </c>
      <c r="J458" s="50">
        <v>2.9163000000000001</v>
      </c>
      <c r="K458" s="50">
        <v>3.7324597964717802E-23</v>
      </c>
      <c r="L458" s="6">
        <v>446133</v>
      </c>
      <c r="M458" s="57">
        <v>18880</v>
      </c>
      <c r="N458" s="57"/>
      <c r="O458" s="57"/>
      <c r="P458" s="57"/>
      <c r="Q458" s="57"/>
      <c r="R458" s="57"/>
      <c r="S458" s="57"/>
      <c r="T458" s="57"/>
      <c r="U458" s="57"/>
    </row>
    <row r="459" spans="1:21" ht="18" customHeight="1" x14ac:dyDescent="0.15">
      <c r="A459" s="5" t="s">
        <v>2014</v>
      </c>
      <c r="B459" s="6" t="s">
        <v>2049</v>
      </c>
      <c r="C459" s="6" t="s">
        <v>2019</v>
      </c>
      <c r="D459" s="8" t="s">
        <v>2038</v>
      </c>
      <c r="E459" s="8" t="s">
        <v>2049</v>
      </c>
      <c r="F459" s="43" t="s">
        <v>2050</v>
      </c>
      <c r="G459" s="43" t="s">
        <v>1816</v>
      </c>
      <c r="H459" s="50">
        <v>5.8468</v>
      </c>
      <c r="I459" s="50">
        <v>5.1031000000000004</v>
      </c>
      <c r="J459" s="50">
        <v>6.6989000000000001</v>
      </c>
      <c r="K459" s="50">
        <v>9.2267112793792548E-143</v>
      </c>
      <c r="L459" s="6">
        <v>433875</v>
      </c>
      <c r="M459" s="57">
        <v>2260</v>
      </c>
      <c r="N459" s="57"/>
      <c r="O459" s="57"/>
      <c r="P459" s="57"/>
      <c r="Q459" s="57"/>
      <c r="R459" s="57"/>
      <c r="S459" s="57"/>
      <c r="T459" s="57"/>
      <c r="U459" s="57"/>
    </row>
    <row r="460" spans="1:21" ht="18" customHeight="1" x14ac:dyDescent="0.15">
      <c r="A460" s="5" t="s">
        <v>2014</v>
      </c>
      <c r="B460" s="6" t="s">
        <v>2049</v>
      </c>
      <c r="C460" s="6" t="s">
        <v>2020</v>
      </c>
      <c r="D460" s="8" t="s">
        <v>2038</v>
      </c>
      <c r="E460" s="8" t="s">
        <v>2049</v>
      </c>
      <c r="F460" s="43" t="s">
        <v>2050</v>
      </c>
      <c r="G460" s="43" t="s">
        <v>2009</v>
      </c>
      <c r="H460" s="50">
        <v>2.923</v>
      </c>
      <c r="I460" s="50">
        <v>2.7223999999999999</v>
      </c>
      <c r="J460" s="50">
        <v>3.1383999999999999</v>
      </c>
      <c r="K460" s="50">
        <v>3.950899095873295E-192</v>
      </c>
      <c r="L460" s="6">
        <v>433877</v>
      </c>
      <c r="M460" s="57">
        <v>18661</v>
      </c>
      <c r="N460" s="57"/>
      <c r="O460" s="57"/>
      <c r="P460" s="57"/>
      <c r="Q460" s="57"/>
      <c r="R460" s="57"/>
      <c r="S460" s="57"/>
      <c r="T460" s="57"/>
      <c r="U460" s="57"/>
    </row>
    <row r="461" spans="1:21" ht="18" customHeight="1" x14ac:dyDescent="0.15">
      <c r="A461" s="5" t="s">
        <v>2021</v>
      </c>
      <c r="B461" s="6" t="s">
        <v>2049</v>
      </c>
      <c r="C461" s="6" t="s">
        <v>2022</v>
      </c>
      <c r="D461" s="8" t="s">
        <v>2038</v>
      </c>
      <c r="E461" s="8" t="s">
        <v>2049</v>
      </c>
      <c r="F461" s="43" t="s">
        <v>2050</v>
      </c>
      <c r="G461" s="43" t="s">
        <v>2009</v>
      </c>
      <c r="H461" s="50">
        <v>4.3643000000000001</v>
      </c>
      <c r="I461" s="50">
        <v>2.7122999999999999</v>
      </c>
      <c r="J461" s="50">
        <v>7.0225999999999997</v>
      </c>
      <c r="K461" s="50">
        <v>1.269423397138788E-9</v>
      </c>
      <c r="L461" s="6">
        <v>4563</v>
      </c>
      <c r="M461" s="57">
        <v>276</v>
      </c>
      <c r="N461" s="57"/>
      <c r="O461" s="57"/>
      <c r="P461" s="57"/>
      <c r="Q461" s="57"/>
      <c r="R461" s="57"/>
      <c r="S461" s="57"/>
      <c r="T461" s="57" t="s">
        <v>2023</v>
      </c>
      <c r="U461" s="57" t="s">
        <v>2024</v>
      </c>
    </row>
    <row r="462" spans="1:21" ht="18" customHeight="1" x14ac:dyDescent="0.15">
      <c r="A462" s="5" t="s">
        <v>2021</v>
      </c>
      <c r="B462" s="6" t="s">
        <v>2049</v>
      </c>
      <c r="C462" s="6" t="s">
        <v>2022</v>
      </c>
      <c r="D462" s="8" t="s">
        <v>2038</v>
      </c>
      <c r="E462" s="8" t="s">
        <v>2049</v>
      </c>
      <c r="F462" s="43" t="s">
        <v>2050</v>
      </c>
      <c r="G462" s="43" t="s">
        <v>2009</v>
      </c>
      <c r="H462" s="50">
        <v>4.7784000000000004</v>
      </c>
      <c r="I462" s="50">
        <v>4.3106999999999998</v>
      </c>
      <c r="J462" s="50">
        <v>5.2968999999999999</v>
      </c>
      <c r="K462" s="50">
        <v>1.2034993971007749E-194</v>
      </c>
      <c r="L462" s="6">
        <v>315997</v>
      </c>
      <c r="M462" s="57">
        <v>6283</v>
      </c>
      <c r="N462" s="57"/>
      <c r="O462" s="57"/>
      <c r="P462" s="57"/>
      <c r="Q462" s="57"/>
      <c r="R462" s="57"/>
      <c r="S462" s="57"/>
      <c r="T462" s="57" t="s">
        <v>2023</v>
      </c>
      <c r="U462" s="57" t="s">
        <v>2025</v>
      </c>
    </row>
    <row r="463" spans="1:21" ht="18" customHeight="1" x14ac:dyDescent="0.15">
      <c r="A463" s="5" t="s">
        <v>2021</v>
      </c>
      <c r="B463" s="6" t="s">
        <v>2049</v>
      </c>
      <c r="C463" s="6" t="s">
        <v>2022</v>
      </c>
      <c r="D463" s="8" t="s">
        <v>2038</v>
      </c>
      <c r="E463" s="8" t="s">
        <v>2049</v>
      </c>
      <c r="F463" s="43" t="s">
        <v>2050</v>
      </c>
      <c r="G463" s="43" t="s">
        <v>2009</v>
      </c>
      <c r="H463" s="50">
        <v>2.7934999999999999</v>
      </c>
      <c r="I463" s="50">
        <v>2.5651999999999999</v>
      </c>
      <c r="J463" s="50">
        <v>3.0421999999999998</v>
      </c>
      <c r="K463" s="50">
        <v>2.8841566635667931E-123</v>
      </c>
      <c r="L463" s="6">
        <v>125573</v>
      </c>
      <c r="M463" s="57">
        <v>12321</v>
      </c>
      <c r="N463" s="57"/>
      <c r="O463" s="57"/>
      <c r="P463" s="57"/>
      <c r="Q463" s="57"/>
      <c r="R463" s="57"/>
      <c r="S463" s="57"/>
      <c r="T463" s="57" t="s">
        <v>2023</v>
      </c>
      <c r="U463" s="57" t="s">
        <v>2026</v>
      </c>
    </row>
    <row r="464" spans="1:21" ht="18" customHeight="1" x14ac:dyDescent="0.15">
      <c r="A464" s="5" t="s">
        <v>2021</v>
      </c>
      <c r="B464" s="6" t="s">
        <v>2049</v>
      </c>
      <c r="C464" s="6" t="s">
        <v>2022</v>
      </c>
      <c r="D464" s="8" t="s">
        <v>2038</v>
      </c>
      <c r="E464" s="8" t="s">
        <v>2049</v>
      </c>
      <c r="F464" s="43" t="s">
        <v>2050</v>
      </c>
      <c r="G464" s="43" t="s">
        <v>2009</v>
      </c>
      <c r="H464" s="50">
        <v>4.6163999999999996</v>
      </c>
      <c r="I464" s="50">
        <v>2.9634</v>
      </c>
      <c r="J464" s="50">
        <v>7.1912000000000003</v>
      </c>
      <c r="K464" s="50">
        <v>1.3464953662699111E-11</v>
      </c>
      <c r="L464" s="6">
        <v>3090</v>
      </c>
      <c r="M464" s="57">
        <v>263</v>
      </c>
      <c r="N464" s="57"/>
      <c r="O464" s="57"/>
      <c r="P464" s="57"/>
      <c r="Q464" s="57"/>
      <c r="R464" s="57"/>
      <c r="S464" s="57"/>
      <c r="T464" s="57" t="s">
        <v>2027</v>
      </c>
      <c r="U464" s="57" t="s">
        <v>2024</v>
      </c>
    </row>
    <row r="465" spans="1:22" ht="18" customHeight="1" x14ac:dyDescent="0.15">
      <c r="A465" s="5" t="s">
        <v>2021</v>
      </c>
      <c r="B465" s="6" t="s">
        <v>2049</v>
      </c>
      <c r="C465" s="6" t="s">
        <v>2022</v>
      </c>
      <c r="D465" s="8" t="s">
        <v>2038</v>
      </c>
      <c r="E465" s="8" t="s">
        <v>2049</v>
      </c>
      <c r="F465" s="43" t="s">
        <v>2050</v>
      </c>
      <c r="G465" s="43" t="s">
        <v>2009</v>
      </c>
      <c r="H465" s="50">
        <v>3.7462</v>
      </c>
      <c r="I465" s="50">
        <v>3.4689999999999999</v>
      </c>
      <c r="J465" s="50">
        <v>4.0456000000000003</v>
      </c>
      <c r="K465" s="50">
        <v>1.576631930319579E-248</v>
      </c>
      <c r="L465" s="6">
        <v>406926</v>
      </c>
      <c r="M465" s="57">
        <v>13845</v>
      </c>
      <c r="N465" s="57"/>
      <c r="O465" s="57"/>
      <c r="P465" s="57"/>
      <c r="Q465" s="57"/>
      <c r="R465" s="57"/>
      <c r="S465" s="57"/>
      <c r="T465" s="57" t="s">
        <v>2027</v>
      </c>
      <c r="U465" s="57" t="s">
        <v>2025</v>
      </c>
    </row>
    <row r="466" spans="1:22" ht="18" customHeight="1" x14ac:dyDescent="0.15">
      <c r="A466" s="5" t="s">
        <v>2021</v>
      </c>
      <c r="B466" s="6" t="s">
        <v>2049</v>
      </c>
      <c r="C466" s="6" t="s">
        <v>2022</v>
      </c>
      <c r="D466" s="8" t="s">
        <v>2038</v>
      </c>
      <c r="E466" s="8" t="s">
        <v>2049</v>
      </c>
      <c r="F466" s="43" t="s">
        <v>2050</v>
      </c>
      <c r="G466" s="43" t="s">
        <v>2009</v>
      </c>
      <c r="H466" s="50">
        <v>2.6800999999999999</v>
      </c>
      <c r="I466" s="50">
        <v>2.3613</v>
      </c>
      <c r="J466" s="50">
        <v>3.0419</v>
      </c>
      <c r="K466" s="50">
        <v>1.4559370509232049E-52</v>
      </c>
      <c r="L466" s="6">
        <v>36117</v>
      </c>
      <c r="M466" s="57">
        <v>4772</v>
      </c>
      <c r="N466" s="57"/>
      <c r="O466" s="57"/>
      <c r="P466" s="57"/>
      <c r="Q466" s="57"/>
      <c r="R466" s="57"/>
      <c r="S466" s="57"/>
      <c r="T466" s="57" t="s">
        <v>2027</v>
      </c>
      <c r="U466" s="57" t="s">
        <v>2026</v>
      </c>
    </row>
    <row r="467" spans="1:22" ht="18" customHeight="1" x14ac:dyDescent="0.15">
      <c r="A467" s="5" t="s">
        <v>2021</v>
      </c>
      <c r="B467" s="6" t="s">
        <v>2049</v>
      </c>
      <c r="C467" s="6" t="s">
        <v>2022</v>
      </c>
      <c r="D467" s="8" t="s">
        <v>2038</v>
      </c>
      <c r="E467" s="8" t="s">
        <v>2049</v>
      </c>
      <c r="F467" s="43" t="s">
        <v>2050</v>
      </c>
      <c r="G467" s="43" t="s">
        <v>2009</v>
      </c>
      <c r="H467" s="50">
        <v>3.3464999999999998</v>
      </c>
      <c r="I467" s="50">
        <v>3.1202999999999999</v>
      </c>
      <c r="J467" s="50">
        <v>3.5891000000000002</v>
      </c>
      <c r="K467" s="50">
        <v>8.267956579935839E-251</v>
      </c>
      <c r="L467" s="6">
        <v>287533</v>
      </c>
      <c r="M467" s="57">
        <v>14709</v>
      </c>
      <c r="N467" s="57"/>
      <c r="O467" s="57"/>
      <c r="P467" s="57"/>
      <c r="Q467" s="57"/>
      <c r="R467" s="57"/>
      <c r="S467" s="57"/>
      <c r="T467" s="57" t="s">
        <v>2028</v>
      </c>
      <c r="U467" s="57" t="s">
        <v>2029</v>
      </c>
    </row>
    <row r="468" spans="1:22" ht="18" customHeight="1" x14ac:dyDescent="0.15">
      <c r="A468" s="5" t="s">
        <v>2021</v>
      </c>
      <c r="B468" s="6" t="s">
        <v>2049</v>
      </c>
      <c r="C468" s="6" t="s">
        <v>2022</v>
      </c>
      <c r="D468" s="8" t="s">
        <v>2038</v>
      </c>
      <c r="E468" s="8" t="s">
        <v>2049</v>
      </c>
      <c r="F468" s="43" t="s">
        <v>2050</v>
      </c>
      <c r="G468" s="43" t="s">
        <v>2009</v>
      </c>
      <c r="H468" s="50">
        <v>3.7440000000000002</v>
      </c>
      <c r="I468" s="50">
        <v>3.1166999999999998</v>
      </c>
      <c r="J468" s="50">
        <v>4.4973999999999998</v>
      </c>
      <c r="K468" s="50">
        <v>3.2100652378713658E-45</v>
      </c>
      <c r="L468" s="6">
        <v>158600</v>
      </c>
      <c r="M468" s="57">
        <v>4171</v>
      </c>
      <c r="N468" s="57"/>
      <c r="O468" s="57"/>
      <c r="P468" s="57"/>
      <c r="Q468" s="57"/>
      <c r="R468" s="57"/>
      <c r="S468" s="57"/>
      <c r="T468" s="57" t="s">
        <v>2028</v>
      </c>
      <c r="U468" s="57" t="s">
        <v>2030</v>
      </c>
    </row>
    <row r="469" spans="1:22" ht="18" customHeight="1" x14ac:dyDescent="0.15">
      <c r="A469" s="5" t="s">
        <v>2004</v>
      </c>
      <c r="B469" s="6" t="s">
        <v>2049</v>
      </c>
      <c r="C469" s="6" t="s">
        <v>2006</v>
      </c>
      <c r="D469" s="8" t="s">
        <v>2039</v>
      </c>
      <c r="E469" s="8" t="s">
        <v>2049</v>
      </c>
      <c r="F469" s="43" t="s">
        <v>2050</v>
      </c>
      <c r="G469" s="43" t="s">
        <v>2009</v>
      </c>
      <c r="H469" s="50">
        <v>2.5962000000000001</v>
      </c>
      <c r="I469" s="50"/>
      <c r="J469" s="50"/>
      <c r="K469" s="50"/>
      <c r="L469" s="6">
        <v>485297</v>
      </c>
      <c r="M469" s="57">
        <v>1103</v>
      </c>
      <c r="N469" s="57">
        <v>29768</v>
      </c>
      <c r="O469" s="57">
        <v>48</v>
      </c>
      <c r="P469" s="57">
        <v>112221.5</v>
      </c>
      <c r="Q469" s="57">
        <v>1055</v>
      </c>
      <c r="R469" s="57">
        <v>6403562.4000000004</v>
      </c>
      <c r="S469" s="57">
        <v>2.5962000000000001</v>
      </c>
      <c r="T469" s="57"/>
      <c r="U469" s="57"/>
    </row>
    <row r="470" spans="1:22" ht="18" customHeight="1" x14ac:dyDescent="0.15">
      <c r="A470" s="5" t="s">
        <v>2004</v>
      </c>
      <c r="B470" s="6" t="s">
        <v>2049</v>
      </c>
      <c r="C470" s="6" t="s">
        <v>2010</v>
      </c>
      <c r="D470" s="8" t="s">
        <v>2039</v>
      </c>
      <c r="E470" s="8" t="s">
        <v>2049</v>
      </c>
      <c r="F470" s="43" t="s">
        <v>2050</v>
      </c>
      <c r="G470" s="43" t="s">
        <v>2009</v>
      </c>
      <c r="H470" s="50">
        <v>2.5962000000000001</v>
      </c>
      <c r="I470" s="50">
        <v>1.9446000000000001</v>
      </c>
      <c r="J470" s="50">
        <v>3.4662000000000002</v>
      </c>
      <c r="K470" s="50">
        <v>9.8000823657316852E-11</v>
      </c>
      <c r="L470" s="6">
        <v>485297</v>
      </c>
      <c r="M470" s="57">
        <v>1103</v>
      </c>
      <c r="N470" s="57">
        <v>29768</v>
      </c>
      <c r="O470" s="57">
        <v>48</v>
      </c>
      <c r="P470" s="57">
        <v>112221.5</v>
      </c>
      <c r="Q470" s="57">
        <v>1055</v>
      </c>
      <c r="R470" s="57">
        <v>6403562.4000000004</v>
      </c>
      <c r="S470" s="57">
        <v>2.5962000000000001</v>
      </c>
      <c r="T470" s="57"/>
      <c r="U470" s="57"/>
    </row>
    <row r="471" spans="1:22" ht="18" customHeight="1" x14ac:dyDescent="0.15">
      <c r="A471" s="5" t="s">
        <v>2004</v>
      </c>
      <c r="B471" s="6" t="s">
        <v>2049</v>
      </c>
      <c r="C471" s="6" t="s">
        <v>2011</v>
      </c>
      <c r="D471" s="8" t="s">
        <v>2039</v>
      </c>
      <c r="E471" s="8" t="s">
        <v>2049</v>
      </c>
      <c r="F471" s="43" t="s">
        <v>2050</v>
      </c>
      <c r="G471" s="43" t="s">
        <v>2009</v>
      </c>
      <c r="H471" s="50">
        <v>2.9702999999999999</v>
      </c>
      <c r="I471" s="50">
        <v>2.2073</v>
      </c>
      <c r="J471" s="50">
        <v>3.9971000000000001</v>
      </c>
      <c r="K471" s="50">
        <v>6.6444208915789243E-13</v>
      </c>
      <c r="L471" s="6">
        <v>485297</v>
      </c>
      <c r="M471" s="57">
        <v>1103</v>
      </c>
      <c r="N471" s="57">
        <v>29768</v>
      </c>
      <c r="O471" s="57">
        <v>48</v>
      </c>
      <c r="P471" s="57">
        <v>112221.5</v>
      </c>
      <c r="Q471" s="57">
        <v>1055</v>
      </c>
      <c r="R471" s="57">
        <v>6403562.4000000004</v>
      </c>
      <c r="S471" s="57">
        <v>2.5962000000000001</v>
      </c>
      <c r="T471" s="57"/>
      <c r="U471" s="57"/>
    </row>
    <row r="472" spans="1:22" ht="18" customHeight="1" x14ac:dyDescent="0.15">
      <c r="A472" s="5" t="s">
        <v>2004</v>
      </c>
      <c r="B472" s="6" t="s">
        <v>2049</v>
      </c>
      <c r="C472" s="6" t="s">
        <v>2012</v>
      </c>
      <c r="D472" s="8" t="s">
        <v>2039</v>
      </c>
      <c r="E472" s="8" t="s">
        <v>2049</v>
      </c>
      <c r="F472" s="43" t="s">
        <v>2050</v>
      </c>
      <c r="G472" s="43" t="s">
        <v>2009</v>
      </c>
      <c r="H472" s="50">
        <v>2.5783</v>
      </c>
      <c r="I472" s="50">
        <v>1.9157</v>
      </c>
      <c r="J472" s="50">
        <v>3.4701</v>
      </c>
      <c r="K472" s="50">
        <v>4.127986128657975E-10</v>
      </c>
      <c r="L472" s="6">
        <v>485297</v>
      </c>
      <c r="M472" s="57">
        <v>1103</v>
      </c>
      <c r="N472" s="57">
        <v>29768</v>
      </c>
      <c r="O472" s="57">
        <v>48</v>
      </c>
      <c r="P472" s="57">
        <v>112221.5</v>
      </c>
      <c r="Q472" s="57">
        <v>1055</v>
      </c>
      <c r="R472" s="57">
        <v>6403562.4000000004</v>
      </c>
      <c r="S472" s="57">
        <v>2.5962000000000001</v>
      </c>
      <c r="T472" s="57"/>
      <c r="U472" s="57"/>
    </row>
    <row r="473" spans="1:22" ht="18" customHeight="1" x14ac:dyDescent="0.15">
      <c r="A473" s="5" t="s">
        <v>2004</v>
      </c>
      <c r="B473" s="6" t="s">
        <v>2049</v>
      </c>
      <c r="C473" s="6" t="s">
        <v>2013</v>
      </c>
      <c r="D473" s="8" t="s">
        <v>2039</v>
      </c>
      <c r="E473" s="8" t="s">
        <v>2049</v>
      </c>
      <c r="F473" s="43" t="s">
        <v>2050</v>
      </c>
      <c r="G473" s="43" t="s">
        <v>2009</v>
      </c>
      <c r="H473" s="50">
        <v>2.4678</v>
      </c>
      <c r="I473" s="50">
        <v>1.833</v>
      </c>
      <c r="J473" s="50">
        <v>3.3224</v>
      </c>
      <c r="K473" s="50">
        <v>2.6138651404733521E-9</v>
      </c>
      <c r="L473" s="6">
        <v>485297</v>
      </c>
      <c r="M473" s="57">
        <v>1103</v>
      </c>
      <c r="N473" s="57">
        <v>29768</v>
      </c>
      <c r="O473" s="57">
        <v>48</v>
      </c>
      <c r="P473" s="57">
        <v>112221.5</v>
      </c>
      <c r="Q473" s="57">
        <v>1055</v>
      </c>
      <c r="R473" s="57">
        <v>6403562.4000000004</v>
      </c>
      <c r="S473" s="57">
        <v>2.5962000000000001</v>
      </c>
      <c r="T473" s="57"/>
      <c r="U473" s="57"/>
    </row>
    <row r="474" spans="1:22" ht="18" customHeight="1" x14ac:dyDescent="0.15">
      <c r="A474" s="5" t="s">
        <v>2014</v>
      </c>
      <c r="B474" s="6" t="s">
        <v>2049</v>
      </c>
      <c r="C474" s="6" t="s">
        <v>2015</v>
      </c>
      <c r="D474" s="8" t="s">
        <v>2039</v>
      </c>
      <c r="E474" s="8" t="s">
        <v>2049</v>
      </c>
      <c r="F474" s="43" t="s">
        <v>2050</v>
      </c>
      <c r="G474" s="43" t="s">
        <v>2009</v>
      </c>
      <c r="H474" s="50">
        <v>2.5962000000000001</v>
      </c>
      <c r="I474" s="50">
        <v>1.9446000000000001</v>
      </c>
      <c r="J474" s="50">
        <v>3.4662000000000002</v>
      </c>
      <c r="K474" s="50">
        <v>9.8000823657316852E-11</v>
      </c>
      <c r="L474" s="6">
        <v>485297</v>
      </c>
      <c r="M474" s="57">
        <v>1103</v>
      </c>
      <c r="N474" s="57"/>
      <c r="O474" s="57"/>
      <c r="P474" s="57"/>
      <c r="Q474" s="57"/>
      <c r="R474" s="57"/>
      <c r="S474" s="57"/>
      <c r="T474" s="57"/>
      <c r="U474" s="57"/>
    </row>
    <row r="475" spans="1:22" ht="18" customHeight="1" x14ac:dyDescent="0.15">
      <c r="A475" s="5" t="s">
        <v>2014</v>
      </c>
      <c r="B475" s="6" t="s">
        <v>2049</v>
      </c>
      <c r="C475" s="6" t="s">
        <v>2016</v>
      </c>
      <c r="D475" s="8" t="s">
        <v>2039</v>
      </c>
      <c r="E475" s="8" t="s">
        <v>2049</v>
      </c>
      <c r="F475" s="43" t="s">
        <v>2050</v>
      </c>
      <c r="G475" s="43" t="s">
        <v>2009</v>
      </c>
      <c r="H475" s="50">
        <v>2.9702999999999999</v>
      </c>
      <c r="I475" s="50">
        <v>2.2073</v>
      </c>
      <c r="J475" s="50">
        <v>3.9971000000000001</v>
      </c>
      <c r="K475" s="50">
        <v>6.6444208915789243E-13</v>
      </c>
      <c r="L475" s="6">
        <v>485297</v>
      </c>
      <c r="M475" s="57">
        <v>1103</v>
      </c>
      <c r="N475" s="57"/>
      <c r="O475" s="57"/>
      <c r="P475" s="57"/>
      <c r="Q475" s="57"/>
      <c r="R475" s="57"/>
      <c r="S475" s="57"/>
      <c r="T475" s="57"/>
      <c r="U475" s="57"/>
    </row>
    <row r="476" spans="1:22" ht="18" customHeight="1" x14ac:dyDescent="0.15">
      <c r="A476" s="5" t="s">
        <v>2014</v>
      </c>
      <c r="B476" s="6" t="s">
        <v>2049</v>
      </c>
      <c r="C476" s="6" t="s">
        <v>2017</v>
      </c>
      <c r="D476" s="8" t="s">
        <v>2039</v>
      </c>
      <c r="E476" s="8" t="s">
        <v>2049</v>
      </c>
      <c r="F476" s="43" t="s">
        <v>2050</v>
      </c>
      <c r="G476" s="43" t="s">
        <v>2009</v>
      </c>
      <c r="H476" s="50">
        <v>2.0937999999999999</v>
      </c>
      <c r="I476" s="50">
        <v>1.556</v>
      </c>
      <c r="J476" s="50">
        <v>2.8176000000000001</v>
      </c>
      <c r="K476" s="50">
        <v>1.066511293635192E-6</v>
      </c>
      <c r="L476" s="6">
        <v>485297</v>
      </c>
      <c r="M476" s="57">
        <v>1103</v>
      </c>
      <c r="N476" s="57"/>
      <c r="O476" s="57"/>
      <c r="P476" s="57"/>
      <c r="Q476" s="57"/>
      <c r="R476" s="57"/>
      <c r="S476" s="57"/>
      <c r="T476" s="57"/>
      <c r="U476" s="57"/>
    </row>
    <row r="477" spans="1:22" ht="18" customHeight="1" x14ac:dyDescent="0.15">
      <c r="A477" s="5" t="s">
        <v>2014</v>
      </c>
      <c r="B477" s="6" t="s">
        <v>2049</v>
      </c>
      <c r="C477" s="6" t="s">
        <v>2018</v>
      </c>
      <c r="D477" s="8" t="s">
        <v>2039</v>
      </c>
      <c r="E477" s="8" t="s">
        <v>2049</v>
      </c>
      <c r="F477" s="43" t="s">
        <v>2050</v>
      </c>
      <c r="G477" s="43" t="s">
        <v>2009</v>
      </c>
      <c r="H477" s="50">
        <v>1.9893000000000001</v>
      </c>
      <c r="I477" s="50">
        <v>0.89600000000000002</v>
      </c>
      <c r="J477" s="50">
        <v>4.4164000000000003</v>
      </c>
      <c r="K477" s="50">
        <v>9.0995199771602642E-2</v>
      </c>
      <c r="L477" s="6">
        <v>485297</v>
      </c>
      <c r="M477" s="57">
        <v>1103</v>
      </c>
      <c r="N477" s="57"/>
      <c r="O477" s="57"/>
      <c r="P477" s="57"/>
      <c r="Q477" s="57"/>
      <c r="R477" s="57"/>
      <c r="S477" s="57"/>
      <c r="T477" s="57"/>
      <c r="U477" s="57"/>
    </row>
    <row r="478" spans="1:22" ht="18" customHeight="1" x14ac:dyDescent="0.15">
      <c r="A478" s="5" t="s">
        <v>2014</v>
      </c>
      <c r="B478" s="6" t="s">
        <v>2049</v>
      </c>
      <c r="C478" s="6" t="s">
        <v>2019</v>
      </c>
      <c r="D478" s="8" t="s">
        <v>2039</v>
      </c>
      <c r="E478" s="8" t="s">
        <v>2049</v>
      </c>
      <c r="F478" s="43" t="s">
        <v>2050</v>
      </c>
      <c r="G478" s="43" t="s">
        <v>1816</v>
      </c>
      <c r="H478" s="50">
        <v>2.8849999999999998</v>
      </c>
      <c r="I478" s="50">
        <v>1.8533999999999999</v>
      </c>
      <c r="J478" s="50">
        <v>4.4908000000000001</v>
      </c>
      <c r="K478" s="50">
        <v>2.694939307290823E-6</v>
      </c>
      <c r="L478" s="6">
        <v>470628</v>
      </c>
      <c r="M478" s="57">
        <v>298</v>
      </c>
      <c r="N478" s="57"/>
      <c r="O478" s="57"/>
      <c r="P478" s="57"/>
      <c r="Q478" s="57"/>
      <c r="R478" s="57"/>
      <c r="S478" s="57"/>
      <c r="T478" s="57"/>
      <c r="U478" s="57"/>
    </row>
    <row r="479" spans="1:22" ht="18" customHeight="1" x14ac:dyDescent="0.15">
      <c r="A479" s="5" t="s">
        <v>2014</v>
      </c>
      <c r="B479" s="6" t="s">
        <v>2049</v>
      </c>
      <c r="C479" s="6" t="s">
        <v>2020</v>
      </c>
      <c r="D479" s="8" t="s">
        <v>2039</v>
      </c>
      <c r="E479" s="8" t="s">
        <v>2049</v>
      </c>
      <c r="F479" s="43" t="s">
        <v>2050</v>
      </c>
      <c r="G479" s="43" t="s">
        <v>2009</v>
      </c>
      <c r="H479" s="50">
        <v>2.3626999999999998</v>
      </c>
      <c r="I479" s="50">
        <v>1.7197</v>
      </c>
      <c r="J479" s="50">
        <v>3.2461000000000002</v>
      </c>
      <c r="K479" s="50">
        <v>1.126510131654474E-7</v>
      </c>
      <c r="L479" s="6">
        <v>470630</v>
      </c>
      <c r="M479" s="57">
        <v>1092</v>
      </c>
      <c r="N479" s="57"/>
      <c r="O479" s="57"/>
      <c r="P479" s="57"/>
      <c r="Q479" s="57"/>
      <c r="R479" s="57"/>
      <c r="S479" s="57"/>
      <c r="T479" s="57"/>
      <c r="U479" s="57"/>
    </row>
    <row r="480" spans="1:22" ht="18" customHeight="1" x14ac:dyDescent="0.15">
      <c r="A480" s="5" t="s">
        <v>2021</v>
      </c>
      <c r="B480" s="6" t="s">
        <v>2049</v>
      </c>
      <c r="C480" s="6" t="s">
        <v>2022</v>
      </c>
      <c r="D480" s="8" t="s">
        <v>2039</v>
      </c>
      <c r="E480" s="8" t="s">
        <v>2049</v>
      </c>
      <c r="F480" s="43" t="s">
        <v>2050</v>
      </c>
      <c r="G480" s="43" t="s">
        <v>2009</v>
      </c>
      <c r="H480" s="50"/>
      <c r="I480" s="50"/>
      <c r="J480" s="50"/>
      <c r="K480" s="50"/>
      <c r="L480" s="6">
        <v>4842</v>
      </c>
      <c r="M480" s="57">
        <v>8</v>
      </c>
      <c r="N480" s="57"/>
      <c r="O480" s="57"/>
      <c r="P480" s="57"/>
      <c r="Q480" s="57"/>
      <c r="R480" s="57"/>
      <c r="S480" s="57"/>
      <c r="T480" s="57" t="s">
        <v>2023</v>
      </c>
      <c r="U480" s="57" t="s">
        <v>2024</v>
      </c>
      <c r="V480" t="s">
        <v>2037</v>
      </c>
    </row>
    <row r="481" spans="1:22" ht="18" customHeight="1" x14ac:dyDescent="0.15">
      <c r="A481" s="5" t="s">
        <v>2021</v>
      </c>
      <c r="B481" s="6" t="s">
        <v>2049</v>
      </c>
      <c r="C481" s="6" t="s">
        <v>2022</v>
      </c>
      <c r="D481" s="8" t="s">
        <v>2039</v>
      </c>
      <c r="E481" s="8" t="s">
        <v>2049</v>
      </c>
      <c r="F481" s="43" t="s">
        <v>2050</v>
      </c>
      <c r="G481" s="43" t="s">
        <v>2009</v>
      </c>
      <c r="H481" s="50">
        <v>2.4826999999999999</v>
      </c>
      <c r="I481" s="50">
        <v>0.89890000000000003</v>
      </c>
      <c r="J481" s="50">
        <v>6.8569000000000004</v>
      </c>
      <c r="K481" s="50">
        <v>7.9368272484667934E-2</v>
      </c>
      <c r="L481" s="6">
        <v>318930</v>
      </c>
      <c r="M481" s="57">
        <v>125</v>
      </c>
      <c r="N481" s="57"/>
      <c r="O481" s="57"/>
      <c r="P481" s="57"/>
      <c r="Q481" s="57"/>
      <c r="R481" s="57"/>
      <c r="S481" s="57"/>
      <c r="T481" s="57" t="s">
        <v>2023</v>
      </c>
      <c r="U481" s="57" t="s">
        <v>2025</v>
      </c>
      <c r="V481" t="s">
        <v>2037</v>
      </c>
    </row>
    <row r="482" spans="1:22" ht="18" customHeight="1" x14ac:dyDescent="0.15">
      <c r="A482" s="5" t="s">
        <v>2021</v>
      </c>
      <c r="B482" s="6" t="s">
        <v>2049</v>
      </c>
      <c r="C482" s="6" t="s">
        <v>2022</v>
      </c>
      <c r="D482" s="8" t="s">
        <v>2039</v>
      </c>
      <c r="E482" s="8" t="s">
        <v>2049</v>
      </c>
      <c r="F482" s="43" t="s">
        <v>2050</v>
      </c>
      <c r="G482" s="43" t="s">
        <v>2009</v>
      </c>
      <c r="H482" s="50">
        <v>2.5203000000000002</v>
      </c>
      <c r="I482" s="50">
        <v>1.8478000000000001</v>
      </c>
      <c r="J482" s="50">
        <v>3.4373999999999998</v>
      </c>
      <c r="K482" s="50">
        <v>5.302413336368288E-9</v>
      </c>
      <c r="L482" s="6">
        <v>161525</v>
      </c>
      <c r="M482" s="57">
        <v>970</v>
      </c>
      <c r="N482" s="57"/>
      <c r="O482" s="57"/>
      <c r="P482" s="57"/>
      <c r="Q482" s="57"/>
      <c r="R482" s="57"/>
      <c r="S482" s="57"/>
      <c r="T482" s="57" t="s">
        <v>2023</v>
      </c>
      <c r="U482" s="57" t="s">
        <v>2026</v>
      </c>
      <c r="V482" t="s">
        <v>2037</v>
      </c>
    </row>
    <row r="483" spans="1:22" ht="18" customHeight="1" x14ac:dyDescent="0.15">
      <c r="A483" s="5" t="s">
        <v>2021</v>
      </c>
      <c r="B483" s="6" t="s">
        <v>2049</v>
      </c>
      <c r="C483" s="6" t="s">
        <v>2022</v>
      </c>
      <c r="D483" s="8" t="s">
        <v>2039</v>
      </c>
      <c r="E483" s="8" t="s">
        <v>2049</v>
      </c>
      <c r="F483" s="43" t="s">
        <v>2050</v>
      </c>
      <c r="G483" s="43" t="s">
        <v>2009</v>
      </c>
      <c r="H483" s="50"/>
      <c r="I483" s="50"/>
      <c r="J483" s="50"/>
      <c r="K483" s="50"/>
      <c r="L483" s="6">
        <v>3526</v>
      </c>
      <c r="M483" s="57">
        <v>11</v>
      </c>
      <c r="N483" s="57"/>
      <c r="O483" s="57"/>
      <c r="P483" s="57"/>
      <c r="Q483" s="57"/>
      <c r="R483" s="57"/>
      <c r="S483" s="57"/>
      <c r="T483" s="57" t="s">
        <v>2027</v>
      </c>
      <c r="U483" s="57" t="s">
        <v>2024</v>
      </c>
      <c r="V483" t="s">
        <v>2037</v>
      </c>
    </row>
    <row r="484" spans="1:22" ht="18" customHeight="1" x14ac:dyDescent="0.15">
      <c r="A484" s="5" t="s">
        <v>2021</v>
      </c>
      <c r="B484" s="6" t="s">
        <v>2049</v>
      </c>
      <c r="C484" s="6" t="s">
        <v>2022</v>
      </c>
      <c r="D484" s="8" t="s">
        <v>2039</v>
      </c>
      <c r="E484" s="8" t="s">
        <v>2049</v>
      </c>
      <c r="F484" s="43" t="s">
        <v>2050</v>
      </c>
      <c r="G484" s="43" t="s">
        <v>2009</v>
      </c>
      <c r="H484" s="50">
        <v>2.6122000000000001</v>
      </c>
      <c r="I484" s="50">
        <v>1.5742</v>
      </c>
      <c r="J484" s="50">
        <v>4.3345000000000002</v>
      </c>
      <c r="K484" s="50">
        <v>2.0223592072519001E-4</v>
      </c>
      <c r="L484" s="6">
        <v>427871</v>
      </c>
      <c r="M484" s="57">
        <v>477</v>
      </c>
      <c r="N484" s="57"/>
      <c r="O484" s="57"/>
      <c r="P484" s="57"/>
      <c r="Q484" s="57"/>
      <c r="R484" s="57"/>
      <c r="S484" s="57"/>
      <c r="T484" s="57" t="s">
        <v>2027</v>
      </c>
      <c r="U484" s="57" t="s">
        <v>2025</v>
      </c>
      <c r="V484" t="s">
        <v>2037</v>
      </c>
    </row>
    <row r="485" spans="1:22" ht="18" customHeight="1" x14ac:dyDescent="0.15">
      <c r="A485" s="5" t="s">
        <v>2021</v>
      </c>
      <c r="B485" s="6" t="s">
        <v>2049</v>
      </c>
      <c r="C485" s="6" t="s">
        <v>2022</v>
      </c>
      <c r="D485" s="8" t="s">
        <v>2039</v>
      </c>
      <c r="E485" s="8" t="s">
        <v>2049</v>
      </c>
      <c r="F485" s="43" t="s">
        <v>2050</v>
      </c>
      <c r="G485" s="43" t="s">
        <v>2009</v>
      </c>
      <c r="H485" s="50">
        <v>2.2444000000000002</v>
      </c>
      <c r="I485" s="50">
        <v>1.5535000000000001</v>
      </c>
      <c r="J485" s="50">
        <v>3.2425999999999999</v>
      </c>
      <c r="K485" s="50">
        <v>1.656562960365438E-5</v>
      </c>
      <c r="L485" s="6">
        <v>53900</v>
      </c>
      <c r="M485" s="57">
        <v>615</v>
      </c>
      <c r="N485" s="57"/>
      <c r="O485" s="57"/>
      <c r="P485" s="57"/>
      <c r="Q485" s="57"/>
      <c r="R485" s="57"/>
      <c r="S485" s="57"/>
      <c r="T485" s="57" t="s">
        <v>2027</v>
      </c>
      <c r="U485" s="57" t="s">
        <v>2026</v>
      </c>
      <c r="V485" t="s">
        <v>2037</v>
      </c>
    </row>
    <row r="486" spans="1:22" ht="18" customHeight="1" x14ac:dyDescent="0.15">
      <c r="A486" s="5" t="s">
        <v>2021</v>
      </c>
      <c r="B486" s="6" t="s">
        <v>2049</v>
      </c>
      <c r="C486" s="6" t="s">
        <v>2022</v>
      </c>
      <c r="D486" s="8" t="s">
        <v>2039</v>
      </c>
      <c r="E486" s="8" t="s">
        <v>2049</v>
      </c>
      <c r="F486" s="43" t="s">
        <v>2050</v>
      </c>
      <c r="G486" s="43" t="s">
        <v>2009</v>
      </c>
      <c r="H486" s="50">
        <v>2.8271999999999999</v>
      </c>
      <c r="I486" s="50">
        <v>2.0743</v>
      </c>
      <c r="J486" s="50">
        <v>3.8532999999999999</v>
      </c>
      <c r="K486" s="50">
        <v>4.7621507038803472E-11</v>
      </c>
      <c r="L486" s="6">
        <v>317094</v>
      </c>
      <c r="M486" s="57">
        <v>888</v>
      </c>
      <c r="N486" s="57"/>
      <c r="O486" s="57"/>
      <c r="P486" s="57"/>
      <c r="Q486" s="57"/>
      <c r="R486" s="57"/>
      <c r="S486" s="57"/>
      <c r="T486" s="57" t="s">
        <v>2028</v>
      </c>
      <c r="U486" s="57" t="s">
        <v>2029</v>
      </c>
      <c r="V486" t="s">
        <v>2037</v>
      </c>
    </row>
    <row r="487" spans="1:22" ht="18" customHeight="1" x14ac:dyDescent="0.15">
      <c r="A487" s="5" t="s">
        <v>2021</v>
      </c>
      <c r="B487" s="6" t="s">
        <v>2049</v>
      </c>
      <c r="C487" s="6" t="s">
        <v>2022</v>
      </c>
      <c r="D487" s="8" t="s">
        <v>2039</v>
      </c>
      <c r="E487" s="8" t="s">
        <v>2049</v>
      </c>
      <c r="F487" s="43" t="s">
        <v>2050</v>
      </c>
      <c r="G487" s="43" t="s">
        <v>2009</v>
      </c>
      <c r="H487" s="50">
        <v>2.2545000000000002</v>
      </c>
      <c r="I487" s="50">
        <v>0.81810000000000005</v>
      </c>
      <c r="J487" s="50">
        <v>6.2129000000000003</v>
      </c>
      <c r="K487" s="50">
        <v>0.11601904282282</v>
      </c>
      <c r="L487" s="6">
        <v>168203</v>
      </c>
      <c r="M487" s="57">
        <v>215</v>
      </c>
      <c r="N487" s="57"/>
      <c r="O487" s="57"/>
      <c r="P487" s="57"/>
      <c r="Q487" s="57"/>
      <c r="R487" s="57"/>
      <c r="S487" s="57"/>
      <c r="T487" s="57" t="s">
        <v>2028</v>
      </c>
      <c r="U487" s="57" t="s">
        <v>2030</v>
      </c>
      <c r="V487" t="s">
        <v>2037</v>
      </c>
    </row>
    <row r="488" spans="1:22" ht="18" customHeight="1" x14ac:dyDescent="0.15">
      <c r="A488" s="5" t="s">
        <v>2004</v>
      </c>
      <c r="B488" s="6" t="s">
        <v>2049</v>
      </c>
      <c r="C488" s="6" t="s">
        <v>2006</v>
      </c>
      <c r="D488" s="8" t="s">
        <v>2040</v>
      </c>
      <c r="E488" s="8" t="s">
        <v>2049</v>
      </c>
      <c r="F488" s="43" t="s">
        <v>2050</v>
      </c>
      <c r="G488" s="43" t="s">
        <v>2009</v>
      </c>
      <c r="H488" s="50">
        <v>1.6600999999999999</v>
      </c>
      <c r="I488" s="50"/>
      <c r="J488" s="50"/>
      <c r="K488" s="50"/>
      <c r="L488" s="6">
        <v>487339</v>
      </c>
      <c r="M488" s="57">
        <v>246</v>
      </c>
      <c r="N488" s="57">
        <v>30059</v>
      </c>
      <c r="O488" s="57">
        <v>7</v>
      </c>
      <c r="P488" s="57">
        <v>113402.4</v>
      </c>
      <c r="Q488" s="57">
        <v>239</v>
      </c>
      <c r="R488" s="57">
        <v>6427723.0999999996</v>
      </c>
      <c r="S488" s="57">
        <v>1.6600999999999999</v>
      </c>
      <c r="T488" s="57"/>
      <c r="U488" s="57"/>
    </row>
    <row r="489" spans="1:22" ht="18" customHeight="1" x14ac:dyDescent="0.15">
      <c r="A489" s="5" t="s">
        <v>2004</v>
      </c>
      <c r="B489" s="6" t="s">
        <v>2049</v>
      </c>
      <c r="C489" s="6" t="s">
        <v>2010</v>
      </c>
      <c r="D489" s="8" t="s">
        <v>2040</v>
      </c>
      <c r="E489" s="8" t="s">
        <v>2049</v>
      </c>
      <c r="F489" s="43" t="s">
        <v>2050</v>
      </c>
      <c r="G489" s="43" t="s">
        <v>2009</v>
      </c>
      <c r="H489" s="50">
        <v>1.6600999999999999</v>
      </c>
      <c r="I489" s="50">
        <v>0.78300000000000003</v>
      </c>
      <c r="J489" s="50">
        <v>3.5194999999999999</v>
      </c>
      <c r="K489" s="50">
        <v>0.186144860905295</v>
      </c>
      <c r="L489" s="6">
        <v>487339</v>
      </c>
      <c r="M489" s="57">
        <v>246</v>
      </c>
      <c r="N489" s="57">
        <v>30059</v>
      </c>
      <c r="O489" s="57">
        <v>7</v>
      </c>
      <c r="P489" s="57">
        <v>113402.4</v>
      </c>
      <c r="Q489" s="57">
        <v>239</v>
      </c>
      <c r="R489" s="57">
        <v>6427723.0999999996</v>
      </c>
      <c r="S489" s="57">
        <v>1.6600999999999999</v>
      </c>
      <c r="T489" s="57"/>
      <c r="U489" s="57"/>
    </row>
    <row r="490" spans="1:22" ht="18" customHeight="1" x14ac:dyDescent="0.15">
      <c r="A490" s="5" t="s">
        <v>2004</v>
      </c>
      <c r="B490" s="6" t="s">
        <v>2049</v>
      </c>
      <c r="C490" s="6" t="s">
        <v>2011</v>
      </c>
      <c r="D490" s="8" t="s">
        <v>2040</v>
      </c>
      <c r="E490" s="8" t="s">
        <v>2049</v>
      </c>
      <c r="F490" s="43" t="s">
        <v>2050</v>
      </c>
      <c r="G490" s="43" t="s">
        <v>2009</v>
      </c>
      <c r="H490" s="50">
        <v>1.9673</v>
      </c>
      <c r="I490" s="50">
        <v>0.88629999999999998</v>
      </c>
      <c r="J490" s="50">
        <v>4.3670999999999998</v>
      </c>
      <c r="K490" s="50">
        <v>9.626148264051998E-2</v>
      </c>
      <c r="L490" s="6">
        <v>487339</v>
      </c>
      <c r="M490" s="57">
        <v>246</v>
      </c>
      <c r="N490" s="57">
        <v>30059</v>
      </c>
      <c r="O490" s="57">
        <v>7</v>
      </c>
      <c r="P490" s="57">
        <v>113402.4</v>
      </c>
      <c r="Q490" s="57">
        <v>239</v>
      </c>
      <c r="R490" s="57">
        <v>6427723.0999999996</v>
      </c>
      <c r="S490" s="57">
        <v>1.6600999999999999</v>
      </c>
      <c r="T490" s="57"/>
      <c r="U490" s="57"/>
    </row>
    <row r="491" spans="1:22" ht="18" customHeight="1" x14ac:dyDescent="0.15">
      <c r="A491" s="5" t="s">
        <v>2004</v>
      </c>
      <c r="B491" s="6" t="s">
        <v>2049</v>
      </c>
      <c r="C491" s="6" t="s">
        <v>2012</v>
      </c>
      <c r="D491" s="8" t="s">
        <v>2040</v>
      </c>
      <c r="E491" s="8" t="s">
        <v>2049</v>
      </c>
      <c r="F491" s="43" t="s">
        <v>2050</v>
      </c>
      <c r="G491" s="43" t="s">
        <v>2009</v>
      </c>
      <c r="H491" s="50">
        <v>1.7091000000000001</v>
      </c>
      <c r="I491" s="50">
        <v>0.77239999999999998</v>
      </c>
      <c r="J491" s="50">
        <v>3.782</v>
      </c>
      <c r="K491" s="50">
        <v>0.18594934303503549</v>
      </c>
      <c r="L491" s="6">
        <v>487339</v>
      </c>
      <c r="M491" s="57">
        <v>246</v>
      </c>
      <c r="N491" s="57">
        <v>30059</v>
      </c>
      <c r="O491" s="57">
        <v>7</v>
      </c>
      <c r="P491" s="57">
        <v>113402.4</v>
      </c>
      <c r="Q491" s="57">
        <v>239</v>
      </c>
      <c r="R491" s="57">
        <v>6427723.0999999996</v>
      </c>
      <c r="S491" s="57">
        <v>1.6600999999999999</v>
      </c>
      <c r="T491" s="57"/>
      <c r="U491" s="57"/>
    </row>
    <row r="492" spans="1:22" ht="18" customHeight="1" x14ac:dyDescent="0.15">
      <c r="A492" s="5" t="s">
        <v>2004</v>
      </c>
      <c r="B492" s="6" t="s">
        <v>2049</v>
      </c>
      <c r="C492" s="6" t="s">
        <v>2013</v>
      </c>
      <c r="D492" s="8" t="s">
        <v>2040</v>
      </c>
      <c r="E492" s="8" t="s">
        <v>2049</v>
      </c>
      <c r="F492" s="43" t="s">
        <v>2050</v>
      </c>
      <c r="G492" s="43" t="s">
        <v>2009</v>
      </c>
      <c r="H492" s="50">
        <v>1.5720000000000001</v>
      </c>
      <c r="I492" s="50">
        <v>0.71120000000000005</v>
      </c>
      <c r="J492" s="50">
        <v>3.4742000000000002</v>
      </c>
      <c r="K492" s="50">
        <v>0.26362425281227292</v>
      </c>
      <c r="L492" s="6">
        <v>487339</v>
      </c>
      <c r="M492" s="57">
        <v>246</v>
      </c>
      <c r="N492" s="57">
        <v>30059</v>
      </c>
      <c r="O492" s="57">
        <v>7</v>
      </c>
      <c r="P492" s="57">
        <v>113402.4</v>
      </c>
      <c r="Q492" s="57">
        <v>239</v>
      </c>
      <c r="R492" s="57">
        <v>6427723.0999999996</v>
      </c>
      <c r="S492" s="57">
        <v>1.6600999999999999</v>
      </c>
      <c r="T492" s="57"/>
      <c r="U492" s="57"/>
    </row>
    <row r="493" spans="1:22" ht="18" customHeight="1" x14ac:dyDescent="0.15">
      <c r="A493" s="5" t="s">
        <v>2004</v>
      </c>
      <c r="B493" s="6" t="s">
        <v>2049</v>
      </c>
      <c r="C493" s="6" t="s">
        <v>2006</v>
      </c>
      <c r="D493" s="8" t="s">
        <v>2041</v>
      </c>
      <c r="E493" s="8" t="s">
        <v>2049</v>
      </c>
      <c r="F493" s="43" t="s">
        <v>2050</v>
      </c>
      <c r="G493" s="43" t="s">
        <v>2009</v>
      </c>
      <c r="H493" s="50">
        <v>2.2058</v>
      </c>
      <c r="I493" s="50"/>
      <c r="J493" s="50"/>
      <c r="K493" s="50"/>
      <c r="L493" s="6">
        <v>487910</v>
      </c>
      <c r="M493" s="57">
        <v>80</v>
      </c>
      <c r="N493" s="57">
        <v>30124</v>
      </c>
      <c r="O493" s="57">
        <v>3</v>
      </c>
      <c r="P493" s="57">
        <v>113654.2</v>
      </c>
      <c r="Q493" s="57">
        <v>77</v>
      </c>
      <c r="R493" s="57">
        <v>6434684.4000000004</v>
      </c>
      <c r="S493" s="57">
        <v>2.2058</v>
      </c>
      <c r="T493" s="57"/>
      <c r="U493" s="57"/>
    </row>
    <row r="494" spans="1:22" ht="18" customHeight="1" x14ac:dyDescent="0.15">
      <c r="A494" s="5" t="s">
        <v>2004</v>
      </c>
      <c r="B494" s="6" t="s">
        <v>2049</v>
      </c>
      <c r="C494" s="6" t="s">
        <v>2010</v>
      </c>
      <c r="D494" s="8" t="s">
        <v>2041</v>
      </c>
      <c r="E494" s="8" t="s">
        <v>2049</v>
      </c>
      <c r="F494" s="43" t="s">
        <v>2050</v>
      </c>
      <c r="G494" s="43" t="s">
        <v>2009</v>
      </c>
      <c r="H494" s="50">
        <v>2.2058</v>
      </c>
      <c r="I494" s="50">
        <v>0.69599999999999995</v>
      </c>
      <c r="J494" s="50">
        <v>6.9904000000000002</v>
      </c>
      <c r="K494" s="50">
        <v>0.17886037542455971</v>
      </c>
      <c r="L494" s="6">
        <v>487910</v>
      </c>
      <c r="M494" s="57">
        <v>80</v>
      </c>
      <c r="N494" s="57">
        <v>30124</v>
      </c>
      <c r="O494" s="57">
        <v>3</v>
      </c>
      <c r="P494" s="57">
        <v>113654.2</v>
      </c>
      <c r="Q494" s="57">
        <v>77</v>
      </c>
      <c r="R494" s="57">
        <v>6434684.4000000004</v>
      </c>
      <c r="S494" s="57">
        <v>2.2058</v>
      </c>
      <c r="T494" s="57"/>
      <c r="U494" s="57"/>
    </row>
    <row r="495" spans="1:22" ht="18" customHeight="1" x14ac:dyDescent="0.15">
      <c r="A495" s="5" t="s">
        <v>2004</v>
      </c>
      <c r="B495" s="6" t="s">
        <v>2049</v>
      </c>
      <c r="C495" s="6" t="s">
        <v>2011</v>
      </c>
      <c r="D495" s="8" t="s">
        <v>2041</v>
      </c>
      <c r="E495" s="8" t="s">
        <v>2049</v>
      </c>
      <c r="F495" s="43" t="s">
        <v>2050</v>
      </c>
      <c r="G495" s="43" t="s">
        <v>2009</v>
      </c>
      <c r="H495" s="50">
        <v>1.9852000000000001</v>
      </c>
      <c r="I495" s="50">
        <v>0.61140000000000005</v>
      </c>
      <c r="J495" s="50">
        <v>6.4466000000000001</v>
      </c>
      <c r="K495" s="50">
        <v>0.25381595265036572</v>
      </c>
      <c r="L495" s="6">
        <v>487910</v>
      </c>
      <c r="M495" s="57">
        <v>80</v>
      </c>
      <c r="N495" s="57">
        <v>30124</v>
      </c>
      <c r="O495" s="57">
        <v>3</v>
      </c>
      <c r="P495" s="57">
        <v>113654.2</v>
      </c>
      <c r="Q495" s="57">
        <v>77</v>
      </c>
      <c r="R495" s="57">
        <v>6434684.4000000004</v>
      </c>
      <c r="S495" s="57">
        <v>2.2058</v>
      </c>
      <c r="T495" s="57"/>
      <c r="U495" s="57"/>
    </row>
    <row r="496" spans="1:22" ht="18" customHeight="1" x14ac:dyDescent="0.15">
      <c r="A496" s="5" t="s">
        <v>2004</v>
      </c>
      <c r="B496" s="6" t="s">
        <v>2049</v>
      </c>
      <c r="C496" s="6" t="s">
        <v>2012</v>
      </c>
      <c r="D496" s="8" t="s">
        <v>2041</v>
      </c>
      <c r="E496" s="8" t="s">
        <v>2049</v>
      </c>
      <c r="F496" s="43" t="s">
        <v>2050</v>
      </c>
      <c r="G496" s="43" t="s">
        <v>2009</v>
      </c>
      <c r="H496" s="50">
        <v>1.9033</v>
      </c>
      <c r="I496" s="50">
        <v>0.57979999999999998</v>
      </c>
      <c r="J496" s="50">
        <v>6.2480000000000002</v>
      </c>
      <c r="K496" s="50">
        <v>0.28861181553350951</v>
      </c>
      <c r="L496" s="6">
        <v>487910</v>
      </c>
      <c r="M496" s="57">
        <v>80</v>
      </c>
      <c r="N496" s="57">
        <v>30124</v>
      </c>
      <c r="O496" s="57">
        <v>3</v>
      </c>
      <c r="P496" s="57">
        <v>113654.2</v>
      </c>
      <c r="Q496" s="57">
        <v>77</v>
      </c>
      <c r="R496" s="57">
        <v>6434684.4000000004</v>
      </c>
      <c r="S496" s="57">
        <v>2.2058</v>
      </c>
      <c r="T496" s="57"/>
      <c r="U496" s="57"/>
    </row>
    <row r="497" spans="1:21" ht="18" customHeight="1" x14ac:dyDescent="0.15">
      <c r="A497" s="5" t="s">
        <v>2004</v>
      </c>
      <c r="B497" s="6" t="s">
        <v>2049</v>
      </c>
      <c r="C497" s="6" t="s">
        <v>2013</v>
      </c>
      <c r="D497" s="8" t="s">
        <v>2041</v>
      </c>
      <c r="E497" s="8" t="s">
        <v>2049</v>
      </c>
      <c r="F497" s="43" t="s">
        <v>2050</v>
      </c>
      <c r="G497" s="43" t="s">
        <v>2009</v>
      </c>
      <c r="H497" s="50">
        <v>1.6181000000000001</v>
      </c>
      <c r="I497" s="50">
        <v>0.4904</v>
      </c>
      <c r="J497" s="50">
        <v>5.3395000000000001</v>
      </c>
      <c r="K497" s="50">
        <v>0.42949108020677212</v>
      </c>
      <c r="L497" s="6">
        <v>487910</v>
      </c>
      <c r="M497" s="57">
        <v>80</v>
      </c>
      <c r="N497" s="57">
        <v>30124</v>
      </c>
      <c r="O497" s="57">
        <v>3</v>
      </c>
      <c r="P497" s="57">
        <v>113654.2</v>
      </c>
      <c r="Q497" s="57">
        <v>77</v>
      </c>
      <c r="R497" s="57">
        <v>6434684.4000000004</v>
      </c>
      <c r="S497" s="57">
        <v>2.2058</v>
      </c>
      <c r="T497" s="57"/>
      <c r="U497" s="57"/>
    </row>
    <row r="498" spans="1:21" ht="18" customHeight="1" x14ac:dyDescent="0.15">
      <c r="A498" s="5" t="s">
        <v>2004</v>
      </c>
      <c r="B498" s="6" t="s">
        <v>2049</v>
      </c>
      <c r="C498" s="6" t="s">
        <v>2006</v>
      </c>
      <c r="D498" s="8" t="s">
        <v>2042</v>
      </c>
      <c r="E498" s="8" t="s">
        <v>2049</v>
      </c>
      <c r="F498" s="43" t="s">
        <v>2050</v>
      </c>
      <c r="G498" s="43" t="s">
        <v>2009</v>
      </c>
      <c r="H498" s="50">
        <v>4.1962999999999999</v>
      </c>
      <c r="I498" s="50"/>
      <c r="J498" s="50"/>
      <c r="K498" s="50"/>
      <c r="L498" s="6">
        <v>487417</v>
      </c>
      <c r="M498" s="57">
        <v>406</v>
      </c>
      <c r="N498" s="57">
        <v>30073</v>
      </c>
      <c r="O498" s="57">
        <v>28</v>
      </c>
      <c r="P498" s="57">
        <v>113479.3</v>
      </c>
      <c r="Q498" s="57">
        <v>378</v>
      </c>
      <c r="R498" s="57">
        <v>6428568.5</v>
      </c>
      <c r="S498" s="57">
        <v>4.1962999999999999</v>
      </c>
      <c r="T498" s="57"/>
      <c r="U498" s="57"/>
    </row>
    <row r="499" spans="1:21" ht="18" customHeight="1" x14ac:dyDescent="0.15">
      <c r="A499" s="5" t="s">
        <v>2004</v>
      </c>
      <c r="B499" s="6" t="s">
        <v>2049</v>
      </c>
      <c r="C499" s="6" t="s">
        <v>2010</v>
      </c>
      <c r="D499" s="8" t="s">
        <v>2042</v>
      </c>
      <c r="E499" s="8" t="s">
        <v>2049</v>
      </c>
      <c r="F499" s="43" t="s">
        <v>2050</v>
      </c>
      <c r="G499" s="43" t="s">
        <v>2009</v>
      </c>
      <c r="H499" s="50">
        <v>4.1962999999999999</v>
      </c>
      <c r="I499" s="50">
        <v>2.8588</v>
      </c>
      <c r="J499" s="50">
        <v>6.1593999999999998</v>
      </c>
      <c r="K499" s="50">
        <v>2.4015478946450819E-13</v>
      </c>
      <c r="L499" s="6">
        <v>487417</v>
      </c>
      <c r="M499" s="57">
        <v>406</v>
      </c>
      <c r="N499" s="57">
        <v>30073</v>
      </c>
      <c r="O499" s="57">
        <v>28</v>
      </c>
      <c r="P499" s="57">
        <v>113479.3</v>
      </c>
      <c r="Q499" s="57">
        <v>378</v>
      </c>
      <c r="R499" s="57">
        <v>6428568.5</v>
      </c>
      <c r="S499" s="57">
        <v>4.1962999999999999</v>
      </c>
      <c r="T499" s="57"/>
      <c r="U499" s="57"/>
    </row>
    <row r="500" spans="1:21" ht="18" customHeight="1" x14ac:dyDescent="0.15">
      <c r="A500" s="5" t="s">
        <v>2004</v>
      </c>
      <c r="B500" s="6" t="s">
        <v>2049</v>
      </c>
      <c r="C500" s="6" t="s">
        <v>2011</v>
      </c>
      <c r="D500" s="8" t="s">
        <v>2042</v>
      </c>
      <c r="E500" s="8" t="s">
        <v>2049</v>
      </c>
      <c r="F500" s="43" t="s">
        <v>2050</v>
      </c>
      <c r="G500" s="43" t="s">
        <v>2009</v>
      </c>
      <c r="H500" s="50">
        <v>6.1707000000000001</v>
      </c>
      <c r="I500" s="50">
        <v>4.2102000000000004</v>
      </c>
      <c r="J500" s="50">
        <v>9.0439000000000007</v>
      </c>
      <c r="K500" s="50">
        <v>1.057934386365186E-20</v>
      </c>
      <c r="L500" s="6">
        <v>487417</v>
      </c>
      <c r="M500" s="57">
        <v>406</v>
      </c>
      <c r="N500" s="57">
        <v>30073</v>
      </c>
      <c r="O500" s="57">
        <v>28</v>
      </c>
      <c r="P500" s="57">
        <v>113479.3</v>
      </c>
      <c r="Q500" s="57">
        <v>378</v>
      </c>
      <c r="R500" s="57">
        <v>6428568.5</v>
      </c>
      <c r="S500" s="57">
        <v>4.1962999999999999</v>
      </c>
      <c r="T500" s="57"/>
      <c r="U500" s="57"/>
    </row>
    <row r="501" spans="1:21" ht="18" customHeight="1" x14ac:dyDescent="0.15">
      <c r="A501" s="5" t="s">
        <v>2004</v>
      </c>
      <c r="B501" s="6" t="s">
        <v>2049</v>
      </c>
      <c r="C501" s="6" t="s">
        <v>2012</v>
      </c>
      <c r="D501" s="8" t="s">
        <v>2042</v>
      </c>
      <c r="E501" s="8" t="s">
        <v>2049</v>
      </c>
      <c r="F501" s="43" t="s">
        <v>2050</v>
      </c>
      <c r="G501" s="43" t="s">
        <v>2009</v>
      </c>
      <c r="H501" s="50">
        <v>5.5952999999999999</v>
      </c>
      <c r="I501" s="50">
        <v>3.8142999999999998</v>
      </c>
      <c r="J501" s="50">
        <v>8.2077000000000009</v>
      </c>
      <c r="K501" s="50">
        <v>1.271563500134417E-18</v>
      </c>
      <c r="L501" s="6">
        <v>487417</v>
      </c>
      <c r="M501" s="57">
        <v>406</v>
      </c>
      <c r="N501" s="57">
        <v>30073</v>
      </c>
      <c r="O501" s="57">
        <v>28</v>
      </c>
      <c r="P501" s="57">
        <v>113479.3</v>
      </c>
      <c r="Q501" s="57">
        <v>378</v>
      </c>
      <c r="R501" s="57">
        <v>6428568.5</v>
      </c>
      <c r="S501" s="57">
        <v>4.1962999999999999</v>
      </c>
      <c r="T501" s="57"/>
      <c r="U501" s="57"/>
    </row>
    <row r="502" spans="1:21" ht="18" customHeight="1" x14ac:dyDescent="0.15">
      <c r="A502" s="5" t="s">
        <v>2004</v>
      </c>
      <c r="B502" s="6" t="s">
        <v>2049</v>
      </c>
      <c r="C502" s="6" t="s">
        <v>2013</v>
      </c>
      <c r="D502" s="8" t="s">
        <v>2042</v>
      </c>
      <c r="E502" s="8" t="s">
        <v>2049</v>
      </c>
      <c r="F502" s="43" t="s">
        <v>2050</v>
      </c>
      <c r="G502" s="43" t="s">
        <v>2009</v>
      </c>
      <c r="H502" s="50">
        <v>5.0285000000000002</v>
      </c>
      <c r="I502" s="50">
        <v>3.4247999999999998</v>
      </c>
      <c r="J502" s="50">
        <v>7.3832000000000004</v>
      </c>
      <c r="K502" s="50">
        <v>1.6930439359815089E-16</v>
      </c>
      <c r="L502" s="6">
        <v>487417</v>
      </c>
      <c r="M502" s="57">
        <v>406</v>
      </c>
      <c r="N502" s="57">
        <v>30073</v>
      </c>
      <c r="O502" s="57">
        <v>28</v>
      </c>
      <c r="P502" s="57">
        <v>113479.3</v>
      </c>
      <c r="Q502" s="57">
        <v>378</v>
      </c>
      <c r="R502" s="57">
        <v>6428568.5</v>
      </c>
      <c r="S502" s="57">
        <v>4.1962999999999999</v>
      </c>
      <c r="T502" s="57"/>
      <c r="U502" s="57"/>
    </row>
    <row r="503" spans="1:21" ht="18" customHeight="1" x14ac:dyDescent="0.15">
      <c r="A503" s="5" t="s">
        <v>2004</v>
      </c>
      <c r="B503" s="6" t="s">
        <v>2049</v>
      </c>
      <c r="C503" s="6" t="s">
        <v>2006</v>
      </c>
      <c r="D503" s="8" t="s">
        <v>2043</v>
      </c>
      <c r="E503" s="8" t="s">
        <v>2049</v>
      </c>
      <c r="F503" s="43" t="s">
        <v>2050</v>
      </c>
      <c r="G503" s="43" t="s">
        <v>2009</v>
      </c>
      <c r="H503" s="50">
        <v>2.9965000000000002</v>
      </c>
      <c r="I503" s="50"/>
      <c r="J503" s="50"/>
      <c r="K503" s="50"/>
      <c r="L503" s="6">
        <v>486289</v>
      </c>
      <c r="M503" s="57">
        <v>2638</v>
      </c>
      <c r="N503" s="57">
        <v>29858</v>
      </c>
      <c r="O503" s="57">
        <v>132</v>
      </c>
      <c r="P503" s="57">
        <v>112780.3</v>
      </c>
      <c r="Q503" s="57">
        <v>2506</v>
      </c>
      <c r="R503" s="57">
        <v>6415922.9000000004</v>
      </c>
      <c r="S503" s="57">
        <v>2.9965000000000002</v>
      </c>
      <c r="T503" s="57"/>
      <c r="U503" s="57"/>
    </row>
    <row r="504" spans="1:21" ht="18" customHeight="1" x14ac:dyDescent="0.15">
      <c r="A504" s="5" t="s">
        <v>2004</v>
      </c>
      <c r="B504" s="6" t="s">
        <v>2049</v>
      </c>
      <c r="C504" s="6" t="s">
        <v>2010</v>
      </c>
      <c r="D504" s="8" t="s">
        <v>2043</v>
      </c>
      <c r="E504" s="8" t="s">
        <v>2049</v>
      </c>
      <c r="F504" s="43" t="s">
        <v>2050</v>
      </c>
      <c r="G504" s="43" t="s">
        <v>2009</v>
      </c>
      <c r="H504" s="50">
        <v>2.9965000000000002</v>
      </c>
      <c r="I504" s="50">
        <v>2.5167000000000002</v>
      </c>
      <c r="J504" s="50">
        <v>3.5678000000000001</v>
      </c>
      <c r="K504" s="50">
        <v>6.5211402294944066E-35</v>
      </c>
      <c r="L504" s="6">
        <v>486289</v>
      </c>
      <c r="M504" s="57">
        <v>2638</v>
      </c>
      <c r="N504" s="57">
        <v>29858</v>
      </c>
      <c r="O504" s="57">
        <v>132</v>
      </c>
      <c r="P504" s="57">
        <v>112780.3</v>
      </c>
      <c r="Q504" s="57">
        <v>2506</v>
      </c>
      <c r="R504" s="57">
        <v>6415922.9000000004</v>
      </c>
      <c r="S504" s="57">
        <v>2.9965000000000002</v>
      </c>
      <c r="T504" s="57"/>
      <c r="U504" s="57"/>
    </row>
    <row r="505" spans="1:21" ht="18" customHeight="1" x14ac:dyDescent="0.15">
      <c r="A505" s="5" t="s">
        <v>2004</v>
      </c>
      <c r="B505" s="6" t="s">
        <v>2049</v>
      </c>
      <c r="C505" s="6" t="s">
        <v>2011</v>
      </c>
      <c r="D505" s="8" t="s">
        <v>2043</v>
      </c>
      <c r="E505" s="8" t="s">
        <v>2049</v>
      </c>
      <c r="F505" s="43" t="s">
        <v>2050</v>
      </c>
      <c r="G505" s="43" t="s">
        <v>2009</v>
      </c>
      <c r="H505" s="50">
        <v>2.1623999999999999</v>
      </c>
      <c r="I505" s="50">
        <v>1.7957000000000001</v>
      </c>
      <c r="J505" s="50">
        <v>2.6040000000000001</v>
      </c>
      <c r="K505" s="50">
        <v>4.160481957246995E-16</v>
      </c>
      <c r="L505" s="6">
        <v>486289</v>
      </c>
      <c r="M505" s="57">
        <v>2638</v>
      </c>
      <c r="N505" s="57">
        <v>29858</v>
      </c>
      <c r="O505" s="57">
        <v>132</v>
      </c>
      <c r="P505" s="57">
        <v>112780.3</v>
      </c>
      <c r="Q505" s="57">
        <v>2506</v>
      </c>
      <c r="R505" s="57">
        <v>6415922.9000000004</v>
      </c>
      <c r="S505" s="57">
        <v>2.9965000000000002</v>
      </c>
      <c r="T505" s="57"/>
      <c r="U505" s="57"/>
    </row>
    <row r="506" spans="1:21" ht="18" customHeight="1" x14ac:dyDescent="0.15">
      <c r="A506" s="5" t="s">
        <v>2004</v>
      </c>
      <c r="B506" s="6" t="s">
        <v>2049</v>
      </c>
      <c r="C506" s="6" t="s">
        <v>2012</v>
      </c>
      <c r="D506" s="8" t="s">
        <v>2043</v>
      </c>
      <c r="E506" s="8" t="s">
        <v>2049</v>
      </c>
      <c r="F506" s="43" t="s">
        <v>2050</v>
      </c>
      <c r="G506" s="43" t="s">
        <v>2009</v>
      </c>
      <c r="H506" s="50">
        <v>2.0165999999999999</v>
      </c>
      <c r="I506" s="50">
        <v>1.6752</v>
      </c>
      <c r="J506" s="50">
        <v>2.4275000000000002</v>
      </c>
      <c r="K506" s="50">
        <v>1.240396021339479E-13</v>
      </c>
      <c r="L506" s="6">
        <v>486289</v>
      </c>
      <c r="M506" s="57">
        <v>2638</v>
      </c>
      <c r="N506" s="57">
        <v>29858</v>
      </c>
      <c r="O506" s="57">
        <v>132</v>
      </c>
      <c r="P506" s="57">
        <v>112780.3</v>
      </c>
      <c r="Q506" s="57">
        <v>2506</v>
      </c>
      <c r="R506" s="57">
        <v>6415922.9000000004</v>
      </c>
      <c r="S506" s="57">
        <v>2.9965000000000002</v>
      </c>
      <c r="T506" s="57"/>
      <c r="U506" s="57"/>
    </row>
    <row r="507" spans="1:21" ht="18" customHeight="1" x14ac:dyDescent="0.15">
      <c r="A507" s="5" t="s">
        <v>2004</v>
      </c>
      <c r="B507" s="6" t="s">
        <v>2049</v>
      </c>
      <c r="C507" s="6" t="s">
        <v>2013</v>
      </c>
      <c r="D507" s="8" t="s">
        <v>2043</v>
      </c>
      <c r="E507" s="8" t="s">
        <v>2049</v>
      </c>
      <c r="F507" s="43" t="s">
        <v>2050</v>
      </c>
      <c r="G507" s="43" t="s">
        <v>2009</v>
      </c>
      <c r="H507" s="50">
        <v>1.9562999999999999</v>
      </c>
      <c r="I507" s="50">
        <v>1.6242000000000001</v>
      </c>
      <c r="J507" s="50">
        <v>2.3563999999999998</v>
      </c>
      <c r="K507" s="50">
        <v>1.5653419594634549E-12</v>
      </c>
      <c r="L507" s="6">
        <v>486289</v>
      </c>
      <c r="M507" s="57">
        <v>2638</v>
      </c>
      <c r="N507" s="57">
        <v>29858</v>
      </c>
      <c r="O507" s="57">
        <v>132</v>
      </c>
      <c r="P507" s="57">
        <v>112780.3</v>
      </c>
      <c r="Q507" s="57">
        <v>2506</v>
      </c>
      <c r="R507" s="57">
        <v>6415922.9000000004</v>
      </c>
      <c r="S507" s="57">
        <v>2.9965000000000002</v>
      </c>
      <c r="T507" s="57"/>
      <c r="U507" s="57"/>
    </row>
    <row r="508" spans="1:21" ht="18" customHeight="1" x14ac:dyDescent="0.15">
      <c r="A508" s="5" t="s">
        <v>2004</v>
      </c>
      <c r="B508" s="6" t="s">
        <v>2049</v>
      </c>
      <c r="C508" s="6" t="s">
        <v>2006</v>
      </c>
      <c r="D508" s="8" t="s">
        <v>2044</v>
      </c>
      <c r="E508" s="8" t="s">
        <v>2049</v>
      </c>
      <c r="F508" s="43" t="s">
        <v>2050</v>
      </c>
      <c r="G508" s="43" t="s">
        <v>2009</v>
      </c>
      <c r="H508" s="50">
        <v>3.2138</v>
      </c>
      <c r="I508" s="50"/>
      <c r="J508" s="50"/>
      <c r="K508" s="50"/>
      <c r="L508" s="6">
        <v>468583</v>
      </c>
      <c r="M508" s="57">
        <v>21195</v>
      </c>
      <c r="N508" s="57">
        <v>26939</v>
      </c>
      <c r="O508" s="57">
        <v>1078</v>
      </c>
      <c r="P508" s="57">
        <v>103543.4</v>
      </c>
      <c r="Q508" s="57">
        <v>20117</v>
      </c>
      <c r="R508" s="57">
        <v>6209832.9000000004</v>
      </c>
      <c r="S508" s="57">
        <v>3.2138</v>
      </c>
      <c r="T508" s="57"/>
      <c r="U508" s="57"/>
    </row>
    <row r="509" spans="1:21" ht="18" customHeight="1" x14ac:dyDescent="0.15">
      <c r="A509" s="5" t="s">
        <v>2004</v>
      </c>
      <c r="B509" s="6" t="s">
        <v>2049</v>
      </c>
      <c r="C509" s="6" t="s">
        <v>2010</v>
      </c>
      <c r="D509" s="8" t="s">
        <v>2044</v>
      </c>
      <c r="E509" s="8" t="s">
        <v>2049</v>
      </c>
      <c r="F509" s="43" t="s">
        <v>2050</v>
      </c>
      <c r="G509" s="43" t="s">
        <v>2009</v>
      </c>
      <c r="H509" s="50">
        <v>3.2138</v>
      </c>
      <c r="I509" s="50">
        <v>3.0268999999999999</v>
      </c>
      <c r="J509" s="50">
        <v>3.4121000000000001</v>
      </c>
      <c r="K509" s="50">
        <v>0</v>
      </c>
      <c r="L509" s="6">
        <v>468583</v>
      </c>
      <c r="M509" s="57">
        <v>21195</v>
      </c>
      <c r="N509" s="57">
        <v>26939</v>
      </c>
      <c r="O509" s="57">
        <v>1078</v>
      </c>
      <c r="P509" s="57">
        <v>103543.4</v>
      </c>
      <c r="Q509" s="57">
        <v>20117</v>
      </c>
      <c r="R509" s="57">
        <v>6209832.9000000004</v>
      </c>
      <c r="S509" s="57">
        <v>3.2138</v>
      </c>
      <c r="T509" s="57"/>
      <c r="U509" s="57"/>
    </row>
    <row r="510" spans="1:21" ht="18" customHeight="1" x14ac:dyDescent="0.15">
      <c r="A510" s="5" t="s">
        <v>2004</v>
      </c>
      <c r="B510" s="6" t="s">
        <v>2049</v>
      </c>
      <c r="C510" s="6" t="s">
        <v>2011</v>
      </c>
      <c r="D510" s="8" t="s">
        <v>2044</v>
      </c>
      <c r="E510" s="8" t="s">
        <v>2049</v>
      </c>
      <c r="F510" s="43" t="s">
        <v>2050</v>
      </c>
      <c r="G510" s="43" t="s">
        <v>2009</v>
      </c>
      <c r="H510" s="50">
        <v>3.2113999999999998</v>
      </c>
      <c r="I510" s="50">
        <v>3.0163000000000002</v>
      </c>
      <c r="J510" s="50">
        <v>3.4190999999999998</v>
      </c>
      <c r="K510" s="50">
        <v>1.527059041639553E-291</v>
      </c>
      <c r="L510" s="6">
        <v>468583</v>
      </c>
      <c r="M510" s="57">
        <v>21195</v>
      </c>
      <c r="N510" s="57">
        <v>26939</v>
      </c>
      <c r="O510" s="57">
        <v>1078</v>
      </c>
      <c r="P510" s="57">
        <v>103543.4</v>
      </c>
      <c r="Q510" s="57">
        <v>20117</v>
      </c>
      <c r="R510" s="57">
        <v>6209832.9000000004</v>
      </c>
      <c r="S510" s="57">
        <v>3.2138</v>
      </c>
      <c r="T510" s="57"/>
      <c r="U510" s="57"/>
    </row>
    <row r="511" spans="1:21" ht="18" customHeight="1" x14ac:dyDescent="0.15">
      <c r="A511" s="5" t="s">
        <v>2004</v>
      </c>
      <c r="B511" s="6" t="s">
        <v>2049</v>
      </c>
      <c r="C511" s="6" t="s">
        <v>2012</v>
      </c>
      <c r="D511" s="8" t="s">
        <v>2044</v>
      </c>
      <c r="E511" s="8" t="s">
        <v>2049</v>
      </c>
      <c r="F511" s="43" t="s">
        <v>2050</v>
      </c>
      <c r="G511" s="43" t="s">
        <v>2009</v>
      </c>
      <c r="H511" s="50">
        <v>2.9832000000000001</v>
      </c>
      <c r="I511" s="50">
        <v>2.802</v>
      </c>
      <c r="J511" s="50">
        <v>3.1760999999999999</v>
      </c>
      <c r="K511" s="50">
        <v>3.502988443690673E-256</v>
      </c>
      <c r="L511" s="6">
        <v>468583</v>
      </c>
      <c r="M511" s="57">
        <v>21195</v>
      </c>
      <c r="N511" s="57">
        <v>26939</v>
      </c>
      <c r="O511" s="57">
        <v>1078</v>
      </c>
      <c r="P511" s="57">
        <v>103543.4</v>
      </c>
      <c r="Q511" s="57">
        <v>20117</v>
      </c>
      <c r="R511" s="57">
        <v>6209832.9000000004</v>
      </c>
      <c r="S511" s="57">
        <v>3.2138</v>
      </c>
      <c r="T511" s="57"/>
      <c r="U511" s="57"/>
    </row>
    <row r="512" spans="1:21" ht="18" customHeight="1" x14ac:dyDescent="0.15">
      <c r="A512" s="5" t="s">
        <v>2004</v>
      </c>
      <c r="B512" s="6" t="s">
        <v>2049</v>
      </c>
      <c r="C512" s="6" t="s">
        <v>2013</v>
      </c>
      <c r="D512" s="8" t="s">
        <v>2044</v>
      </c>
      <c r="E512" s="8" t="s">
        <v>2049</v>
      </c>
      <c r="F512" s="43" t="s">
        <v>2050</v>
      </c>
      <c r="G512" s="43" t="s">
        <v>2009</v>
      </c>
      <c r="H512" s="50">
        <v>2.9247000000000001</v>
      </c>
      <c r="I512" s="50">
        <v>2.7467999999999999</v>
      </c>
      <c r="J512" s="50">
        <v>3.1141000000000001</v>
      </c>
      <c r="K512" s="50">
        <v>2.9164310240684172E-246</v>
      </c>
      <c r="L512" s="6">
        <v>468583</v>
      </c>
      <c r="M512" s="57">
        <v>21195</v>
      </c>
      <c r="N512" s="57">
        <v>26939</v>
      </c>
      <c r="O512" s="57">
        <v>1078</v>
      </c>
      <c r="P512" s="57">
        <v>103543.4</v>
      </c>
      <c r="Q512" s="57">
        <v>20117</v>
      </c>
      <c r="R512" s="57">
        <v>6209832.9000000004</v>
      </c>
      <c r="S512" s="57">
        <v>3.2138</v>
      </c>
      <c r="T512" s="57"/>
      <c r="U512" s="57"/>
    </row>
    <row r="513" spans="1:21" ht="18" customHeight="1" x14ac:dyDescent="0.15">
      <c r="A513" s="5" t="s">
        <v>2014</v>
      </c>
      <c r="B513" s="6" t="s">
        <v>2049</v>
      </c>
      <c r="C513" s="6" t="s">
        <v>2015</v>
      </c>
      <c r="D513" s="8" t="s">
        <v>2044</v>
      </c>
      <c r="E513" s="8" t="s">
        <v>2049</v>
      </c>
      <c r="F513" s="43" t="s">
        <v>2050</v>
      </c>
      <c r="G513" s="43" t="s">
        <v>2009</v>
      </c>
      <c r="H513" s="50">
        <v>3.2138</v>
      </c>
      <c r="I513" s="50">
        <v>3.0268999999999999</v>
      </c>
      <c r="J513" s="50">
        <v>3.4121000000000001</v>
      </c>
      <c r="K513" s="50">
        <v>0</v>
      </c>
      <c r="L513" s="6">
        <v>468583</v>
      </c>
      <c r="M513" s="57">
        <v>21195</v>
      </c>
      <c r="N513" s="57"/>
      <c r="O513" s="57"/>
      <c r="P513" s="57"/>
      <c r="Q513" s="57"/>
      <c r="R513" s="57"/>
      <c r="S513" s="57"/>
      <c r="T513" s="57"/>
      <c r="U513" s="57"/>
    </row>
    <row r="514" spans="1:21" ht="18" customHeight="1" x14ac:dyDescent="0.15">
      <c r="A514" s="5" t="s">
        <v>2014</v>
      </c>
      <c r="B514" s="6" t="s">
        <v>2049</v>
      </c>
      <c r="C514" s="6" t="s">
        <v>2016</v>
      </c>
      <c r="D514" s="8" t="s">
        <v>2044</v>
      </c>
      <c r="E514" s="8" t="s">
        <v>2049</v>
      </c>
      <c r="F514" s="43" t="s">
        <v>2050</v>
      </c>
      <c r="G514" s="43" t="s">
        <v>2009</v>
      </c>
      <c r="H514" s="50">
        <v>3.2113999999999998</v>
      </c>
      <c r="I514" s="50">
        <v>3.0163000000000002</v>
      </c>
      <c r="J514" s="50">
        <v>3.4190999999999998</v>
      </c>
      <c r="K514" s="50">
        <v>1.527059041639553E-291</v>
      </c>
      <c r="L514" s="6">
        <v>468583</v>
      </c>
      <c r="M514" s="57">
        <v>21195</v>
      </c>
      <c r="N514" s="57"/>
      <c r="O514" s="57"/>
      <c r="P514" s="57"/>
      <c r="Q514" s="57"/>
      <c r="R514" s="57"/>
      <c r="S514" s="57"/>
      <c r="T514" s="57"/>
      <c r="U514" s="57"/>
    </row>
    <row r="515" spans="1:21" ht="18" customHeight="1" x14ac:dyDescent="0.15">
      <c r="A515" s="5" t="s">
        <v>2014</v>
      </c>
      <c r="B515" s="6" t="s">
        <v>2049</v>
      </c>
      <c r="C515" s="6" t="s">
        <v>2017</v>
      </c>
      <c r="D515" s="8" t="s">
        <v>2044</v>
      </c>
      <c r="E515" s="8" t="s">
        <v>2049</v>
      </c>
      <c r="F515" s="43" t="s">
        <v>2050</v>
      </c>
      <c r="G515" s="43" t="s">
        <v>2009</v>
      </c>
      <c r="H515" s="50">
        <v>2.7385999999999999</v>
      </c>
      <c r="I515" s="50">
        <v>2.573</v>
      </c>
      <c r="J515" s="50">
        <v>2.9148999999999998</v>
      </c>
      <c r="K515" s="50">
        <v>6.2217936342029688E-220</v>
      </c>
      <c r="L515" s="6">
        <v>468583</v>
      </c>
      <c r="M515" s="57">
        <v>21195</v>
      </c>
      <c r="N515" s="57"/>
      <c r="O515" s="57"/>
      <c r="P515" s="57"/>
      <c r="Q515" s="57"/>
      <c r="R515" s="57"/>
      <c r="S515" s="57"/>
      <c r="T515" s="57"/>
      <c r="U515" s="57"/>
    </row>
    <row r="516" spans="1:21" ht="18" customHeight="1" x14ac:dyDescent="0.15">
      <c r="A516" s="5" t="s">
        <v>2014</v>
      </c>
      <c r="B516" s="6" t="s">
        <v>2049</v>
      </c>
      <c r="C516" s="6" t="s">
        <v>2018</v>
      </c>
      <c r="D516" s="8" t="s">
        <v>2044</v>
      </c>
      <c r="E516" s="8" t="s">
        <v>2049</v>
      </c>
      <c r="F516" s="43" t="s">
        <v>2050</v>
      </c>
      <c r="G516" s="43" t="s">
        <v>2009</v>
      </c>
      <c r="H516" s="50">
        <v>1.9189000000000001</v>
      </c>
      <c r="I516" s="50">
        <v>1.5952999999999999</v>
      </c>
      <c r="J516" s="50">
        <v>2.3081999999999998</v>
      </c>
      <c r="K516" s="50">
        <v>4.6415471719006053E-12</v>
      </c>
      <c r="L516" s="6">
        <v>468583</v>
      </c>
      <c r="M516" s="57">
        <v>21195</v>
      </c>
      <c r="N516" s="57"/>
      <c r="O516" s="57"/>
      <c r="P516" s="57"/>
      <c r="Q516" s="57"/>
      <c r="R516" s="57"/>
      <c r="S516" s="57"/>
      <c r="T516" s="57"/>
      <c r="U516" s="57"/>
    </row>
    <row r="517" spans="1:21" ht="18" customHeight="1" x14ac:dyDescent="0.15">
      <c r="A517" s="5" t="s">
        <v>2014</v>
      </c>
      <c r="B517" s="6" t="s">
        <v>2049</v>
      </c>
      <c r="C517" s="6" t="s">
        <v>2019</v>
      </c>
      <c r="D517" s="8" t="s">
        <v>2044</v>
      </c>
      <c r="E517" s="8" t="s">
        <v>2049</v>
      </c>
      <c r="F517" s="43" t="s">
        <v>2050</v>
      </c>
      <c r="G517" s="43" t="s">
        <v>1816</v>
      </c>
      <c r="H517" s="50">
        <v>6.9839000000000002</v>
      </c>
      <c r="I517" s="50">
        <v>6.1134000000000004</v>
      </c>
      <c r="J517" s="50">
        <v>7.9783999999999997</v>
      </c>
      <c r="K517" s="50">
        <v>4.4284781102430472E-180</v>
      </c>
      <c r="L517" s="6">
        <v>455343</v>
      </c>
      <c r="M517" s="57">
        <v>2073</v>
      </c>
      <c r="N517" s="57"/>
      <c r="O517" s="57"/>
      <c r="P517" s="57"/>
      <c r="Q517" s="57"/>
      <c r="R517" s="57"/>
      <c r="S517" s="57"/>
      <c r="T517" s="57"/>
      <c r="U517" s="57"/>
    </row>
    <row r="518" spans="1:21" ht="18" customHeight="1" x14ac:dyDescent="0.15">
      <c r="A518" s="5" t="s">
        <v>2014</v>
      </c>
      <c r="B518" s="6" t="s">
        <v>2049</v>
      </c>
      <c r="C518" s="6" t="s">
        <v>2020</v>
      </c>
      <c r="D518" s="8" t="s">
        <v>2044</v>
      </c>
      <c r="E518" s="8" t="s">
        <v>2049</v>
      </c>
      <c r="F518" s="43" t="s">
        <v>2050</v>
      </c>
      <c r="G518" s="43" t="s">
        <v>2009</v>
      </c>
      <c r="H518" s="50">
        <v>2.6613000000000002</v>
      </c>
      <c r="I518" s="50">
        <v>2.4870000000000001</v>
      </c>
      <c r="J518" s="50">
        <v>2.8477999999999999</v>
      </c>
      <c r="K518" s="50">
        <v>2.0139208969959859E-176</v>
      </c>
      <c r="L518" s="6">
        <v>455345</v>
      </c>
      <c r="M518" s="57">
        <v>20984</v>
      </c>
      <c r="N518" s="57"/>
      <c r="O518" s="57"/>
      <c r="P518" s="57"/>
      <c r="Q518" s="57"/>
      <c r="R518" s="57"/>
      <c r="S518" s="57"/>
      <c r="T518" s="57"/>
      <c r="U518" s="57"/>
    </row>
    <row r="519" spans="1:21" ht="18" customHeight="1" x14ac:dyDescent="0.15">
      <c r="A519" s="5" t="s">
        <v>2021</v>
      </c>
      <c r="B519" s="6" t="s">
        <v>2049</v>
      </c>
      <c r="C519" s="6" t="s">
        <v>2022</v>
      </c>
      <c r="D519" s="8" t="s">
        <v>2044</v>
      </c>
      <c r="E519" s="8" t="s">
        <v>2049</v>
      </c>
      <c r="F519" s="43" t="s">
        <v>2050</v>
      </c>
      <c r="G519" s="43" t="s">
        <v>2009</v>
      </c>
      <c r="H519" s="50">
        <v>1.5482</v>
      </c>
      <c r="I519" s="50">
        <v>0.76600000000000001</v>
      </c>
      <c r="J519" s="50">
        <v>3.1291000000000002</v>
      </c>
      <c r="K519" s="50">
        <v>0.2233943210461781</v>
      </c>
      <c r="L519" s="6">
        <v>4673</v>
      </c>
      <c r="M519" s="57">
        <v>285</v>
      </c>
      <c r="N519" s="57"/>
      <c r="O519" s="57"/>
      <c r="P519" s="57"/>
      <c r="Q519" s="57"/>
      <c r="R519" s="57"/>
      <c r="S519" s="57"/>
      <c r="T519" s="57" t="s">
        <v>2023</v>
      </c>
      <c r="U519" s="57" t="s">
        <v>2024</v>
      </c>
    </row>
    <row r="520" spans="1:21" ht="18" customHeight="1" x14ac:dyDescent="0.15">
      <c r="A520" s="5" t="s">
        <v>2021</v>
      </c>
      <c r="B520" s="6" t="s">
        <v>2049</v>
      </c>
      <c r="C520" s="6" t="s">
        <v>2022</v>
      </c>
      <c r="D520" s="8" t="s">
        <v>2044</v>
      </c>
      <c r="E520" s="8" t="s">
        <v>2049</v>
      </c>
      <c r="F520" s="43" t="s">
        <v>2050</v>
      </c>
      <c r="G520" s="43" t="s">
        <v>2009</v>
      </c>
      <c r="H520" s="50">
        <v>3.8889999999999998</v>
      </c>
      <c r="I520" s="50">
        <v>3.5145</v>
      </c>
      <c r="J520" s="50">
        <v>4.3033000000000001</v>
      </c>
      <c r="K520" s="50">
        <v>2.4947787021800561E-152</v>
      </c>
      <c r="L520" s="6">
        <v>316431</v>
      </c>
      <c r="M520" s="57">
        <v>7066</v>
      </c>
      <c r="N520" s="57"/>
      <c r="O520" s="57"/>
      <c r="P520" s="57"/>
      <c r="Q520" s="57"/>
      <c r="R520" s="57"/>
      <c r="S520" s="57"/>
      <c r="T520" s="57" t="s">
        <v>2023</v>
      </c>
      <c r="U520" s="57" t="s">
        <v>2025</v>
      </c>
    </row>
    <row r="521" spans="1:21" ht="18" customHeight="1" x14ac:dyDescent="0.15">
      <c r="A521" s="5" t="s">
        <v>2021</v>
      </c>
      <c r="B521" s="6" t="s">
        <v>2049</v>
      </c>
      <c r="C521" s="6" t="s">
        <v>2022</v>
      </c>
      <c r="D521" s="8" t="s">
        <v>2044</v>
      </c>
      <c r="E521" s="8" t="s">
        <v>2049</v>
      </c>
      <c r="F521" s="43" t="s">
        <v>2050</v>
      </c>
      <c r="G521" s="43" t="s">
        <v>2009</v>
      </c>
      <c r="H521" s="50">
        <v>2.5554999999999999</v>
      </c>
      <c r="I521" s="50">
        <v>2.3603999999999998</v>
      </c>
      <c r="J521" s="50">
        <v>2.7667999999999999</v>
      </c>
      <c r="K521" s="50">
        <v>1.497678486650411E-118</v>
      </c>
      <c r="L521" s="6">
        <v>147479</v>
      </c>
      <c r="M521" s="57">
        <v>13844</v>
      </c>
      <c r="N521" s="57"/>
      <c r="O521" s="57"/>
      <c r="P521" s="57"/>
      <c r="Q521" s="57"/>
      <c r="R521" s="57"/>
      <c r="S521" s="57"/>
      <c r="T521" s="57" t="s">
        <v>2023</v>
      </c>
      <c r="U521" s="57" t="s">
        <v>2026</v>
      </c>
    </row>
    <row r="522" spans="1:21" ht="18" customHeight="1" x14ac:dyDescent="0.15">
      <c r="A522" s="5" t="s">
        <v>2021</v>
      </c>
      <c r="B522" s="6" t="s">
        <v>2049</v>
      </c>
      <c r="C522" s="6" t="s">
        <v>2022</v>
      </c>
      <c r="D522" s="8" t="s">
        <v>2044</v>
      </c>
      <c r="E522" s="8" t="s">
        <v>2049</v>
      </c>
      <c r="F522" s="43" t="s">
        <v>2050</v>
      </c>
      <c r="G522" s="43" t="s">
        <v>2009</v>
      </c>
      <c r="H522" s="50">
        <v>2.5445000000000002</v>
      </c>
      <c r="I522" s="50">
        <v>1.4573</v>
      </c>
      <c r="J522" s="50">
        <v>4.4428000000000001</v>
      </c>
      <c r="K522" s="50">
        <v>1.0228473899708101E-3</v>
      </c>
      <c r="L522" s="6">
        <v>3291</v>
      </c>
      <c r="M522" s="57">
        <v>267</v>
      </c>
      <c r="N522" s="57"/>
      <c r="O522" s="57"/>
      <c r="P522" s="57"/>
      <c r="Q522" s="57"/>
      <c r="R522" s="57"/>
      <c r="S522" s="57"/>
      <c r="T522" s="57" t="s">
        <v>2027</v>
      </c>
      <c r="U522" s="57" t="s">
        <v>2024</v>
      </c>
    </row>
    <row r="523" spans="1:21" ht="18" customHeight="1" x14ac:dyDescent="0.15">
      <c r="A523" s="5" t="s">
        <v>2021</v>
      </c>
      <c r="B523" s="6" t="s">
        <v>2049</v>
      </c>
      <c r="C523" s="6" t="s">
        <v>2022</v>
      </c>
      <c r="D523" s="8" t="s">
        <v>2044</v>
      </c>
      <c r="E523" s="8" t="s">
        <v>2049</v>
      </c>
      <c r="F523" s="43" t="s">
        <v>2050</v>
      </c>
      <c r="G523" s="43" t="s">
        <v>2009</v>
      </c>
      <c r="H523" s="50">
        <v>3.2549999999999999</v>
      </c>
      <c r="I523" s="50">
        <v>3.0173999999999999</v>
      </c>
      <c r="J523" s="50">
        <v>3.5114000000000001</v>
      </c>
      <c r="K523" s="50">
        <v>1.9966266517762509E-204</v>
      </c>
      <c r="L523" s="6">
        <v>417502</v>
      </c>
      <c r="M523" s="57">
        <v>15065</v>
      </c>
      <c r="N523" s="57"/>
      <c r="O523" s="57"/>
      <c r="P523" s="57"/>
      <c r="Q523" s="57"/>
      <c r="R523" s="57"/>
      <c r="S523" s="57"/>
      <c r="T523" s="57" t="s">
        <v>2027</v>
      </c>
      <c r="U523" s="57" t="s">
        <v>2025</v>
      </c>
    </row>
    <row r="524" spans="1:21" ht="18" customHeight="1" x14ac:dyDescent="0.15">
      <c r="A524" s="5" t="s">
        <v>2021</v>
      </c>
      <c r="B524" s="6" t="s">
        <v>2049</v>
      </c>
      <c r="C524" s="6" t="s">
        <v>2022</v>
      </c>
      <c r="D524" s="8" t="s">
        <v>2044</v>
      </c>
      <c r="E524" s="8" t="s">
        <v>2049</v>
      </c>
      <c r="F524" s="43" t="s">
        <v>2050</v>
      </c>
      <c r="G524" s="43" t="s">
        <v>2009</v>
      </c>
      <c r="H524" s="50">
        <v>2.4763999999999999</v>
      </c>
      <c r="I524" s="50">
        <v>2.2172999999999998</v>
      </c>
      <c r="J524" s="50">
        <v>2.7658999999999998</v>
      </c>
      <c r="K524" s="50">
        <v>3.5237784899379248E-58</v>
      </c>
      <c r="L524" s="6">
        <v>47790</v>
      </c>
      <c r="M524" s="57">
        <v>5863</v>
      </c>
      <c r="N524" s="57"/>
      <c r="O524" s="57"/>
      <c r="P524" s="57"/>
      <c r="Q524" s="57"/>
      <c r="R524" s="57"/>
      <c r="S524" s="57"/>
      <c r="T524" s="57" t="s">
        <v>2027</v>
      </c>
      <c r="U524" s="57" t="s">
        <v>2026</v>
      </c>
    </row>
    <row r="525" spans="1:21" ht="18" customHeight="1" x14ac:dyDescent="0.15">
      <c r="A525" s="5" t="s">
        <v>2021</v>
      </c>
      <c r="B525" s="6" t="s">
        <v>2049</v>
      </c>
      <c r="C525" s="6" t="s">
        <v>2022</v>
      </c>
      <c r="D525" s="8" t="s">
        <v>2044</v>
      </c>
      <c r="E525" s="8" t="s">
        <v>2049</v>
      </c>
      <c r="F525" s="43" t="s">
        <v>2050</v>
      </c>
      <c r="G525" s="43" t="s">
        <v>2009</v>
      </c>
      <c r="H525" s="50">
        <v>2.8952</v>
      </c>
      <c r="I525" s="50">
        <v>2.7044000000000001</v>
      </c>
      <c r="J525" s="50">
        <v>3.0994999999999999</v>
      </c>
      <c r="K525" s="50">
        <v>5.0203929178435101E-205</v>
      </c>
      <c r="L525" s="6">
        <v>304347</v>
      </c>
      <c r="M525" s="57">
        <v>16411</v>
      </c>
      <c r="N525" s="57"/>
      <c r="O525" s="57"/>
      <c r="P525" s="57"/>
      <c r="Q525" s="57"/>
      <c r="R525" s="57"/>
      <c r="S525" s="57"/>
      <c r="T525" s="57" t="s">
        <v>2028</v>
      </c>
      <c r="U525" s="57" t="s">
        <v>2029</v>
      </c>
    </row>
    <row r="526" spans="1:21" ht="18" customHeight="1" x14ac:dyDescent="0.15">
      <c r="A526" s="5" t="s">
        <v>2021</v>
      </c>
      <c r="B526" s="6" t="s">
        <v>2049</v>
      </c>
      <c r="C526" s="6" t="s">
        <v>2022</v>
      </c>
      <c r="D526" s="8" t="s">
        <v>2044</v>
      </c>
      <c r="E526" s="8" t="s">
        <v>2049</v>
      </c>
      <c r="F526" s="43" t="s">
        <v>2050</v>
      </c>
      <c r="G526" s="43" t="s">
        <v>2009</v>
      </c>
      <c r="H526" s="50">
        <v>4.0686999999999998</v>
      </c>
      <c r="I526" s="50">
        <v>3.4830000000000001</v>
      </c>
      <c r="J526" s="50">
        <v>4.7529000000000003</v>
      </c>
      <c r="K526" s="50">
        <v>4.5384936978323858E-70</v>
      </c>
      <c r="L526" s="6">
        <v>164236</v>
      </c>
      <c r="M526" s="57">
        <v>4784</v>
      </c>
      <c r="N526" s="57"/>
      <c r="O526" s="57"/>
      <c r="P526" s="57"/>
      <c r="Q526" s="57"/>
      <c r="R526" s="57"/>
      <c r="S526" s="57"/>
      <c r="T526" s="57" t="s">
        <v>2028</v>
      </c>
      <c r="U526" s="57" t="s">
        <v>2030</v>
      </c>
    </row>
    <row r="527" spans="1:21" ht="18" customHeight="1" x14ac:dyDescent="0.15">
      <c r="A527" s="5" t="s">
        <v>2004</v>
      </c>
      <c r="B527" s="6" t="s">
        <v>2049</v>
      </c>
      <c r="C527" s="6" t="s">
        <v>2006</v>
      </c>
      <c r="D527" s="8" t="s">
        <v>2045</v>
      </c>
      <c r="E527" s="8" t="s">
        <v>2049</v>
      </c>
      <c r="F527" s="43" t="s">
        <v>2050</v>
      </c>
      <c r="G527" s="43" t="s">
        <v>2009</v>
      </c>
      <c r="H527" s="50">
        <v>2.4550999999999998</v>
      </c>
      <c r="I527" s="50"/>
      <c r="J527" s="50"/>
      <c r="K527" s="50"/>
      <c r="L527" s="6">
        <v>487362</v>
      </c>
      <c r="M527" s="57">
        <v>289</v>
      </c>
      <c r="N527" s="57">
        <v>30061</v>
      </c>
      <c r="O527" s="57">
        <v>12</v>
      </c>
      <c r="P527" s="57">
        <v>113423.3</v>
      </c>
      <c r="Q527" s="57">
        <v>277</v>
      </c>
      <c r="R527" s="57">
        <v>6427927.5</v>
      </c>
      <c r="S527" s="57">
        <v>2.4550999999999998</v>
      </c>
      <c r="T527" s="57"/>
      <c r="U527" s="57"/>
    </row>
    <row r="528" spans="1:21" ht="18" customHeight="1" x14ac:dyDescent="0.15">
      <c r="A528" s="5" t="s">
        <v>2004</v>
      </c>
      <c r="B528" s="6" t="s">
        <v>2049</v>
      </c>
      <c r="C528" s="6" t="s">
        <v>2010</v>
      </c>
      <c r="D528" s="8" t="s">
        <v>2045</v>
      </c>
      <c r="E528" s="8" t="s">
        <v>2049</v>
      </c>
      <c r="F528" s="43" t="s">
        <v>2050</v>
      </c>
      <c r="G528" s="43" t="s">
        <v>2009</v>
      </c>
      <c r="H528" s="50">
        <v>2.4550999999999998</v>
      </c>
      <c r="I528" s="50">
        <v>1.3777999999999999</v>
      </c>
      <c r="J528" s="50">
        <v>4.3749000000000002</v>
      </c>
      <c r="K528" s="50">
        <v>2.3103969535850301E-3</v>
      </c>
      <c r="L528" s="6">
        <v>487362</v>
      </c>
      <c r="M528" s="57">
        <v>289</v>
      </c>
      <c r="N528" s="57">
        <v>30061</v>
      </c>
      <c r="O528" s="57">
        <v>12</v>
      </c>
      <c r="P528" s="57">
        <v>113423.3</v>
      </c>
      <c r="Q528" s="57">
        <v>277</v>
      </c>
      <c r="R528" s="57">
        <v>6427927.5</v>
      </c>
      <c r="S528" s="57">
        <v>2.4550999999999998</v>
      </c>
      <c r="T528" s="57"/>
      <c r="U528" s="57"/>
    </row>
    <row r="529" spans="1:21" ht="18" customHeight="1" x14ac:dyDescent="0.15">
      <c r="A529" s="5" t="s">
        <v>2004</v>
      </c>
      <c r="B529" s="6" t="s">
        <v>2049</v>
      </c>
      <c r="C529" s="6" t="s">
        <v>2011</v>
      </c>
      <c r="D529" s="8" t="s">
        <v>2045</v>
      </c>
      <c r="E529" s="8" t="s">
        <v>2049</v>
      </c>
      <c r="F529" s="43" t="s">
        <v>2050</v>
      </c>
      <c r="G529" s="43" t="s">
        <v>2009</v>
      </c>
      <c r="H529" s="50">
        <v>3.2107999999999999</v>
      </c>
      <c r="I529" s="50">
        <v>1.7706</v>
      </c>
      <c r="J529" s="50">
        <v>5.8224999999999998</v>
      </c>
      <c r="K529" s="50">
        <v>1.2240694418145999E-4</v>
      </c>
      <c r="L529" s="6">
        <v>487362</v>
      </c>
      <c r="M529" s="57">
        <v>289</v>
      </c>
      <c r="N529" s="57">
        <v>30061</v>
      </c>
      <c r="O529" s="57">
        <v>12</v>
      </c>
      <c r="P529" s="57">
        <v>113423.3</v>
      </c>
      <c r="Q529" s="57">
        <v>277</v>
      </c>
      <c r="R529" s="57">
        <v>6427927.5</v>
      </c>
      <c r="S529" s="57">
        <v>2.4550999999999998</v>
      </c>
      <c r="T529" s="57"/>
      <c r="U529" s="57"/>
    </row>
    <row r="530" spans="1:21" ht="18" customHeight="1" x14ac:dyDescent="0.15">
      <c r="A530" s="5" t="s">
        <v>2004</v>
      </c>
      <c r="B530" s="6" t="s">
        <v>2049</v>
      </c>
      <c r="C530" s="6" t="s">
        <v>2012</v>
      </c>
      <c r="D530" s="8" t="s">
        <v>2045</v>
      </c>
      <c r="E530" s="8" t="s">
        <v>2049</v>
      </c>
      <c r="F530" s="43" t="s">
        <v>2050</v>
      </c>
      <c r="G530" s="43" t="s">
        <v>2009</v>
      </c>
      <c r="H530" s="50">
        <v>2.7181000000000002</v>
      </c>
      <c r="I530" s="50">
        <v>1.49</v>
      </c>
      <c r="J530" s="50">
        <v>4.9583000000000004</v>
      </c>
      <c r="K530" s="50">
        <v>1.11364027720567E-3</v>
      </c>
      <c r="L530" s="6">
        <v>487362</v>
      </c>
      <c r="M530" s="57">
        <v>289</v>
      </c>
      <c r="N530" s="57">
        <v>30061</v>
      </c>
      <c r="O530" s="57">
        <v>12</v>
      </c>
      <c r="P530" s="57">
        <v>113423.3</v>
      </c>
      <c r="Q530" s="57">
        <v>277</v>
      </c>
      <c r="R530" s="57">
        <v>6427927.5</v>
      </c>
      <c r="S530" s="57">
        <v>2.4550999999999998</v>
      </c>
      <c r="T530" s="57"/>
      <c r="U530" s="57"/>
    </row>
    <row r="531" spans="1:21" ht="18" customHeight="1" x14ac:dyDescent="0.15">
      <c r="A531" s="5" t="s">
        <v>2004</v>
      </c>
      <c r="B531" s="6" t="s">
        <v>2049</v>
      </c>
      <c r="C531" s="6" t="s">
        <v>2013</v>
      </c>
      <c r="D531" s="8" t="s">
        <v>2045</v>
      </c>
      <c r="E531" s="8" t="s">
        <v>2049</v>
      </c>
      <c r="F531" s="43" t="s">
        <v>2050</v>
      </c>
      <c r="G531" s="43" t="s">
        <v>2009</v>
      </c>
      <c r="H531" s="50">
        <v>2.673</v>
      </c>
      <c r="I531" s="50">
        <v>1.4643999999999999</v>
      </c>
      <c r="J531" s="50">
        <v>4.8792</v>
      </c>
      <c r="K531" s="50">
        <v>1.3634937598419E-3</v>
      </c>
      <c r="L531" s="6">
        <v>487362</v>
      </c>
      <c r="M531" s="57">
        <v>289</v>
      </c>
      <c r="N531" s="57">
        <v>30061</v>
      </c>
      <c r="O531" s="57">
        <v>12</v>
      </c>
      <c r="P531" s="57">
        <v>113423.3</v>
      </c>
      <c r="Q531" s="57">
        <v>277</v>
      </c>
      <c r="R531" s="57">
        <v>6427927.5</v>
      </c>
      <c r="S531" s="57">
        <v>2.4550999999999998</v>
      </c>
      <c r="T531" s="57"/>
      <c r="U531" s="57"/>
    </row>
    <row r="532" spans="1:21" ht="18" customHeight="1" x14ac:dyDescent="0.15">
      <c r="A532" s="5" t="s">
        <v>2004</v>
      </c>
      <c r="B532" s="6" t="s">
        <v>2049</v>
      </c>
      <c r="C532" s="6" t="s">
        <v>2006</v>
      </c>
      <c r="D532" s="8" t="s">
        <v>2046</v>
      </c>
      <c r="E532" s="8" t="s">
        <v>2049</v>
      </c>
      <c r="F532" s="43" t="s">
        <v>2050</v>
      </c>
      <c r="G532" s="43" t="s">
        <v>2009</v>
      </c>
      <c r="H532" s="50">
        <v>1.0632999999999999</v>
      </c>
      <c r="I532" s="50"/>
      <c r="J532" s="50"/>
      <c r="K532" s="50"/>
      <c r="L532" s="6">
        <v>477744</v>
      </c>
      <c r="M532" s="57">
        <v>4275</v>
      </c>
      <c r="N532" s="57">
        <v>29232</v>
      </c>
      <c r="O532" s="57">
        <v>78</v>
      </c>
      <c r="P532" s="57">
        <v>110221.3</v>
      </c>
      <c r="Q532" s="57">
        <v>4197</v>
      </c>
      <c r="R532" s="57">
        <v>6306388.7000000002</v>
      </c>
      <c r="S532" s="57">
        <v>1.0632999999999999</v>
      </c>
      <c r="T532" s="57"/>
      <c r="U532" s="57"/>
    </row>
    <row r="533" spans="1:21" ht="18" customHeight="1" x14ac:dyDescent="0.15">
      <c r="A533" s="5" t="s">
        <v>2004</v>
      </c>
      <c r="B533" s="6" t="s">
        <v>2049</v>
      </c>
      <c r="C533" s="6" t="s">
        <v>2010</v>
      </c>
      <c r="D533" s="8" t="s">
        <v>2046</v>
      </c>
      <c r="E533" s="8" t="s">
        <v>2049</v>
      </c>
      <c r="F533" s="43" t="s">
        <v>2050</v>
      </c>
      <c r="G533" s="43" t="s">
        <v>2009</v>
      </c>
      <c r="H533" s="50">
        <v>1.0632999999999999</v>
      </c>
      <c r="I533" s="50">
        <v>0.85050000000000003</v>
      </c>
      <c r="J533" s="50">
        <v>1.3293999999999999</v>
      </c>
      <c r="K533" s="50">
        <v>0.58994616752766771</v>
      </c>
      <c r="L533" s="6">
        <v>477744</v>
      </c>
      <c r="M533" s="57">
        <v>4275</v>
      </c>
      <c r="N533" s="57">
        <v>29232</v>
      </c>
      <c r="O533" s="57">
        <v>78</v>
      </c>
      <c r="P533" s="57">
        <v>110221.3</v>
      </c>
      <c r="Q533" s="57">
        <v>4197</v>
      </c>
      <c r="R533" s="57">
        <v>6306388.7000000002</v>
      </c>
      <c r="S533" s="57">
        <v>1.0632999999999999</v>
      </c>
      <c r="T533" s="57"/>
      <c r="U533" s="57"/>
    </row>
    <row r="534" spans="1:21" ht="18" customHeight="1" x14ac:dyDescent="0.15">
      <c r="A534" s="5" t="s">
        <v>2004</v>
      </c>
      <c r="B534" s="6" t="s">
        <v>2049</v>
      </c>
      <c r="C534" s="6" t="s">
        <v>2011</v>
      </c>
      <c r="D534" s="8" t="s">
        <v>2046</v>
      </c>
      <c r="E534" s="8" t="s">
        <v>2049</v>
      </c>
      <c r="F534" s="43" t="s">
        <v>2050</v>
      </c>
      <c r="G534" s="43" t="s">
        <v>2009</v>
      </c>
      <c r="H534" s="50">
        <v>1.7737000000000001</v>
      </c>
      <c r="I534" s="50">
        <v>1.4077</v>
      </c>
      <c r="J534" s="50">
        <v>2.2347999999999999</v>
      </c>
      <c r="K534" s="50">
        <v>1.172481589023127E-6</v>
      </c>
      <c r="L534" s="6">
        <v>477744</v>
      </c>
      <c r="M534" s="57">
        <v>4275</v>
      </c>
      <c r="N534" s="57">
        <v>29232</v>
      </c>
      <c r="O534" s="57">
        <v>78</v>
      </c>
      <c r="P534" s="57">
        <v>110221.3</v>
      </c>
      <c r="Q534" s="57">
        <v>4197</v>
      </c>
      <c r="R534" s="57">
        <v>6306388.7000000002</v>
      </c>
      <c r="S534" s="57">
        <v>1.0632999999999999</v>
      </c>
      <c r="T534" s="57"/>
      <c r="U534" s="57"/>
    </row>
    <row r="535" spans="1:21" ht="18" customHeight="1" x14ac:dyDescent="0.15">
      <c r="A535" s="5" t="s">
        <v>2004</v>
      </c>
      <c r="B535" s="6" t="s">
        <v>2049</v>
      </c>
      <c r="C535" s="6" t="s">
        <v>2012</v>
      </c>
      <c r="D535" s="8" t="s">
        <v>2046</v>
      </c>
      <c r="E535" s="8" t="s">
        <v>2049</v>
      </c>
      <c r="F535" s="43" t="s">
        <v>2050</v>
      </c>
      <c r="G535" s="43" t="s">
        <v>2009</v>
      </c>
      <c r="H535" s="50">
        <v>1.6709000000000001</v>
      </c>
      <c r="I535" s="50">
        <v>1.3258000000000001</v>
      </c>
      <c r="J535" s="50">
        <v>2.1057999999999999</v>
      </c>
      <c r="K535" s="50">
        <v>1.363762575097606E-5</v>
      </c>
      <c r="L535" s="6">
        <v>477744</v>
      </c>
      <c r="M535" s="57">
        <v>4275</v>
      </c>
      <c r="N535" s="57">
        <v>29232</v>
      </c>
      <c r="O535" s="57">
        <v>78</v>
      </c>
      <c r="P535" s="57">
        <v>110221.3</v>
      </c>
      <c r="Q535" s="57">
        <v>4197</v>
      </c>
      <c r="R535" s="57">
        <v>6306388.7000000002</v>
      </c>
      <c r="S535" s="57">
        <v>1.0632999999999999</v>
      </c>
      <c r="T535" s="57"/>
      <c r="U535" s="57"/>
    </row>
    <row r="536" spans="1:21" ht="18" customHeight="1" x14ac:dyDescent="0.15">
      <c r="A536" s="5" t="s">
        <v>2004</v>
      </c>
      <c r="B536" s="6" t="s">
        <v>2049</v>
      </c>
      <c r="C536" s="6" t="s">
        <v>2013</v>
      </c>
      <c r="D536" s="8" t="s">
        <v>2046</v>
      </c>
      <c r="E536" s="8" t="s">
        <v>2049</v>
      </c>
      <c r="F536" s="43" t="s">
        <v>2050</v>
      </c>
      <c r="G536" s="43" t="s">
        <v>2009</v>
      </c>
      <c r="H536" s="50">
        <v>1.4813000000000001</v>
      </c>
      <c r="I536" s="50">
        <v>1.1747000000000001</v>
      </c>
      <c r="J536" s="50">
        <v>1.8678999999999999</v>
      </c>
      <c r="K536" s="50">
        <v>8.9868186499923004E-4</v>
      </c>
      <c r="L536" s="6">
        <v>477744</v>
      </c>
      <c r="M536" s="57">
        <v>4275</v>
      </c>
      <c r="N536" s="57">
        <v>29232</v>
      </c>
      <c r="O536" s="57">
        <v>78</v>
      </c>
      <c r="P536" s="57">
        <v>110221.3</v>
      </c>
      <c r="Q536" s="57">
        <v>4197</v>
      </c>
      <c r="R536" s="57">
        <v>6306388.7000000002</v>
      </c>
      <c r="S536" s="57">
        <v>1.0632999999999999</v>
      </c>
      <c r="T536" s="57"/>
      <c r="U536" s="57"/>
    </row>
    <row r="537" spans="1:21" ht="18" customHeight="1" x14ac:dyDescent="0.15">
      <c r="A537" s="5" t="s">
        <v>2014</v>
      </c>
      <c r="B537" s="6" t="s">
        <v>2049</v>
      </c>
      <c r="C537" s="6" t="s">
        <v>2015</v>
      </c>
      <c r="D537" s="8" t="s">
        <v>2046</v>
      </c>
      <c r="E537" s="8" t="s">
        <v>2049</v>
      </c>
      <c r="F537" s="43" t="s">
        <v>2050</v>
      </c>
      <c r="G537" s="43" t="s">
        <v>2009</v>
      </c>
      <c r="H537" s="50">
        <v>1.0632999999999999</v>
      </c>
      <c r="I537" s="50">
        <v>0.85050000000000003</v>
      </c>
      <c r="J537" s="50">
        <v>1.3293999999999999</v>
      </c>
      <c r="K537" s="50">
        <v>0.58994616752766771</v>
      </c>
      <c r="L537" s="6">
        <v>477744</v>
      </c>
      <c r="M537" s="57">
        <v>4275</v>
      </c>
      <c r="N537" s="57"/>
      <c r="O537" s="57"/>
      <c r="P537" s="57"/>
      <c r="Q537" s="57"/>
      <c r="R537" s="57"/>
      <c r="S537" s="57"/>
      <c r="T537" s="57"/>
      <c r="U537" s="57"/>
    </row>
    <row r="538" spans="1:21" ht="18" customHeight="1" x14ac:dyDescent="0.15">
      <c r="A538" s="5" t="s">
        <v>2014</v>
      </c>
      <c r="B538" s="6" t="s">
        <v>2049</v>
      </c>
      <c r="C538" s="6" t="s">
        <v>2016</v>
      </c>
      <c r="D538" s="8" t="s">
        <v>2046</v>
      </c>
      <c r="E538" s="8" t="s">
        <v>2049</v>
      </c>
      <c r="F538" s="43" t="s">
        <v>2050</v>
      </c>
      <c r="G538" s="43" t="s">
        <v>2009</v>
      </c>
      <c r="H538" s="50">
        <v>1.7737000000000001</v>
      </c>
      <c r="I538" s="50">
        <v>1.4077</v>
      </c>
      <c r="J538" s="50">
        <v>2.2347999999999999</v>
      </c>
      <c r="K538" s="50">
        <v>1.172481589023127E-6</v>
      </c>
      <c r="L538" s="6">
        <v>477744</v>
      </c>
      <c r="M538" s="57">
        <v>4275</v>
      </c>
      <c r="N538" s="57"/>
      <c r="O538" s="57"/>
      <c r="P538" s="57"/>
      <c r="Q538" s="57"/>
      <c r="R538" s="57"/>
      <c r="S538" s="57"/>
      <c r="T538" s="57"/>
      <c r="U538" s="57"/>
    </row>
    <row r="539" spans="1:21" ht="18" customHeight="1" x14ac:dyDescent="0.15">
      <c r="A539" s="5" t="s">
        <v>2014</v>
      </c>
      <c r="B539" s="6" t="s">
        <v>2049</v>
      </c>
      <c r="C539" s="6" t="s">
        <v>2017</v>
      </c>
      <c r="D539" s="8" t="s">
        <v>2046</v>
      </c>
      <c r="E539" s="8" t="s">
        <v>2049</v>
      </c>
      <c r="F539" s="43" t="s">
        <v>2050</v>
      </c>
      <c r="G539" s="43" t="s">
        <v>2009</v>
      </c>
      <c r="H539" s="50">
        <v>1.5641</v>
      </c>
      <c r="I539" s="50">
        <v>1.2412000000000001</v>
      </c>
      <c r="J539" s="50">
        <v>1.9710000000000001</v>
      </c>
      <c r="K539" s="50">
        <v>1.4950887249700999E-4</v>
      </c>
      <c r="L539" s="6">
        <v>477744</v>
      </c>
      <c r="M539" s="57">
        <v>4275</v>
      </c>
      <c r="N539" s="57"/>
      <c r="O539" s="57"/>
      <c r="P539" s="57"/>
      <c r="Q539" s="57"/>
      <c r="R539" s="57"/>
      <c r="S539" s="57"/>
      <c r="T539" s="57"/>
      <c r="U539" s="57"/>
    </row>
    <row r="540" spans="1:21" ht="18" customHeight="1" x14ac:dyDescent="0.15">
      <c r="A540" s="5" t="s">
        <v>2014</v>
      </c>
      <c r="B540" s="6" t="s">
        <v>2049</v>
      </c>
      <c r="C540" s="6" t="s">
        <v>2018</v>
      </c>
      <c r="D540" s="8" t="s">
        <v>2046</v>
      </c>
      <c r="E540" s="8" t="s">
        <v>2049</v>
      </c>
      <c r="F540" s="43" t="s">
        <v>2050</v>
      </c>
      <c r="G540" s="43" t="s">
        <v>2009</v>
      </c>
      <c r="H540" s="50">
        <v>1.1588000000000001</v>
      </c>
      <c r="I540" s="50">
        <v>0.6421</v>
      </c>
      <c r="J540" s="50">
        <v>2.0912000000000002</v>
      </c>
      <c r="K540" s="50">
        <v>0.62463566431526951</v>
      </c>
      <c r="L540" s="6">
        <v>477744</v>
      </c>
      <c r="M540" s="57">
        <v>4275</v>
      </c>
      <c r="N540" s="57"/>
      <c r="O540" s="57"/>
      <c r="P540" s="57"/>
      <c r="Q540" s="57"/>
      <c r="R540" s="57"/>
      <c r="S540" s="57"/>
      <c r="T540" s="57"/>
      <c r="U540" s="57"/>
    </row>
    <row r="541" spans="1:21" ht="18" customHeight="1" x14ac:dyDescent="0.15">
      <c r="A541" s="5" t="s">
        <v>2014</v>
      </c>
      <c r="B541" s="6" t="s">
        <v>2049</v>
      </c>
      <c r="C541" s="6" t="s">
        <v>2019</v>
      </c>
      <c r="D541" s="8" t="s">
        <v>2046</v>
      </c>
      <c r="E541" s="8" t="s">
        <v>2049</v>
      </c>
      <c r="F541" s="43" t="s">
        <v>2050</v>
      </c>
      <c r="G541" s="43" t="s">
        <v>1816</v>
      </c>
      <c r="H541" s="50">
        <v>1.0739000000000001</v>
      </c>
      <c r="I541" s="50">
        <v>0.74099999999999999</v>
      </c>
      <c r="J541" s="50">
        <v>1.5563</v>
      </c>
      <c r="K541" s="50">
        <v>0.70639204323546489</v>
      </c>
      <c r="L541" s="6">
        <v>463302</v>
      </c>
      <c r="M541" s="57">
        <v>1306</v>
      </c>
      <c r="N541" s="57"/>
      <c r="O541" s="57"/>
      <c r="P541" s="57"/>
      <c r="Q541" s="57"/>
      <c r="R541" s="57"/>
      <c r="S541" s="57"/>
      <c r="T541" s="57"/>
      <c r="U541" s="57"/>
    </row>
    <row r="542" spans="1:21" ht="18" customHeight="1" x14ac:dyDescent="0.15">
      <c r="A542" s="5" t="s">
        <v>2014</v>
      </c>
      <c r="B542" s="6" t="s">
        <v>2049</v>
      </c>
      <c r="C542" s="6" t="s">
        <v>2020</v>
      </c>
      <c r="D542" s="8" t="s">
        <v>2046</v>
      </c>
      <c r="E542" s="8" t="s">
        <v>2049</v>
      </c>
      <c r="F542" s="43" t="s">
        <v>2050</v>
      </c>
      <c r="G542" s="43" t="s">
        <v>2009</v>
      </c>
      <c r="H542" s="50">
        <v>1.7142999999999999</v>
      </c>
      <c r="I542" s="50">
        <v>1.3568</v>
      </c>
      <c r="J542" s="50">
        <v>2.1659999999999999</v>
      </c>
      <c r="K542" s="50">
        <v>6.2648174718434789E-6</v>
      </c>
      <c r="L542" s="6">
        <v>463304</v>
      </c>
      <c r="M542" s="57">
        <v>4265</v>
      </c>
      <c r="N542" s="57"/>
      <c r="O542" s="57"/>
      <c r="P542" s="57"/>
      <c r="Q542" s="57"/>
      <c r="R542" s="57"/>
      <c r="S542" s="57"/>
      <c r="T542" s="57"/>
      <c r="U542" s="57"/>
    </row>
    <row r="543" spans="1:21" ht="18" customHeight="1" x14ac:dyDescent="0.15">
      <c r="A543" s="5" t="s">
        <v>2021</v>
      </c>
      <c r="B543" s="6" t="s">
        <v>2049</v>
      </c>
      <c r="C543" s="6" t="s">
        <v>2022</v>
      </c>
      <c r="D543" s="8" t="s">
        <v>2046</v>
      </c>
      <c r="E543" s="8" t="s">
        <v>2049</v>
      </c>
      <c r="F543" s="43" t="s">
        <v>2050</v>
      </c>
      <c r="G543" s="43" t="s">
        <v>2009</v>
      </c>
      <c r="H543" s="50">
        <v>1.9175</v>
      </c>
      <c r="I543" s="50">
        <v>0.23930000000000001</v>
      </c>
      <c r="J543" s="50">
        <v>15.3675</v>
      </c>
      <c r="K543" s="50">
        <v>0.53982292652928521</v>
      </c>
      <c r="L543" s="6">
        <v>4757</v>
      </c>
      <c r="M543" s="57">
        <v>53</v>
      </c>
      <c r="N543" s="57"/>
      <c r="O543" s="57"/>
      <c r="P543" s="57"/>
      <c r="Q543" s="57"/>
      <c r="R543" s="57"/>
      <c r="S543" s="57"/>
      <c r="T543" s="57" t="s">
        <v>2023</v>
      </c>
      <c r="U543" s="57" t="s">
        <v>2024</v>
      </c>
    </row>
    <row r="544" spans="1:21" ht="18" customHeight="1" x14ac:dyDescent="0.15">
      <c r="A544" s="5" t="s">
        <v>2021</v>
      </c>
      <c r="B544" s="6" t="s">
        <v>2049</v>
      </c>
      <c r="C544" s="6" t="s">
        <v>2022</v>
      </c>
      <c r="D544" s="8" t="s">
        <v>2046</v>
      </c>
      <c r="E544" s="8" t="s">
        <v>2049</v>
      </c>
      <c r="F544" s="43" t="s">
        <v>2050</v>
      </c>
      <c r="G544" s="43" t="s">
        <v>2009</v>
      </c>
      <c r="H544" s="50">
        <v>2.0085999999999999</v>
      </c>
      <c r="I544" s="50">
        <v>1.4109</v>
      </c>
      <c r="J544" s="50">
        <v>2.8595000000000002</v>
      </c>
      <c r="K544" s="50">
        <v>1.0871128811144E-4</v>
      </c>
      <c r="L544" s="6">
        <v>316388</v>
      </c>
      <c r="M544" s="57">
        <v>1812</v>
      </c>
      <c r="N544" s="57"/>
      <c r="O544" s="57"/>
      <c r="P544" s="57"/>
      <c r="Q544" s="57"/>
      <c r="R544" s="57"/>
      <c r="S544" s="57"/>
      <c r="T544" s="57" t="s">
        <v>2023</v>
      </c>
      <c r="U544" s="57" t="s">
        <v>2025</v>
      </c>
    </row>
    <row r="545" spans="1:21" ht="18" customHeight="1" x14ac:dyDescent="0.15">
      <c r="A545" s="5" t="s">
        <v>2021</v>
      </c>
      <c r="B545" s="6" t="s">
        <v>2049</v>
      </c>
      <c r="C545" s="6" t="s">
        <v>2022</v>
      </c>
      <c r="D545" s="8" t="s">
        <v>2046</v>
      </c>
      <c r="E545" s="8" t="s">
        <v>2049</v>
      </c>
      <c r="F545" s="43" t="s">
        <v>2050</v>
      </c>
      <c r="G545" s="43" t="s">
        <v>2009</v>
      </c>
      <c r="H545" s="50">
        <v>1.448</v>
      </c>
      <c r="I545" s="50">
        <v>1.0637000000000001</v>
      </c>
      <c r="J545" s="50">
        <v>1.9712000000000001</v>
      </c>
      <c r="K545" s="50">
        <v>1.8667380916302521E-2</v>
      </c>
      <c r="L545" s="6">
        <v>156599</v>
      </c>
      <c r="M545" s="57">
        <v>2410</v>
      </c>
      <c r="N545" s="57"/>
      <c r="O545" s="57"/>
      <c r="P545" s="57"/>
      <c r="Q545" s="57"/>
      <c r="R545" s="57"/>
      <c r="S545" s="57"/>
      <c r="T545" s="57" t="s">
        <v>2023</v>
      </c>
      <c r="U545" s="57" t="s">
        <v>2026</v>
      </c>
    </row>
    <row r="546" spans="1:21" ht="18" customHeight="1" x14ac:dyDescent="0.15">
      <c r="A546" s="5" t="s">
        <v>2021</v>
      </c>
      <c r="B546" s="6" t="s">
        <v>2049</v>
      </c>
      <c r="C546" s="6" t="s">
        <v>2022</v>
      </c>
      <c r="D546" s="8" t="s">
        <v>2046</v>
      </c>
      <c r="E546" s="8" t="s">
        <v>2049</v>
      </c>
      <c r="F546" s="43" t="s">
        <v>2050</v>
      </c>
      <c r="G546" s="43" t="s">
        <v>2009</v>
      </c>
      <c r="H546" s="50">
        <v>1.8964000000000001</v>
      </c>
      <c r="I546" s="50">
        <v>0.24529999999999999</v>
      </c>
      <c r="J546" s="50">
        <v>14.6593</v>
      </c>
      <c r="K546" s="50">
        <v>0.53966773285666858</v>
      </c>
      <c r="L546" s="6">
        <v>3448</v>
      </c>
      <c r="M546" s="57">
        <v>44</v>
      </c>
      <c r="N546" s="57"/>
      <c r="O546" s="57"/>
      <c r="P546" s="57"/>
      <c r="Q546" s="57"/>
      <c r="R546" s="57"/>
      <c r="S546" s="57"/>
      <c r="T546" s="57" t="s">
        <v>2027</v>
      </c>
      <c r="U546" s="57" t="s">
        <v>2024</v>
      </c>
    </row>
    <row r="547" spans="1:21" ht="18" customHeight="1" x14ac:dyDescent="0.15">
      <c r="A547" s="5" t="s">
        <v>2021</v>
      </c>
      <c r="B547" s="6" t="s">
        <v>2049</v>
      </c>
      <c r="C547" s="6" t="s">
        <v>2022</v>
      </c>
      <c r="D547" s="8" t="s">
        <v>2046</v>
      </c>
      <c r="E547" s="8" t="s">
        <v>2049</v>
      </c>
      <c r="F547" s="43" t="s">
        <v>2050</v>
      </c>
      <c r="G547" s="43" t="s">
        <v>2009</v>
      </c>
      <c r="H547" s="50">
        <v>1.7174</v>
      </c>
      <c r="I547" s="50">
        <v>1.3025</v>
      </c>
      <c r="J547" s="50">
        <v>2.2643</v>
      </c>
      <c r="K547" s="50">
        <v>1.2640749142781E-4</v>
      </c>
      <c r="L547" s="6">
        <v>421494</v>
      </c>
      <c r="M547" s="57">
        <v>3289</v>
      </c>
      <c r="N547" s="57"/>
      <c r="O547" s="57"/>
      <c r="P547" s="57"/>
      <c r="Q547" s="57"/>
      <c r="R547" s="57"/>
      <c r="S547" s="57"/>
      <c r="T547" s="57" t="s">
        <v>2027</v>
      </c>
      <c r="U547" s="57" t="s">
        <v>2025</v>
      </c>
    </row>
    <row r="548" spans="1:21" ht="18" customHeight="1" x14ac:dyDescent="0.15">
      <c r="A548" s="5" t="s">
        <v>2021</v>
      </c>
      <c r="B548" s="6" t="s">
        <v>2049</v>
      </c>
      <c r="C548" s="6" t="s">
        <v>2022</v>
      </c>
      <c r="D548" s="8" t="s">
        <v>2046</v>
      </c>
      <c r="E548" s="8" t="s">
        <v>2049</v>
      </c>
      <c r="F548" s="43" t="s">
        <v>2050</v>
      </c>
      <c r="G548" s="43" t="s">
        <v>2009</v>
      </c>
      <c r="H548" s="50">
        <v>1.5503</v>
      </c>
      <c r="I548" s="50">
        <v>1.0066999999999999</v>
      </c>
      <c r="J548" s="50">
        <v>2.3874</v>
      </c>
      <c r="K548" s="50">
        <v>4.6570865691943762E-2</v>
      </c>
      <c r="L548" s="6">
        <v>52802</v>
      </c>
      <c r="M548" s="57">
        <v>942</v>
      </c>
      <c r="N548" s="57"/>
      <c r="O548" s="57"/>
      <c r="P548" s="57"/>
      <c r="Q548" s="57"/>
      <c r="R548" s="57"/>
      <c r="S548" s="57"/>
      <c r="T548" s="57" t="s">
        <v>2027</v>
      </c>
      <c r="U548" s="57" t="s">
        <v>2026</v>
      </c>
    </row>
    <row r="549" spans="1:21" ht="18" customHeight="1" x14ac:dyDescent="0.15">
      <c r="A549" s="5" t="s">
        <v>2021</v>
      </c>
      <c r="B549" s="6" t="s">
        <v>2049</v>
      </c>
      <c r="C549" s="6" t="s">
        <v>2022</v>
      </c>
      <c r="D549" s="8" t="s">
        <v>2046</v>
      </c>
      <c r="E549" s="8" t="s">
        <v>2049</v>
      </c>
      <c r="F549" s="43" t="s">
        <v>2050</v>
      </c>
      <c r="G549" s="43" t="s">
        <v>2009</v>
      </c>
      <c r="H549" s="50">
        <v>1.5145999999999999</v>
      </c>
      <c r="I549" s="50">
        <v>1.1718999999999999</v>
      </c>
      <c r="J549" s="50">
        <v>1.9575</v>
      </c>
      <c r="K549" s="50">
        <v>1.51362916238209E-3</v>
      </c>
      <c r="L549" s="6">
        <v>311458</v>
      </c>
      <c r="M549" s="57">
        <v>3194</v>
      </c>
      <c r="N549" s="57"/>
      <c r="O549" s="57"/>
      <c r="P549" s="57"/>
      <c r="Q549" s="57"/>
      <c r="R549" s="57"/>
      <c r="S549" s="57"/>
      <c r="T549" s="57" t="s">
        <v>2028</v>
      </c>
      <c r="U549" s="57" t="s">
        <v>2029</v>
      </c>
    </row>
    <row r="550" spans="1:21" ht="18" customHeight="1" x14ac:dyDescent="0.15">
      <c r="A550" s="63" t="s">
        <v>2021</v>
      </c>
      <c r="B550" s="69" t="s">
        <v>2049</v>
      </c>
      <c r="C550" s="64" t="s">
        <v>2022</v>
      </c>
      <c r="D550" s="65" t="s">
        <v>2046</v>
      </c>
      <c r="E550" s="65" t="s">
        <v>2049</v>
      </c>
      <c r="F550" s="66" t="s">
        <v>2050</v>
      </c>
      <c r="G550" s="66" t="s">
        <v>2009</v>
      </c>
      <c r="H550" s="68">
        <v>2.6934</v>
      </c>
      <c r="I550" s="68">
        <v>1.5854999999999999</v>
      </c>
      <c r="J550" s="68">
        <v>4.5755999999999997</v>
      </c>
      <c r="K550" s="68">
        <v>2.4780404062220001E-4</v>
      </c>
      <c r="L550" s="64">
        <v>166286</v>
      </c>
      <c r="M550" s="70">
        <v>1081</v>
      </c>
      <c r="N550" s="70"/>
      <c r="O550" s="70"/>
      <c r="P550" s="70"/>
      <c r="Q550" s="70"/>
      <c r="R550" s="70"/>
      <c r="S550" s="70"/>
      <c r="T550" s="70" t="s">
        <v>2028</v>
      </c>
      <c r="U550" s="70" t="s">
        <v>2030</v>
      </c>
    </row>
    <row r="551" spans="1:21" ht="18" customHeight="1" x14ac:dyDescent="0.15"/>
    <row r="552" spans="1:21" ht="58.5" customHeight="1" x14ac:dyDescent="0.15">
      <c r="A552" s="75" t="s">
        <v>2051</v>
      </c>
      <c r="B552" s="74"/>
      <c r="C552" s="74"/>
      <c r="D552" s="74"/>
      <c r="E552" s="74"/>
      <c r="F552" s="74"/>
      <c r="G552" s="74"/>
      <c r="H552" s="78"/>
      <c r="I552" s="78"/>
    </row>
  </sheetData>
  <mergeCells count="2">
    <mergeCell ref="A1:P1"/>
    <mergeCell ref="A552:I552"/>
  </mergeCells>
  <phoneticPr fontId="5"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P552"/>
  <sheetViews>
    <sheetView topLeftCell="A67" workbookViewId="0">
      <selection activeCell="C87" sqref="C87"/>
    </sheetView>
  </sheetViews>
  <sheetFormatPr defaultRowHeight="13.5" x14ac:dyDescent="0.15"/>
  <cols>
    <col min="1" max="1" width="15" customWidth="1"/>
    <col min="2" max="2" width="12.625" customWidth="1"/>
    <col min="3" max="3" width="9.875" customWidth="1"/>
    <col min="4" max="4" width="12" customWidth="1"/>
    <col min="5" max="5" width="13.5" customWidth="1"/>
    <col min="6" max="6" width="22.25" customWidth="1"/>
    <col min="7" max="7" width="25" customWidth="1"/>
    <col min="8" max="8" width="9" style="61" customWidth="1"/>
    <col min="9" max="9" width="11.125" style="61" customWidth="1"/>
    <col min="10" max="10" width="14.75" style="61" customWidth="1"/>
    <col min="11" max="11" width="10.5" style="61" customWidth="1"/>
    <col min="12" max="12" width="11" style="59" customWidth="1"/>
    <col min="13" max="13" width="9.125" style="61" customWidth="1"/>
    <col min="14" max="14" width="8.5" style="61" customWidth="1"/>
    <col min="15" max="15" width="11" style="61" customWidth="1"/>
    <col min="16" max="16" width="11.125" style="61" customWidth="1"/>
    <col min="17" max="17" width="9" customWidth="1"/>
  </cols>
  <sheetData>
    <row r="1" spans="1:16" ht="18" customHeight="1" x14ac:dyDescent="0.15">
      <c r="A1" s="76" t="s">
        <v>2052</v>
      </c>
      <c r="B1" s="74"/>
      <c r="C1" s="74"/>
      <c r="D1" s="74"/>
      <c r="E1" s="74"/>
      <c r="F1" s="74"/>
      <c r="G1" s="74"/>
      <c r="H1" s="81"/>
      <c r="I1" s="81"/>
      <c r="J1" s="81"/>
      <c r="K1" s="81"/>
      <c r="L1" s="78"/>
      <c r="M1" s="81"/>
      <c r="N1" s="81"/>
      <c r="O1" s="81"/>
      <c r="P1" s="81"/>
    </row>
    <row r="2" spans="1:16" ht="18" customHeight="1" x14ac:dyDescent="0.15"/>
    <row r="3" spans="1:16" ht="18" customHeight="1" x14ac:dyDescent="0.15">
      <c r="A3" s="22" t="s">
        <v>1984</v>
      </c>
      <c r="B3" s="20" t="s">
        <v>2053</v>
      </c>
      <c r="C3" s="20" t="s">
        <v>2054</v>
      </c>
      <c r="D3" s="20" t="s">
        <v>1985</v>
      </c>
      <c r="E3" s="20" t="s">
        <v>1983</v>
      </c>
      <c r="F3" s="20" t="s">
        <v>1987</v>
      </c>
      <c r="G3" s="20" t="s">
        <v>2055</v>
      </c>
      <c r="H3" s="62" t="s">
        <v>1004</v>
      </c>
      <c r="I3" s="62" t="s">
        <v>1995</v>
      </c>
      <c r="J3" s="62" t="s">
        <v>2056</v>
      </c>
      <c r="K3" s="62" t="s">
        <v>1994</v>
      </c>
      <c r="L3" s="60" t="s">
        <v>1989</v>
      </c>
      <c r="M3" s="62" t="s">
        <v>1990</v>
      </c>
      <c r="N3" s="62" t="s">
        <v>1991</v>
      </c>
      <c r="O3" s="62" t="s">
        <v>2057</v>
      </c>
      <c r="P3" s="62" t="s">
        <v>2058</v>
      </c>
    </row>
    <row r="4" spans="1:16" ht="18" customHeight="1" x14ac:dyDescent="0.15">
      <c r="A4" s="5" t="s">
        <v>2059</v>
      </c>
      <c r="B4" s="6" t="s">
        <v>2060</v>
      </c>
      <c r="C4" s="6" t="s">
        <v>2061</v>
      </c>
      <c r="D4" s="8" t="s">
        <v>2005</v>
      </c>
      <c r="E4" s="8" t="s">
        <v>2062</v>
      </c>
      <c r="F4" s="43" t="s">
        <v>2063</v>
      </c>
      <c r="G4" s="43" t="s">
        <v>2064</v>
      </c>
      <c r="H4" s="57">
        <v>4348</v>
      </c>
      <c r="I4" s="57">
        <v>1127</v>
      </c>
      <c r="J4" s="57">
        <v>40</v>
      </c>
      <c r="K4" s="57">
        <v>206</v>
      </c>
      <c r="L4" s="50">
        <v>0.56173922096296802</v>
      </c>
      <c r="M4" s="57">
        <v>0.33612267239841209</v>
      </c>
      <c r="N4" s="57">
        <v>0.93879698776776976</v>
      </c>
      <c r="O4" s="57">
        <v>2.7733614785836431E-2</v>
      </c>
      <c r="P4" s="57" t="s">
        <v>1816</v>
      </c>
    </row>
    <row r="5" spans="1:16" ht="18" customHeight="1" x14ac:dyDescent="0.15">
      <c r="A5" s="5" t="s">
        <v>2059</v>
      </c>
      <c r="B5" s="6" t="s">
        <v>2060</v>
      </c>
      <c r="C5" s="6" t="s">
        <v>2061</v>
      </c>
      <c r="D5" s="8" t="s">
        <v>2005</v>
      </c>
      <c r="E5" s="8" t="s">
        <v>2065</v>
      </c>
      <c r="F5" s="43" t="s">
        <v>2066</v>
      </c>
      <c r="G5" s="43" t="s">
        <v>2064</v>
      </c>
      <c r="H5" s="57">
        <v>4348</v>
      </c>
      <c r="I5" s="57">
        <v>943</v>
      </c>
      <c r="J5" s="57">
        <v>57</v>
      </c>
      <c r="K5" s="57">
        <v>206</v>
      </c>
      <c r="L5" s="50">
        <v>1.3599206856859269</v>
      </c>
      <c r="M5" s="57">
        <v>0.87104567347967399</v>
      </c>
      <c r="N5" s="57">
        <v>2.123177150939187</v>
      </c>
      <c r="O5" s="57">
        <v>0.1761908747062417</v>
      </c>
      <c r="P5" s="57" t="s">
        <v>1816</v>
      </c>
    </row>
    <row r="6" spans="1:16" ht="18" customHeight="1" x14ac:dyDescent="0.15">
      <c r="A6" s="5" t="s">
        <v>2059</v>
      </c>
      <c r="B6" s="6" t="s">
        <v>2060</v>
      </c>
      <c r="C6" s="6" t="s">
        <v>2067</v>
      </c>
      <c r="D6" s="8" t="s">
        <v>2005</v>
      </c>
      <c r="E6" s="8" t="s">
        <v>2062</v>
      </c>
      <c r="F6" s="43" t="s">
        <v>2063</v>
      </c>
      <c r="G6" s="43" t="s">
        <v>2068</v>
      </c>
      <c r="H6" s="57">
        <v>4348</v>
      </c>
      <c r="I6" s="57">
        <v>1127</v>
      </c>
      <c r="J6" s="57">
        <v>40</v>
      </c>
      <c r="K6" s="57">
        <v>206</v>
      </c>
      <c r="L6" s="50">
        <v>0.55109653516825796</v>
      </c>
      <c r="M6" s="57">
        <v>0.329389670028432</v>
      </c>
      <c r="N6" s="57">
        <v>0.92203070924550778</v>
      </c>
      <c r="O6" s="57">
        <v>2.3259601403352041E-2</v>
      </c>
      <c r="P6" s="57" t="s">
        <v>1816</v>
      </c>
    </row>
    <row r="7" spans="1:16" ht="18" customHeight="1" x14ac:dyDescent="0.15">
      <c r="A7" s="5" t="s">
        <v>2059</v>
      </c>
      <c r="B7" s="6" t="s">
        <v>2060</v>
      </c>
      <c r="C7" s="6" t="s">
        <v>2067</v>
      </c>
      <c r="D7" s="8" t="s">
        <v>2005</v>
      </c>
      <c r="E7" s="8" t="s">
        <v>2065</v>
      </c>
      <c r="F7" s="43" t="s">
        <v>2066</v>
      </c>
      <c r="G7" s="43" t="s">
        <v>2068</v>
      </c>
      <c r="H7" s="57">
        <v>4348</v>
      </c>
      <c r="I7" s="57">
        <v>943</v>
      </c>
      <c r="J7" s="57">
        <v>57</v>
      </c>
      <c r="K7" s="57">
        <v>206</v>
      </c>
      <c r="L7" s="50">
        <v>1.2936024212245061</v>
      </c>
      <c r="M7" s="57">
        <v>0.83029776149770018</v>
      </c>
      <c r="N7" s="57">
        <v>2.0154302489981339</v>
      </c>
      <c r="O7" s="57">
        <v>0.25514560528271879</v>
      </c>
      <c r="P7" s="57" t="s">
        <v>1816</v>
      </c>
    </row>
    <row r="8" spans="1:16" ht="18" customHeight="1" x14ac:dyDescent="0.15">
      <c r="A8" s="5" t="s">
        <v>2069</v>
      </c>
      <c r="B8" s="6" t="s">
        <v>2060</v>
      </c>
      <c r="C8" s="6" t="s">
        <v>2061</v>
      </c>
      <c r="D8" s="8" t="s">
        <v>2005</v>
      </c>
      <c r="E8" s="8" t="s">
        <v>2070</v>
      </c>
      <c r="F8" s="43" t="s">
        <v>2071</v>
      </c>
      <c r="G8" s="43" t="s">
        <v>2064</v>
      </c>
      <c r="H8" s="57">
        <v>3215</v>
      </c>
      <c r="I8" s="57">
        <v>334</v>
      </c>
      <c r="J8" s="57">
        <v>16</v>
      </c>
      <c r="K8" s="57">
        <v>166</v>
      </c>
      <c r="L8" s="50">
        <v>0.89465664038301229</v>
      </c>
      <c r="M8" s="57">
        <v>0.44878472608384501</v>
      </c>
      <c r="N8" s="57">
        <v>1.783506562636181</v>
      </c>
      <c r="O8" s="57">
        <v>0.75181483174484021</v>
      </c>
      <c r="P8" s="57" t="s">
        <v>1816</v>
      </c>
    </row>
    <row r="9" spans="1:16" ht="18" customHeight="1" x14ac:dyDescent="0.15">
      <c r="A9" s="5" t="s">
        <v>2069</v>
      </c>
      <c r="B9" s="6" t="s">
        <v>2060</v>
      </c>
      <c r="C9" s="6" t="s">
        <v>2061</v>
      </c>
      <c r="D9" s="8" t="s">
        <v>2005</v>
      </c>
      <c r="E9" s="8" t="s">
        <v>2072</v>
      </c>
      <c r="F9" s="43" t="s">
        <v>2073</v>
      </c>
      <c r="G9" s="43" t="s">
        <v>2064</v>
      </c>
      <c r="H9" s="57">
        <v>3215</v>
      </c>
      <c r="I9" s="57">
        <v>259</v>
      </c>
      <c r="J9" s="57">
        <v>14</v>
      </c>
      <c r="K9" s="57">
        <v>166</v>
      </c>
      <c r="L9" s="50">
        <v>1.3366817191865059</v>
      </c>
      <c r="M9" s="57">
        <v>0.66422694710010133</v>
      </c>
      <c r="N9" s="57">
        <v>2.6899210069809589</v>
      </c>
      <c r="O9" s="57">
        <v>0.41603415081461681</v>
      </c>
      <c r="P9" s="57" t="s">
        <v>1816</v>
      </c>
    </row>
    <row r="10" spans="1:16" ht="18" customHeight="1" x14ac:dyDescent="0.15">
      <c r="A10" s="5" t="s">
        <v>2069</v>
      </c>
      <c r="B10" s="6" t="s">
        <v>2060</v>
      </c>
      <c r="C10" s="6" t="s">
        <v>2061</v>
      </c>
      <c r="D10" s="8" t="s">
        <v>2005</v>
      </c>
      <c r="E10" s="8" t="s">
        <v>2074</v>
      </c>
      <c r="F10" s="43" t="s">
        <v>2075</v>
      </c>
      <c r="G10" s="43" t="s">
        <v>2064</v>
      </c>
      <c r="H10" s="57">
        <v>3215</v>
      </c>
      <c r="I10" s="57">
        <v>344</v>
      </c>
      <c r="J10" s="57">
        <v>27</v>
      </c>
      <c r="K10" s="57">
        <v>166</v>
      </c>
      <c r="L10" s="50">
        <v>1.7196434752779559</v>
      </c>
      <c r="M10" s="57">
        <v>0.95187719008245397</v>
      </c>
      <c r="N10" s="57">
        <v>3.106675643535366</v>
      </c>
      <c r="O10" s="57">
        <v>7.2405875338212883E-2</v>
      </c>
      <c r="P10" s="57" t="s">
        <v>1816</v>
      </c>
    </row>
    <row r="11" spans="1:16" ht="18" customHeight="1" x14ac:dyDescent="0.15">
      <c r="A11" s="5" t="s">
        <v>2069</v>
      </c>
      <c r="B11" s="6" t="s">
        <v>2060</v>
      </c>
      <c r="C11" s="6" t="s">
        <v>2067</v>
      </c>
      <c r="D11" s="8" t="s">
        <v>2005</v>
      </c>
      <c r="E11" s="8" t="s">
        <v>2070</v>
      </c>
      <c r="F11" s="43" t="s">
        <v>2071</v>
      </c>
      <c r="G11" s="43" t="s">
        <v>2068</v>
      </c>
      <c r="H11" s="57">
        <v>3215</v>
      </c>
      <c r="I11" s="57">
        <v>334</v>
      </c>
      <c r="J11" s="57">
        <v>16</v>
      </c>
      <c r="K11" s="57">
        <v>166</v>
      </c>
      <c r="L11" s="50">
        <v>0.86758595195435795</v>
      </c>
      <c r="M11" s="57">
        <v>0.44032347439537112</v>
      </c>
      <c r="N11" s="57">
        <v>1.7094373291410929</v>
      </c>
      <c r="O11" s="57">
        <v>0.68144285884507005</v>
      </c>
      <c r="P11" s="57" t="s">
        <v>1816</v>
      </c>
    </row>
    <row r="12" spans="1:16" ht="18" customHeight="1" x14ac:dyDescent="0.15">
      <c r="A12" s="5" t="s">
        <v>2069</v>
      </c>
      <c r="B12" s="6" t="s">
        <v>2060</v>
      </c>
      <c r="C12" s="6" t="s">
        <v>2067</v>
      </c>
      <c r="D12" s="8" t="s">
        <v>2005</v>
      </c>
      <c r="E12" s="8" t="s">
        <v>2072</v>
      </c>
      <c r="F12" s="43" t="s">
        <v>2073</v>
      </c>
      <c r="G12" s="43" t="s">
        <v>2068</v>
      </c>
      <c r="H12" s="57">
        <v>3215</v>
      </c>
      <c r="I12" s="57">
        <v>259</v>
      </c>
      <c r="J12" s="57">
        <v>14</v>
      </c>
      <c r="K12" s="57">
        <v>166</v>
      </c>
      <c r="L12" s="50">
        <v>1.2991101558651781</v>
      </c>
      <c r="M12" s="57">
        <v>0.64781813363704077</v>
      </c>
      <c r="N12" s="57">
        <v>2.605186717446264</v>
      </c>
      <c r="O12" s="57">
        <v>0.46106204866150541</v>
      </c>
      <c r="P12" s="57" t="s">
        <v>1816</v>
      </c>
    </row>
    <row r="13" spans="1:16" ht="18" customHeight="1" x14ac:dyDescent="0.15">
      <c r="A13" s="5" t="s">
        <v>2069</v>
      </c>
      <c r="B13" s="6" t="s">
        <v>2060</v>
      </c>
      <c r="C13" s="6" t="s">
        <v>2067</v>
      </c>
      <c r="D13" s="8" t="s">
        <v>2005</v>
      </c>
      <c r="E13" s="8" t="s">
        <v>2074</v>
      </c>
      <c r="F13" s="43" t="s">
        <v>2075</v>
      </c>
      <c r="G13" s="43" t="s">
        <v>2068</v>
      </c>
      <c r="H13" s="57">
        <v>3215</v>
      </c>
      <c r="I13" s="57">
        <v>344</v>
      </c>
      <c r="J13" s="57">
        <v>27</v>
      </c>
      <c r="K13" s="57">
        <v>166</v>
      </c>
      <c r="L13" s="50">
        <v>1.574579374784681</v>
      </c>
      <c r="M13" s="57">
        <v>0.86816408068580486</v>
      </c>
      <c r="N13" s="57">
        <v>2.8557968046072562</v>
      </c>
      <c r="O13" s="57">
        <v>0.13502426365364251</v>
      </c>
      <c r="P13" s="57" t="s">
        <v>1816</v>
      </c>
    </row>
    <row r="14" spans="1:16" ht="18" customHeight="1" x14ac:dyDescent="0.15">
      <c r="A14" s="5" t="s">
        <v>2059</v>
      </c>
      <c r="B14" s="6" t="s">
        <v>2076</v>
      </c>
      <c r="C14" s="6" t="s">
        <v>2061</v>
      </c>
      <c r="D14" s="8" t="s">
        <v>2005</v>
      </c>
      <c r="E14" s="8" t="s">
        <v>2062</v>
      </c>
      <c r="F14" s="43" t="s">
        <v>2063</v>
      </c>
      <c r="G14" s="43" t="s">
        <v>2064</v>
      </c>
      <c r="H14" s="57">
        <v>5223</v>
      </c>
      <c r="I14" s="57">
        <v>1331</v>
      </c>
      <c r="J14" s="57">
        <v>59</v>
      </c>
      <c r="K14" s="57">
        <v>238</v>
      </c>
      <c r="L14" s="50">
        <v>1.1907857499643251</v>
      </c>
      <c r="M14" s="57">
        <v>0.76824545214377515</v>
      </c>
      <c r="N14" s="57">
        <v>1.84572612615054</v>
      </c>
      <c r="O14" s="57">
        <v>0.43485395647110409</v>
      </c>
      <c r="P14" s="57" t="s">
        <v>1816</v>
      </c>
    </row>
    <row r="15" spans="1:16" ht="18" customHeight="1" x14ac:dyDescent="0.15">
      <c r="A15" s="5" t="s">
        <v>2059</v>
      </c>
      <c r="B15" s="6" t="s">
        <v>2076</v>
      </c>
      <c r="C15" s="6" t="s">
        <v>2061</v>
      </c>
      <c r="D15" s="8" t="s">
        <v>2005</v>
      </c>
      <c r="E15" s="8" t="s">
        <v>2065</v>
      </c>
      <c r="F15" s="43" t="s">
        <v>2066</v>
      </c>
      <c r="G15" s="43" t="s">
        <v>2064</v>
      </c>
      <c r="H15" s="57">
        <v>5223</v>
      </c>
      <c r="I15" s="57">
        <v>1172</v>
      </c>
      <c r="J15" s="57">
        <v>58</v>
      </c>
      <c r="K15" s="57">
        <v>238</v>
      </c>
      <c r="L15" s="50">
        <v>1.3887699034719381</v>
      </c>
      <c r="M15" s="57">
        <v>0.90836480334500402</v>
      </c>
      <c r="N15" s="57">
        <v>2.123245900421495</v>
      </c>
      <c r="O15" s="57">
        <v>0.1294501570234754</v>
      </c>
      <c r="P15" s="57" t="s">
        <v>1816</v>
      </c>
    </row>
    <row r="16" spans="1:16" ht="18" customHeight="1" x14ac:dyDescent="0.15">
      <c r="A16" s="5" t="s">
        <v>2059</v>
      </c>
      <c r="B16" s="6" t="s">
        <v>2076</v>
      </c>
      <c r="C16" s="6" t="s">
        <v>2067</v>
      </c>
      <c r="D16" s="8" t="s">
        <v>2005</v>
      </c>
      <c r="E16" s="8" t="s">
        <v>2062</v>
      </c>
      <c r="F16" s="43" t="s">
        <v>2063</v>
      </c>
      <c r="G16" s="43" t="s">
        <v>2068</v>
      </c>
      <c r="H16" s="57">
        <v>5223</v>
      </c>
      <c r="I16" s="57">
        <v>1331</v>
      </c>
      <c r="J16" s="57">
        <v>59</v>
      </c>
      <c r="K16" s="57">
        <v>238</v>
      </c>
      <c r="L16" s="50">
        <v>1.178277515636966</v>
      </c>
      <c r="M16" s="57">
        <v>0.76042176441704246</v>
      </c>
      <c r="N16" s="57">
        <v>1.825747195597373</v>
      </c>
      <c r="O16" s="57">
        <v>0.46280910840813788</v>
      </c>
      <c r="P16" s="57" t="s">
        <v>1816</v>
      </c>
    </row>
    <row r="17" spans="1:16" ht="18" customHeight="1" x14ac:dyDescent="0.15">
      <c r="A17" s="5" t="s">
        <v>2059</v>
      </c>
      <c r="B17" s="6" t="s">
        <v>2076</v>
      </c>
      <c r="C17" s="6" t="s">
        <v>2067</v>
      </c>
      <c r="D17" s="8" t="s">
        <v>2005</v>
      </c>
      <c r="E17" s="8" t="s">
        <v>2065</v>
      </c>
      <c r="F17" s="43" t="s">
        <v>2066</v>
      </c>
      <c r="G17" s="43" t="s">
        <v>2068</v>
      </c>
      <c r="H17" s="57">
        <v>5223</v>
      </c>
      <c r="I17" s="57">
        <v>1172</v>
      </c>
      <c r="J17" s="57">
        <v>58</v>
      </c>
      <c r="K17" s="57">
        <v>238</v>
      </c>
      <c r="L17" s="50">
        <v>1.3038343159709589</v>
      </c>
      <c r="M17" s="57">
        <v>0.84305624795960055</v>
      </c>
      <c r="N17" s="57">
        <v>2.016453739139981</v>
      </c>
      <c r="O17" s="57">
        <v>0.23302979369708929</v>
      </c>
      <c r="P17" s="57" t="s">
        <v>1816</v>
      </c>
    </row>
    <row r="18" spans="1:16" ht="18" customHeight="1" x14ac:dyDescent="0.15">
      <c r="A18" s="5" t="s">
        <v>2069</v>
      </c>
      <c r="B18" s="6" t="s">
        <v>2076</v>
      </c>
      <c r="C18" s="6" t="s">
        <v>2061</v>
      </c>
      <c r="D18" s="8" t="s">
        <v>2005</v>
      </c>
      <c r="E18" s="8" t="s">
        <v>2070</v>
      </c>
      <c r="F18" s="43" t="s">
        <v>2071</v>
      </c>
      <c r="G18" s="43" t="s">
        <v>2064</v>
      </c>
      <c r="H18" s="57">
        <v>3884</v>
      </c>
      <c r="I18" s="57">
        <v>433</v>
      </c>
      <c r="J18" s="57">
        <v>19</v>
      </c>
      <c r="K18" s="57">
        <v>179</v>
      </c>
      <c r="L18" s="50">
        <v>0.94076269871634444</v>
      </c>
      <c r="M18" s="57">
        <v>0.50985104349292321</v>
      </c>
      <c r="N18" s="57">
        <v>1.7358686749620109</v>
      </c>
      <c r="O18" s="57">
        <v>0.84509323758956822</v>
      </c>
      <c r="P18" s="57" t="s">
        <v>1816</v>
      </c>
    </row>
    <row r="19" spans="1:16" ht="18" customHeight="1" x14ac:dyDescent="0.15">
      <c r="A19" s="5" t="s">
        <v>2069</v>
      </c>
      <c r="B19" s="6" t="s">
        <v>2076</v>
      </c>
      <c r="C19" s="6" t="s">
        <v>2061</v>
      </c>
      <c r="D19" s="8" t="s">
        <v>2005</v>
      </c>
      <c r="E19" s="8" t="s">
        <v>2072</v>
      </c>
      <c r="F19" s="43" t="s">
        <v>2073</v>
      </c>
      <c r="G19" s="43" t="s">
        <v>2064</v>
      </c>
      <c r="H19" s="57">
        <v>3884</v>
      </c>
      <c r="I19" s="57">
        <v>326</v>
      </c>
      <c r="J19" s="57">
        <v>21</v>
      </c>
      <c r="K19" s="57">
        <v>179</v>
      </c>
      <c r="L19" s="50">
        <v>1.7002682983548529</v>
      </c>
      <c r="M19" s="57">
        <v>0.95807275596618302</v>
      </c>
      <c r="N19" s="57">
        <v>3.017424583245897</v>
      </c>
      <c r="O19" s="57">
        <v>6.9731873294252983E-2</v>
      </c>
      <c r="P19" s="57" t="s">
        <v>1816</v>
      </c>
    </row>
    <row r="20" spans="1:16" ht="18" customHeight="1" x14ac:dyDescent="0.15">
      <c r="A20" s="5" t="s">
        <v>2069</v>
      </c>
      <c r="B20" s="6" t="s">
        <v>2076</v>
      </c>
      <c r="C20" s="6" t="s">
        <v>2061</v>
      </c>
      <c r="D20" s="8" t="s">
        <v>2005</v>
      </c>
      <c r="E20" s="8" t="s">
        <v>2074</v>
      </c>
      <c r="F20" s="43" t="s">
        <v>2075</v>
      </c>
      <c r="G20" s="43" t="s">
        <v>2064</v>
      </c>
      <c r="H20" s="57">
        <v>3884</v>
      </c>
      <c r="I20" s="57">
        <v>405</v>
      </c>
      <c r="J20" s="57">
        <v>18</v>
      </c>
      <c r="K20" s="57">
        <v>179</v>
      </c>
      <c r="L20" s="50">
        <v>1.632814111953635</v>
      </c>
      <c r="M20" s="57">
        <v>0.82713755699211466</v>
      </c>
      <c r="N20" s="57">
        <v>3.2232630493652641</v>
      </c>
      <c r="O20" s="57">
        <v>0.15764203900491139</v>
      </c>
      <c r="P20" s="57" t="s">
        <v>1816</v>
      </c>
    </row>
    <row r="21" spans="1:16" ht="18" customHeight="1" x14ac:dyDescent="0.15">
      <c r="A21" s="5" t="s">
        <v>2069</v>
      </c>
      <c r="B21" s="6" t="s">
        <v>2076</v>
      </c>
      <c r="C21" s="6" t="s">
        <v>2067</v>
      </c>
      <c r="D21" s="8" t="s">
        <v>2005</v>
      </c>
      <c r="E21" s="8" t="s">
        <v>2070</v>
      </c>
      <c r="F21" s="43" t="s">
        <v>2071</v>
      </c>
      <c r="G21" s="43" t="s">
        <v>2068</v>
      </c>
      <c r="H21" s="57">
        <v>3884</v>
      </c>
      <c r="I21" s="57">
        <v>433</v>
      </c>
      <c r="J21" s="57">
        <v>19</v>
      </c>
      <c r="K21" s="57">
        <v>179</v>
      </c>
      <c r="L21" s="50">
        <v>0.88205171368199198</v>
      </c>
      <c r="M21" s="57">
        <v>0.48764106537415908</v>
      </c>
      <c r="N21" s="57">
        <v>1.595466995816647</v>
      </c>
      <c r="O21" s="57">
        <v>0.67810422360638589</v>
      </c>
      <c r="P21" s="57" t="s">
        <v>1816</v>
      </c>
    </row>
    <row r="22" spans="1:16" ht="18" customHeight="1" x14ac:dyDescent="0.15">
      <c r="A22" s="5" t="s">
        <v>2069</v>
      </c>
      <c r="B22" s="6" t="s">
        <v>2076</v>
      </c>
      <c r="C22" s="6" t="s">
        <v>2067</v>
      </c>
      <c r="D22" s="8" t="s">
        <v>2005</v>
      </c>
      <c r="E22" s="8" t="s">
        <v>2072</v>
      </c>
      <c r="F22" s="43" t="s">
        <v>2073</v>
      </c>
      <c r="G22" s="43" t="s">
        <v>2068</v>
      </c>
      <c r="H22" s="57">
        <v>3884</v>
      </c>
      <c r="I22" s="57">
        <v>326</v>
      </c>
      <c r="J22" s="57">
        <v>21</v>
      </c>
      <c r="K22" s="57">
        <v>179</v>
      </c>
      <c r="L22" s="50">
        <v>1.612691348512415</v>
      </c>
      <c r="M22" s="57">
        <v>0.90428270025399504</v>
      </c>
      <c r="N22" s="57">
        <v>2.876062303123001</v>
      </c>
      <c r="O22" s="57">
        <v>0.10542027777342131</v>
      </c>
      <c r="P22" s="57" t="s">
        <v>1816</v>
      </c>
    </row>
    <row r="23" spans="1:16" ht="18" customHeight="1" x14ac:dyDescent="0.15">
      <c r="A23" s="5" t="s">
        <v>2069</v>
      </c>
      <c r="B23" s="6" t="s">
        <v>2076</v>
      </c>
      <c r="C23" s="6" t="s">
        <v>2067</v>
      </c>
      <c r="D23" s="8" t="s">
        <v>2005</v>
      </c>
      <c r="E23" s="8" t="s">
        <v>2074</v>
      </c>
      <c r="F23" s="43" t="s">
        <v>2075</v>
      </c>
      <c r="G23" s="43" t="s">
        <v>2068</v>
      </c>
      <c r="H23" s="57">
        <v>3884</v>
      </c>
      <c r="I23" s="57">
        <v>405</v>
      </c>
      <c r="J23" s="57">
        <v>18</v>
      </c>
      <c r="K23" s="57">
        <v>179</v>
      </c>
      <c r="L23" s="50">
        <v>1.5075803593792749</v>
      </c>
      <c r="M23" s="57">
        <v>0.71788184952433742</v>
      </c>
      <c r="N23" s="57">
        <v>3.1659785541201249</v>
      </c>
      <c r="O23" s="57">
        <v>0.27817892298940727</v>
      </c>
      <c r="P23" s="57" t="s">
        <v>1816</v>
      </c>
    </row>
    <row r="24" spans="1:16" ht="18" customHeight="1" x14ac:dyDescent="0.15">
      <c r="A24" s="5" t="s">
        <v>2059</v>
      </c>
      <c r="B24" s="6" t="s">
        <v>2077</v>
      </c>
      <c r="C24" s="6" t="s">
        <v>2061</v>
      </c>
      <c r="D24" s="8" t="s">
        <v>2005</v>
      </c>
      <c r="E24" s="8" t="s">
        <v>2062</v>
      </c>
      <c r="F24" s="43" t="s">
        <v>2063</v>
      </c>
      <c r="G24" s="43" t="s">
        <v>2064</v>
      </c>
      <c r="H24" s="57">
        <v>5338</v>
      </c>
      <c r="I24" s="57">
        <v>1325</v>
      </c>
      <c r="J24" s="57">
        <v>50</v>
      </c>
      <c r="K24" s="57">
        <v>230</v>
      </c>
      <c r="L24" s="50">
        <v>1.0191764115629789</v>
      </c>
      <c r="M24" s="57">
        <v>0.62925523171957198</v>
      </c>
      <c r="N24" s="57">
        <v>1.6507142182161429</v>
      </c>
      <c r="O24" s="57">
        <v>0.93845937690076042</v>
      </c>
      <c r="P24" s="57" t="s">
        <v>1816</v>
      </c>
    </row>
    <row r="25" spans="1:16" ht="18" customHeight="1" x14ac:dyDescent="0.15">
      <c r="A25" s="5" t="s">
        <v>2059</v>
      </c>
      <c r="B25" s="6" t="s">
        <v>2077</v>
      </c>
      <c r="C25" s="6" t="s">
        <v>2061</v>
      </c>
      <c r="D25" s="8" t="s">
        <v>2005</v>
      </c>
      <c r="E25" s="8" t="s">
        <v>2065</v>
      </c>
      <c r="F25" s="43" t="s">
        <v>2066</v>
      </c>
      <c r="G25" s="43" t="s">
        <v>2064</v>
      </c>
      <c r="H25" s="57">
        <v>5338</v>
      </c>
      <c r="I25" s="57">
        <v>1151</v>
      </c>
      <c r="J25" s="57">
        <v>66</v>
      </c>
      <c r="K25" s="57">
        <v>230</v>
      </c>
      <c r="L25" s="50">
        <v>1.592720760198135</v>
      </c>
      <c r="M25" s="57">
        <v>1.0615887433323039</v>
      </c>
      <c r="N25" s="57">
        <v>2.3895877154869711</v>
      </c>
      <c r="O25" s="57">
        <v>2.4527893367384101E-2</v>
      </c>
      <c r="P25" s="57" t="s">
        <v>1816</v>
      </c>
    </row>
    <row r="26" spans="1:16" ht="18" customHeight="1" x14ac:dyDescent="0.15">
      <c r="A26" s="5" t="s">
        <v>2059</v>
      </c>
      <c r="B26" s="6" t="s">
        <v>2077</v>
      </c>
      <c r="C26" s="6" t="s">
        <v>2067</v>
      </c>
      <c r="D26" s="8" t="s">
        <v>2005</v>
      </c>
      <c r="E26" s="8" t="s">
        <v>2062</v>
      </c>
      <c r="F26" s="43" t="s">
        <v>2063</v>
      </c>
      <c r="G26" s="43" t="s">
        <v>2068</v>
      </c>
      <c r="H26" s="57">
        <v>5338</v>
      </c>
      <c r="I26" s="57">
        <v>1325</v>
      </c>
      <c r="J26" s="57">
        <v>50</v>
      </c>
      <c r="K26" s="57">
        <v>230</v>
      </c>
      <c r="L26" s="50">
        <v>1.0007121764128</v>
      </c>
      <c r="M26" s="57">
        <v>0.61699753193573037</v>
      </c>
      <c r="N26" s="57">
        <v>1.623061370892416</v>
      </c>
      <c r="O26" s="57">
        <v>0.997697814753009</v>
      </c>
      <c r="P26" s="57" t="s">
        <v>1816</v>
      </c>
    </row>
    <row r="27" spans="1:16" ht="18" customHeight="1" x14ac:dyDescent="0.15">
      <c r="A27" s="5" t="s">
        <v>2059</v>
      </c>
      <c r="B27" s="6" t="s">
        <v>2077</v>
      </c>
      <c r="C27" s="6" t="s">
        <v>2067</v>
      </c>
      <c r="D27" s="8" t="s">
        <v>2005</v>
      </c>
      <c r="E27" s="8" t="s">
        <v>2065</v>
      </c>
      <c r="F27" s="43" t="s">
        <v>2066</v>
      </c>
      <c r="G27" s="43" t="s">
        <v>2068</v>
      </c>
      <c r="H27" s="57">
        <v>5338</v>
      </c>
      <c r="I27" s="57">
        <v>1151</v>
      </c>
      <c r="J27" s="57">
        <v>66</v>
      </c>
      <c r="K27" s="57">
        <v>230</v>
      </c>
      <c r="L27" s="50">
        <v>1.4413011205477739</v>
      </c>
      <c r="M27" s="57">
        <v>0.92981915358942835</v>
      </c>
      <c r="N27" s="57">
        <v>2.2341429643312609</v>
      </c>
      <c r="O27" s="57">
        <v>0.1021296703580217</v>
      </c>
      <c r="P27" s="57" t="s">
        <v>1816</v>
      </c>
    </row>
    <row r="28" spans="1:16" ht="18" customHeight="1" x14ac:dyDescent="0.15">
      <c r="A28" s="5" t="s">
        <v>2069</v>
      </c>
      <c r="B28" s="6" t="s">
        <v>2077</v>
      </c>
      <c r="C28" s="6" t="s">
        <v>2061</v>
      </c>
      <c r="D28" s="8" t="s">
        <v>2005</v>
      </c>
      <c r="E28" s="8" t="s">
        <v>2070</v>
      </c>
      <c r="F28" s="43" t="s">
        <v>2071</v>
      </c>
      <c r="G28" s="43" t="s">
        <v>2064</v>
      </c>
      <c r="H28" s="57">
        <v>4001</v>
      </c>
      <c r="I28" s="57">
        <v>461</v>
      </c>
      <c r="J28" s="57">
        <v>28</v>
      </c>
      <c r="K28" s="57">
        <v>180</v>
      </c>
      <c r="L28" s="50">
        <v>1.5174878214462171</v>
      </c>
      <c r="M28" s="57">
        <v>0.91243342541023864</v>
      </c>
      <c r="N28" s="57">
        <v>2.5237669117637149</v>
      </c>
      <c r="O28" s="57">
        <v>0.10807372457200461</v>
      </c>
      <c r="P28" s="57" t="s">
        <v>1816</v>
      </c>
    </row>
    <row r="29" spans="1:16" ht="18" customHeight="1" x14ac:dyDescent="0.15">
      <c r="A29" s="5" t="s">
        <v>2069</v>
      </c>
      <c r="B29" s="6" t="s">
        <v>2077</v>
      </c>
      <c r="C29" s="6" t="s">
        <v>2061</v>
      </c>
      <c r="D29" s="8" t="s">
        <v>2005</v>
      </c>
      <c r="E29" s="8" t="s">
        <v>2072</v>
      </c>
      <c r="F29" s="43" t="s">
        <v>2073</v>
      </c>
      <c r="G29" s="43" t="s">
        <v>2064</v>
      </c>
      <c r="H29" s="57">
        <v>4001</v>
      </c>
      <c r="I29" s="57">
        <v>314</v>
      </c>
      <c r="J29" s="57">
        <v>20</v>
      </c>
      <c r="K29" s="57">
        <v>180</v>
      </c>
      <c r="L29" s="50">
        <v>1.8805028172924581</v>
      </c>
      <c r="M29" s="57">
        <v>0.97255853384937019</v>
      </c>
      <c r="N29" s="57">
        <v>3.636069935912539</v>
      </c>
      <c r="O29" s="57">
        <v>6.0478569490381419E-2</v>
      </c>
      <c r="P29" s="57" t="s">
        <v>1816</v>
      </c>
    </row>
    <row r="30" spans="1:16" ht="18" customHeight="1" x14ac:dyDescent="0.15">
      <c r="A30" s="5" t="s">
        <v>2069</v>
      </c>
      <c r="B30" s="6" t="s">
        <v>2077</v>
      </c>
      <c r="C30" s="6" t="s">
        <v>2061</v>
      </c>
      <c r="D30" s="8" t="s">
        <v>2005</v>
      </c>
      <c r="E30" s="8" t="s">
        <v>2074</v>
      </c>
      <c r="F30" s="43" t="s">
        <v>2075</v>
      </c>
      <c r="G30" s="43" t="s">
        <v>2064</v>
      </c>
      <c r="H30" s="57">
        <v>4001</v>
      </c>
      <c r="I30" s="57">
        <v>364</v>
      </c>
      <c r="J30" s="57">
        <v>18</v>
      </c>
      <c r="K30" s="57">
        <v>180</v>
      </c>
      <c r="L30" s="50">
        <v>1.4838120933158949</v>
      </c>
      <c r="M30" s="57">
        <v>0.78000162016223595</v>
      </c>
      <c r="N30" s="57">
        <v>2.8226843013640881</v>
      </c>
      <c r="O30" s="57">
        <v>0.22908063932667441</v>
      </c>
      <c r="P30" s="57" t="s">
        <v>1816</v>
      </c>
    </row>
    <row r="31" spans="1:16" ht="18" customHeight="1" x14ac:dyDescent="0.15">
      <c r="A31" s="5" t="s">
        <v>2069</v>
      </c>
      <c r="B31" s="6" t="s">
        <v>2077</v>
      </c>
      <c r="C31" s="6" t="s">
        <v>2067</v>
      </c>
      <c r="D31" s="8" t="s">
        <v>2005</v>
      </c>
      <c r="E31" s="8" t="s">
        <v>2070</v>
      </c>
      <c r="F31" s="43" t="s">
        <v>2071</v>
      </c>
      <c r="G31" s="43" t="s">
        <v>2068</v>
      </c>
      <c r="H31" s="57">
        <v>4001</v>
      </c>
      <c r="I31" s="57">
        <v>461</v>
      </c>
      <c r="J31" s="57">
        <v>28</v>
      </c>
      <c r="K31" s="57">
        <v>180</v>
      </c>
      <c r="L31" s="50">
        <v>1.4814935679882639</v>
      </c>
      <c r="M31" s="57">
        <v>0.8622844080709825</v>
      </c>
      <c r="N31" s="57">
        <v>2.5453587835371381</v>
      </c>
      <c r="O31" s="57">
        <v>0.1546171932528784</v>
      </c>
      <c r="P31" s="57" t="s">
        <v>1816</v>
      </c>
    </row>
    <row r="32" spans="1:16" ht="18" customHeight="1" x14ac:dyDescent="0.15">
      <c r="A32" s="5" t="s">
        <v>2069</v>
      </c>
      <c r="B32" s="6" t="s">
        <v>2077</v>
      </c>
      <c r="C32" s="6" t="s">
        <v>2067</v>
      </c>
      <c r="D32" s="8" t="s">
        <v>2005</v>
      </c>
      <c r="E32" s="8" t="s">
        <v>2072</v>
      </c>
      <c r="F32" s="43" t="s">
        <v>2073</v>
      </c>
      <c r="G32" s="43" t="s">
        <v>2068</v>
      </c>
      <c r="H32" s="57">
        <v>4001</v>
      </c>
      <c r="I32" s="57">
        <v>314</v>
      </c>
      <c r="J32" s="57">
        <v>20</v>
      </c>
      <c r="K32" s="57">
        <v>180</v>
      </c>
      <c r="L32" s="50">
        <v>1.7474566606915809</v>
      </c>
      <c r="M32" s="57">
        <v>0.88659794018865234</v>
      </c>
      <c r="N32" s="57">
        <v>3.4441821287624679</v>
      </c>
      <c r="O32" s="57">
        <v>0.10689335388671869</v>
      </c>
      <c r="P32" s="57" t="s">
        <v>1816</v>
      </c>
    </row>
    <row r="33" spans="1:16" ht="18" customHeight="1" x14ac:dyDescent="0.15">
      <c r="A33" s="5" t="s">
        <v>2069</v>
      </c>
      <c r="B33" s="6" t="s">
        <v>2077</v>
      </c>
      <c r="C33" s="6" t="s">
        <v>2067</v>
      </c>
      <c r="D33" s="8" t="s">
        <v>2005</v>
      </c>
      <c r="E33" s="8" t="s">
        <v>2074</v>
      </c>
      <c r="F33" s="43" t="s">
        <v>2075</v>
      </c>
      <c r="G33" s="43" t="s">
        <v>2068</v>
      </c>
      <c r="H33" s="57">
        <v>4001</v>
      </c>
      <c r="I33" s="57">
        <v>364</v>
      </c>
      <c r="J33" s="57">
        <v>18</v>
      </c>
      <c r="K33" s="57">
        <v>180</v>
      </c>
      <c r="L33" s="50">
        <v>1.3827929012182341</v>
      </c>
      <c r="M33" s="57">
        <v>0.69657949529153917</v>
      </c>
      <c r="N33" s="57">
        <v>2.7450078857966731</v>
      </c>
      <c r="O33" s="57">
        <v>0.35421263094071231</v>
      </c>
      <c r="P33" s="57" t="s">
        <v>1816</v>
      </c>
    </row>
    <row r="34" spans="1:16" ht="18" customHeight="1" x14ac:dyDescent="0.15">
      <c r="A34" s="5" t="s">
        <v>2059</v>
      </c>
      <c r="B34" s="6" t="s">
        <v>2078</v>
      </c>
      <c r="C34" s="6" t="s">
        <v>2061</v>
      </c>
      <c r="D34" s="8" t="s">
        <v>2005</v>
      </c>
      <c r="E34" s="8" t="s">
        <v>2062</v>
      </c>
      <c r="F34" s="43" t="s">
        <v>2063</v>
      </c>
      <c r="G34" s="43" t="s">
        <v>2064</v>
      </c>
      <c r="H34" s="57">
        <v>4689</v>
      </c>
      <c r="I34" s="57">
        <v>1107</v>
      </c>
      <c r="J34" s="57">
        <v>26</v>
      </c>
      <c r="K34" s="57">
        <v>155</v>
      </c>
      <c r="L34" s="50">
        <v>0.845023134798216</v>
      </c>
      <c r="M34" s="57">
        <v>0.4314379493618683</v>
      </c>
      <c r="N34" s="57">
        <v>1.655079483388892</v>
      </c>
      <c r="O34" s="57">
        <v>0.62345074627752117</v>
      </c>
      <c r="P34" s="57" t="s">
        <v>1816</v>
      </c>
    </row>
    <row r="35" spans="1:16" ht="18" customHeight="1" x14ac:dyDescent="0.15">
      <c r="A35" s="5" t="s">
        <v>2059</v>
      </c>
      <c r="B35" s="6" t="s">
        <v>2078</v>
      </c>
      <c r="C35" s="6" t="s">
        <v>2061</v>
      </c>
      <c r="D35" s="8" t="s">
        <v>2005</v>
      </c>
      <c r="E35" s="8" t="s">
        <v>2065</v>
      </c>
      <c r="F35" s="43" t="s">
        <v>2066</v>
      </c>
      <c r="G35" s="43" t="s">
        <v>2064</v>
      </c>
      <c r="H35" s="57">
        <v>4689</v>
      </c>
      <c r="I35" s="57">
        <v>948</v>
      </c>
      <c r="J35" s="57">
        <v>52</v>
      </c>
      <c r="K35" s="57">
        <v>155</v>
      </c>
      <c r="L35" s="50">
        <v>3.0563626722221948</v>
      </c>
      <c r="M35" s="57">
        <v>1.9269508490771079</v>
      </c>
      <c r="N35" s="57">
        <v>4.8477379631281909</v>
      </c>
      <c r="O35" s="57">
        <v>2.0638010330881328E-6</v>
      </c>
      <c r="P35" s="57" t="s">
        <v>1816</v>
      </c>
    </row>
    <row r="36" spans="1:16" ht="18" customHeight="1" x14ac:dyDescent="0.15">
      <c r="A36" s="5" t="s">
        <v>2059</v>
      </c>
      <c r="B36" s="6" t="s">
        <v>2078</v>
      </c>
      <c r="C36" s="6" t="s">
        <v>2067</v>
      </c>
      <c r="D36" s="8" t="s">
        <v>2005</v>
      </c>
      <c r="E36" s="8" t="s">
        <v>2062</v>
      </c>
      <c r="F36" s="43" t="s">
        <v>2063</v>
      </c>
      <c r="G36" s="43" t="s">
        <v>2068</v>
      </c>
      <c r="H36" s="57">
        <v>4689</v>
      </c>
      <c r="I36" s="57">
        <v>1107</v>
      </c>
      <c r="J36" s="57">
        <v>26</v>
      </c>
      <c r="K36" s="57">
        <v>155</v>
      </c>
      <c r="L36" s="50">
        <v>0.8050477872359324</v>
      </c>
      <c r="M36" s="57">
        <v>0.40304719825810897</v>
      </c>
      <c r="N36" s="57">
        <v>1.6080050736847711</v>
      </c>
      <c r="O36" s="57">
        <v>0.53898756670068926</v>
      </c>
      <c r="P36" s="57" t="s">
        <v>1816</v>
      </c>
    </row>
    <row r="37" spans="1:16" ht="18" customHeight="1" x14ac:dyDescent="0.15">
      <c r="A37" s="5" t="s">
        <v>2059</v>
      </c>
      <c r="B37" s="6" t="s">
        <v>2078</v>
      </c>
      <c r="C37" s="6" t="s">
        <v>2067</v>
      </c>
      <c r="D37" s="8" t="s">
        <v>2005</v>
      </c>
      <c r="E37" s="8" t="s">
        <v>2065</v>
      </c>
      <c r="F37" s="43" t="s">
        <v>2066</v>
      </c>
      <c r="G37" s="43" t="s">
        <v>2068</v>
      </c>
      <c r="H37" s="57">
        <v>4689</v>
      </c>
      <c r="I37" s="57">
        <v>948</v>
      </c>
      <c r="J37" s="57">
        <v>52</v>
      </c>
      <c r="K37" s="57">
        <v>155</v>
      </c>
      <c r="L37" s="50">
        <v>2.5994687944217629</v>
      </c>
      <c r="M37" s="57">
        <v>1.6233505037545091</v>
      </c>
      <c r="N37" s="57">
        <v>4.1625255898490767</v>
      </c>
      <c r="O37" s="57">
        <v>6.9808155698404534E-5</v>
      </c>
      <c r="P37" s="57" t="s">
        <v>1816</v>
      </c>
    </row>
    <row r="38" spans="1:16" ht="18" customHeight="1" x14ac:dyDescent="0.15">
      <c r="A38" s="5" t="s">
        <v>2069</v>
      </c>
      <c r="B38" s="6" t="s">
        <v>2078</v>
      </c>
      <c r="C38" s="6" t="s">
        <v>2061</v>
      </c>
      <c r="D38" s="8" t="s">
        <v>2005</v>
      </c>
      <c r="E38" s="8" t="s">
        <v>2070</v>
      </c>
      <c r="F38" s="43" t="s">
        <v>2071</v>
      </c>
      <c r="G38" s="43" t="s">
        <v>2064</v>
      </c>
      <c r="H38" s="57">
        <v>3573</v>
      </c>
      <c r="I38" s="57">
        <v>408</v>
      </c>
      <c r="J38" s="57">
        <v>27</v>
      </c>
      <c r="K38" s="57">
        <v>127</v>
      </c>
      <c r="L38" s="50">
        <v>2.7183447350127858</v>
      </c>
      <c r="M38" s="57">
        <v>1.5944074414627809</v>
      </c>
      <c r="N38" s="57">
        <v>4.6345732628997061</v>
      </c>
      <c r="O38" s="57">
        <v>2.3897688417405001E-4</v>
      </c>
      <c r="P38" s="57" t="s">
        <v>1816</v>
      </c>
    </row>
    <row r="39" spans="1:16" ht="18" customHeight="1" x14ac:dyDescent="0.15">
      <c r="A39" s="5" t="s">
        <v>2069</v>
      </c>
      <c r="B39" s="6" t="s">
        <v>2078</v>
      </c>
      <c r="C39" s="6" t="s">
        <v>2061</v>
      </c>
      <c r="D39" s="8" t="s">
        <v>2005</v>
      </c>
      <c r="E39" s="8" t="s">
        <v>2072</v>
      </c>
      <c r="F39" s="43" t="s">
        <v>2073</v>
      </c>
      <c r="G39" s="43" t="s">
        <v>2064</v>
      </c>
      <c r="H39" s="57">
        <v>3573</v>
      </c>
      <c r="I39" s="57">
        <v>301</v>
      </c>
      <c r="J39" s="57">
        <v>13</v>
      </c>
      <c r="K39" s="57">
        <v>127</v>
      </c>
      <c r="L39" s="50">
        <v>3.1058590635686638</v>
      </c>
      <c r="M39" s="57">
        <v>1.474102324523308</v>
      </c>
      <c r="N39" s="57">
        <v>6.5438880071443073</v>
      </c>
      <c r="O39" s="57">
        <v>2.87705280954628E-3</v>
      </c>
      <c r="P39" s="57" t="s">
        <v>1816</v>
      </c>
    </row>
    <row r="40" spans="1:16" ht="18" customHeight="1" x14ac:dyDescent="0.15">
      <c r="A40" s="5" t="s">
        <v>2069</v>
      </c>
      <c r="B40" s="6" t="s">
        <v>2078</v>
      </c>
      <c r="C40" s="6" t="s">
        <v>2061</v>
      </c>
      <c r="D40" s="8" t="s">
        <v>2005</v>
      </c>
      <c r="E40" s="8" t="s">
        <v>2074</v>
      </c>
      <c r="F40" s="43" t="s">
        <v>2075</v>
      </c>
      <c r="G40" s="43" t="s">
        <v>2064</v>
      </c>
      <c r="H40" s="57">
        <v>3573</v>
      </c>
      <c r="I40" s="57">
        <v>230</v>
      </c>
      <c r="J40" s="57">
        <v>10</v>
      </c>
      <c r="K40" s="57">
        <v>127</v>
      </c>
      <c r="L40" s="50">
        <v>3.059142996944892</v>
      </c>
      <c r="M40" s="57">
        <v>1.291739675978224</v>
      </c>
      <c r="N40" s="57">
        <v>7.2447692439809694</v>
      </c>
      <c r="O40" s="57">
        <v>1.1023046822811879E-2</v>
      </c>
      <c r="P40" s="57" t="s">
        <v>1816</v>
      </c>
    </row>
    <row r="41" spans="1:16" ht="18" customHeight="1" x14ac:dyDescent="0.15">
      <c r="A41" s="5" t="s">
        <v>2069</v>
      </c>
      <c r="B41" s="6" t="s">
        <v>2078</v>
      </c>
      <c r="C41" s="6" t="s">
        <v>2067</v>
      </c>
      <c r="D41" s="8" t="s">
        <v>2005</v>
      </c>
      <c r="E41" s="8" t="s">
        <v>2070</v>
      </c>
      <c r="F41" s="43" t="s">
        <v>2071</v>
      </c>
      <c r="G41" s="43" t="s">
        <v>2068</v>
      </c>
      <c r="H41" s="57">
        <v>3573</v>
      </c>
      <c r="I41" s="57">
        <v>408</v>
      </c>
      <c r="J41" s="57">
        <v>27</v>
      </c>
      <c r="K41" s="57">
        <v>127</v>
      </c>
      <c r="L41" s="50">
        <v>2.291899957507304</v>
      </c>
      <c r="M41" s="57">
        <v>1.3413277842187139</v>
      </c>
      <c r="N41" s="57">
        <v>3.916123617972767</v>
      </c>
      <c r="O41" s="57">
        <v>2.4102236947077002E-3</v>
      </c>
      <c r="P41" s="57" t="s">
        <v>1816</v>
      </c>
    </row>
    <row r="42" spans="1:16" ht="18" customHeight="1" x14ac:dyDescent="0.15">
      <c r="A42" s="5" t="s">
        <v>2069</v>
      </c>
      <c r="B42" s="6" t="s">
        <v>2078</v>
      </c>
      <c r="C42" s="6" t="s">
        <v>2067</v>
      </c>
      <c r="D42" s="8" t="s">
        <v>2005</v>
      </c>
      <c r="E42" s="8" t="s">
        <v>2072</v>
      </c>
      <c r="F42" s="43" t="s">
        <v>2073</v>
      </c>
      <c r="G42" s="43" t="s">
        <v>2068</v>
      </c>
      <c r="H42" s="57">
        <v>3573</v>
      </c>
      <c r="I42" s="57">
        <v>301</v>
      </c>
      <c r="J42" s="57">
        <v>13</v>
      </c>
      <c r="K42" s="57">
        <v>127</v>
      </c>
      <c r="L42" s="50">
        <v>2.5509380556429408</v>
      </c>
      <c r="M42" s="57">
        <v>1.197605566302965</v>
      </c>
      <c r="N42" s="57">
        <v>5.4335794244974354</v>
      </c>
      <c r="O42" s="57">
        <v>1.520653480588726E-2</v>
      </c>
      <c r="P42" s="57" t="s">
        <v>1816</v>
      </c>
    </row>
    <row r="43" spans="1:16" ht="18" customHeight="1" x14ac:dyDescent="0.15">
      <c r="A43" s="5" t="s">
        <v>2069</v>
      </c>
      <c r="B43" s="6" t="s">
        <v>2078</v>
      </c>
      <c r="C43" s="6" t="s">
        <v>2067</v>
      </c>
      <c r="D43" s="8" t="s">
        <v>2005</v>
      </c>
      <c r="E43" s="8" t="s">
        <v>2074</v>
      </c>
      <c r="F43" s="43" t="s">
        <v>2075</v>
      </c>
      <c r="G43" s="43" t="s">
        <v>2068</v>
      </c>
      <c r="H43" s="57">
        <v>3573</v>
      </c>
      <c r="I43" s="57">
        <v>230</v>
      </c>
      <c r="J43" s="57">
        <v>10</v>
      </c>
      <c r="K43" s="57">
        <v>127</v>
      </c>
      <c r="L43" s="50">
        <v>2.240009986584294</v>
      </c>
      <c r="M43" s="57">
        <v>0.95049638203693765</v>
      </c>
      <c r="N43" s="57">
        <v>5.2789730027634958</v>
      </c>
      <c r="O43" s="57">
        <v>6.5195018417562575E-2</v>
      </c>
      <c r="P43" s="57" t="s">
        <v>1816</v>
      </c>
    </row>
    <row r="44" spans="1:16" ht="18" customHeight="1" x14ac:dyDescent="0.15">
      <c r="A44" s="5" t="s">
        <v>2059</v>
      </c>
      <c r="B44" s="6" t="s">
        <v>2079</v>
      </c>
      <c r="C44" s="6" t="s">
        <v>2061</v>
      </c>
      <c r="D44" s="8" t="s">
        <v>2005</v>
      </c>
      <c r="E44" s="8" t="s">
        <v>2062</v>
      </c>
      <c r="F44" s="43" t="s">
        <v>2063</v>
      </c>
      <c r="G44" s="43" t="s">
        <v>2064</v>
      </c>
      <c r="H44" s="57">
        <v>5422</v>
      </c>
      <c r="I44" s="57">
        <v>1211</v>
      </c>
      <c r="J44" s="57">
        <v>41</v>
      </c>
      <c r="K44" s="57">
        <v>206</v>
      </c>
      <c r="L44" s="50">
        <v>1.0339393323656589</v>
      </c>
      <c r="M44" s="57">
        <v>0.63622442452655315</v>
      </c>
      <c r="N44" s="57">
        <v>1.680272717930098</v>
      </c>
      <c r="O44" s="57">
        <v>0.89283355257130725</v>
      </c>
      <c r="P44" s="57" t="s">
        <v>1816</v>
      </c>
    </row>
    <row r="45" spans="1:16" ht="18" customHeight="1" x14ac:dyDescent="0.15">
      <c r="A45" s="5" t="s">
        <v>2059</v>
      </c>
      <c r="B45" s="6" t="s">
        <v>2079</v>
      </c>
      <c r="C45" s="6" t="s">
        <v>2061</v>
      </c>
      <c r="D45" s="8" t="s">
        <v>2005</v>
      </c>
      <c r="E45" s="8" t="s">
        <v>2065</v>
      </c>
      <c r="F45" s="43" t="s">
        <v>2066</v>
      </c>
      <c r="G45" s="43" t="s">
        <v>2064</v>
      </c>
      <c r="H45" s="57">
        <v>5422</v>
      </c>
      <c r="I45" s="57">
        <v>1061</v>
      </c>
      <c r="J45" s="57">
        <v>49</v>
      </c>
      <c r="K45" s="57">
        <v>206</v>
      </c>
      <c r="L45" s="50">
        <v>1.7088252316386561</v>
      </c>
      <c r="M45" s="57">
        <v>1.086272432162789</v>
      </c>
      <c r="N45" s="57">
        <v>2.6881688109040578</v>
      </c>
      <c r="O45" s="57">
        <v>2.0449242879282129E-2</v>
      </c>
      <c r="P45" s="57" t="s">
        <v>1816</v>
      </c>
    </row>
    <row r="46" spans="1:16" ht="18" customHeight="1" x14ac:dyDescent="0.15">
      <c r="A46" s="5" t="s">
        <v>2059</v>
      </c>
      <c r="B46" s="6" t="s">
        <v>2079</v>
      </c>
      <c r="C46" s="6" t="s">
        <v>2067</v>
      </c>
      <c r="D46" s="8" t="s">
        <v>2005</v>
      </c>
      <c r="E46" s="8" t="s">
        <v>2062</v>
      </c>
      <c r="F46" s="43" t="s">
        <v>2063</v>
      </c>
      <c r="G46" s="43" t="s">
        <v>2068</v>
      </c>
      <c r="H46" s="57">
        <v>5422</v>
      </c>
      <c r="I46" s="57">
        <v>1211</v>
      </c>
      <c r="J46" s="57">
        <v>41</v>
      </c>
      <c r="K46" s="57">
        <v>206</v>
      </c>
      <c r="L46" s="50">
        <v>1.0118864892854129</v>
      </c>
      <c r="M46" s="57">
        <v>0.61998807575479564</v>
      </c>
      <c r="N46" s="57">
        <v>1.6515063873636751</v>
      </c>
      <c r="O46" s="57">
        <v>0.96229165860776855</v>
      </c>
      <c r="P46" s="57" t="s">
        <v>1816</v>
      </c>
    </row>
    <row r="47" spans="1:16" ht="18" customHeight="1" x14ac:dyDescent="0.15">
      <c r="A47" s="5" t="s">
        <v>2059</v>
      </c>
      <c r="B47" s="6" t="s">
        <v>2079</v>
      </c>
      <c r="C47" s="6" t="s">
        <v>2067</v>
      </c>
      <c r="D47" s="8" t="s">
        <v>2005</v>
      </c>
      <c r="E47" s="8" t="s">
        <v>2065</v>
      </c>
      <c r="F47" s="43" t="s">
        <v>2066</v>
      </c>
      <c r="G47" s="43" t="s">
        <v>2068</v>
      </c>
      <c r="H47" s="57">
        <v>5422</v>
      </c>
      <c r="I47" s="57">
        <v>1061</v>
      </c>
      <c r="J47" s="57">
        <v>49</v>
      </c>
      <c r="K47" s="57">
        <v>206</v>
      </c>
      <c r="L47" s="50">
        <v>1.5192618551996719</v>
      </c>
      <c r="M47" s="57">
        <v>0.94526535683085644</v>
      </c>
      <c r="N47" s="57">
        <v>2.4418080785306562</v>
      </c>
      <c r="O47" s="57">
        <v>8.4079057933436535E-2</v>
      </c>
      <c r="P47" s="57" t="s">
        <v>1816</v>
      </c>
    </row>
    <row r="48" spans="1:16" ht="18" customHeight="1" x14ac:dyDescent="0.15">
      <c r="A48" s="5" t="s">
        <v>2069</v>
      </c>
      <c r="B48" s="6" t="s">
        <v>2079</v>
      </c>
      <c r="C48" s="6" t="s">
        <v>2061</v>
      </c>
      <c r="D48" s="8" t="s">
        <v>2005</v>
      </c>
      <c r="E48" s="8" t="s">
        <v>2070</v>
      </c>
      <c r="F48" s="43" t="s">
        <v>2071</v>
      </c>
      <c r="G48" s="43" t="s">
        <v>2064</v>
      </c>
      <c r="H48" s="57">
        <v>4197</v>
      </c>
      <c r="I48" s="57">
        <v>480</v>
      </c>
      <c r="J48" s="57">
        <v>19</v>
      </c>
      <c r="K48" s="57">
        <v>164</v>
      </c>
      <c r="L48" s="50">
        <v>1.3786953697918269</v>
      </c>
      <c r="M48" s="57">
        <v>0.72098326164005178</v>
      </c>
      <c r="N48" s="57">
        <v>2.6364009039011389</v>
      </c>
      <c r="O48" s="57">
        <v>0.33158450766498387</v>
      </c>
      <c r="P48" s="57" t="s">
        <v>1816</v>
      </c>
    </row>
    <row r="49" spans="1:16" ht="18" customHeight="1" x14ac:dyDescent="0.15">
      <c r="A49" s="5" t="s">
        <v>2069</v>
      </c>
      <c r="B49" s="6" t="s">
        <v>2079</v>
      </c>
      <c r="C49" s="6" t="s">
        <v>2061</v>
      </c>
      <c r="D49" s="8" t="s">
        <v>2005</v>
      </c>
      <c r="E49" s="8" t="s">
        <v>2072</v>
      </c>
      <c r="F49" s="43" t="s">
        <v>2073</v>
      </c>
      <c r="G49" s="43" t="s">
        <v>2064</v>
      </c>
      <c r="H49" s="57">
        <v>4197</v>
      </c>
      <c r="I49" s="57">
        <v>322</v>
      </c>
      <c r="J49" s="57">
        <v>15</v>
      </c>
      <c r="K49" s="57">
        <v>164</v>
      </c>
      <c r="L49" s="50">
        <v>1.3926673049380811</v>
      </c>
      <c r="M49" s="57">
        <v>0.63476226049221662</v>
      </c>
      <c r="N49" s="57">
        <v>3.0555096655234748</v>
      </c>
      <c r="O49" s="57">
        <v>0.40867161968307403</v>
      </c>
      <c r="P49" s="57" t="s">
        <v>1816</v>
      </c>
    </row>
    <row r="50" spans="1:16" ht="18" customHeight="1" x14ac:dyDescent="0.15">
      <c r="A50" s="5" t="s">
        <v>2069</v>
      </c>
      <c r="B50" s="6" t="s">
        <v>2079</v>
      </c>
      <c r="C50" s="6" t="s">
        <v>2061</v>
      </c>
      <c r="D50" s="8" t="s">
        <v>2005</v>
      </c>
      <c r="E50" s="8" t="s">
        <v>2074</v>
      </c>
      <c r="F50" s="43" t="s">
        <v>2075</v>
      </c>
      <c r="G50" s="43" t="s">
        <v>2064</v>
      </c>
      <c r="H50" s="57">
        <v>4197</v>
      </c>
      <c r="I50" s="57">
        <v>245</v>
      </c>
      <c r="J50" s="57">
        <v>14</v>
      </c>
      <c r="K50" s="57">
        <v>164</v>
      </c>
      <c r="L50" s="50">
        <v>2.755078235202876</v>
      </c>
      <c r="M50" s="57">
        <v>1.3553988987052139</v>
      </c>
      <c r="N50" s="57">
        <v>5.6001639733805364</v>
      </c>
      <c r="O50" s="57">
        <v>5.10638459696032E-3</v>
      </c>
      <c r="P50" s="57" t="s">
        <v>1816</v>
      </c>
    </row>
    <row r="51" spans="1:16" ht="18" customHeight="1" x14ac:dyDescent="0.15">
      <c r="A51" s="5" t="s">
        <v>2069</v>
      </c>
      <c r="B51" s="6" t="s">
        <v>2079</v>
      </c>
      <c r="C51" s="6" t="s">
        <v>2067</v>
      </c>
      <c r="D51" s="8" t="s">
        <v>2005</v>
      </c>
      <c r="E51" s="8" t="s">
        <v>2070</v>
      </c>
      <c r="F51" s="43" t="s">
        <v>2071</v>
      </c>
      <c r="G51" s="43" t="s">
        <v>2068</v>
      </c>
      <c r="H51" s="57">
        <v>4197</v>
      </c>
      <c r="I51" s="57">
        <v>480</v>
      </c>
      <c r="J51" s="57">
        <v>19</v>
      </c>
      <c r="K51" s="57">
        <v>164</v>
      </c>
      <c r="L51" s="50">
        <v>1.24294390914791</v>
      </c>
      <c r="M51" s="57">
        <v>0.65046930543743653</v>
      </c>
      <c r="N51" s="57">
        <v>2.3750691206696479</v>
      </c>
      <c r="O51" s="57">
        <v>0.51035733771535696</v>
      </c>
      <c r="P51" s="57" t="s">
        <v>1816</v>
      </c>
    </row>
    <row r="52" spans="1:16" ht="18" customHeight="1" x14ac:dyDescent="0.15">
      <c r="A52" s="5" t="s">
        <v>2069</v>
      </c>
      <c r="B52" s="6" t="s">
        <v>2079</v>
      </c>
      <c r="C52" s="6" t="s">
        <v>2067</v>
      </c>
      <c r="D52" s="8" t="s">
        <v>2005</v>
      </c>
      <c r="E52" s="8" t="s">
        <v>2072</v>
      </c>
      <c r="F52" s="43" t="s">
        <v>2073</v>
      </c>
      <c r="G52" s="43" t="s">
        <v>2068</v>
      </c>
      <c r="H52" s="57">
        <v>4197</v>
      </c>
      <c r="I52" s="57">
        <v>322</v>
      </c>
      <c r="J52" s="57">
        <v>15</v>
      </c>
      <c r="K52" s="57">
        <v>164</v>
      </c>
      <c r="L52" s="50">
        <v>1.2350508311161761</v>
      </c>
      <c r="M52" s="57">
        <v>0.55916178832980734</v>
      </c>
      <c r="N52" s="57">
        <v>2.727923451273226</v>
      </c>
      <c r="O52" s="57">
        <v>0.6015542961280651</v>
      </c>
      <c r="P52" s="57" t="s">
        <v>1816</v>
      </c>
    </row>
    <row r="53" spans="1:16" ht="18" customHeight="1" x14ac:dyDescent="0.15">
      <c r="A53" s="5" t="s">
        <v>2069</v>
      </c>
      <c r="B53" s="6" t="s">
        <v>2079</v>
      </c>
      <c r="C53" s="6" t="s">
        <v>2067</v>
      </c>
      <c r="D53" s="8" t="s">
        <v>2005</v>
      </c>
      <c r="E53" s="8" t="s">
        <v>2074</v>
      </c>
      <c r="F53" s="43" t="s">
        <v>2075</v>
      </c>
      <c r="G53" s="43" t="s">
        <v>2068</v>
      </c>
      <c r="H53" s="57">
        <v>4197</v>
      </c>
      <c r="I53" s="57">
        <v>245</v>
      </c>
      <c r="J53" s="57">
        <v>14</v>
      </c>
      <c r="K53" s="57">
        <v>164</v>
      </c>
      <c r="L53" s="50">
        <v>2.3959853672110598</v>
      </c>
      <c r="M53" s="57">
        <v>1.098007237023515</v>
      </c>
      <c r="N53" s="57">
        <v>5.2283315503926593</v>
      </c>
      <c r="O53" s="57">
        <v>2.8174259189352891E-2</v>
      </c>
      <c r="P53" s="57" t="s">
        <v>1816</v>
      </c>
    </row>
    <row r="54" spans="1:16" ht="18" customHeight="1" x14ac:dyDescent="0.15">
      <c r="A54" s="5" t="s">
        <v>2059</v>
      </c>
      <c r="B54" s="6" t="s">
        <v>2080</v>
      </c>
      <c r="C54" s="6" t="s">
        <v>2061</v>
      </c>
      <c r="D54" s="8" t="s">
        <v>2005</v>
      </c>
      <c r="E54" s="8" t="s">
        <v>2062</v>
      </c>
      <c r="F54" s="43" t="s">
        <v>2063</v>
      </c>
      <c r="G54" s="43" t="s">
        <v>2064</v>
      </c>
      <c r="H54" s="57">
        <v>5198</v>
      </c>
      <c r="I54" s="57">
        <v>1184</v>
      </c>
      <c r="J54" s="57">
        <v>45</v>
      </c>
      <c r="K54" s="57">
        <v>208</v>
      </c>
      <c r="L54" s="50">
        <v>0.96052388694431523</v>
      </c>
      <c r="M54" s="57">
        <v>0.59881968883282088</v>
      </c>
      <c r="N54" s="57">
        <v>1.5407077532619169</v>
      </c>
      <c r="O54" s="57">
        <v>0.86731802970074456</v>
      </c>
      <c r="P54" s="57" t="s">
        <v>1816</v>
      </c>
    </row>
    <row r="55" spans="1:16" ht="18" customHeight="1" x14ac:dyDescent="0.15">
      <c r="A55" s="5" t="s">
        <v>2059</v>
      </c>
      <c r="B55" s="6" t="s">
        <v>2080</v>
      </c>
      <c r="C55" s="6" t="s">
        <v>2061</v>
      </c>
      <c r="D55" s="8" t="s">
        <v>2005</v>
      </c>
      <c r="E55" s="8" t="s">
        <v>2065</v>
      </c>
      <c r="F55" s="43" t="s">
        <v>2066</v>
      </c>
      <c r="G55" s="43" t="s">
        <v>2064</v>
      </c>
      <c r="H55" s="57">
        <v>5198</v>
      </c>
      <c r="I55" s="57">
        <v>966</v>
      </c>
      <c r="J55" s="57">
        <v>42</v>
      </c>
      <c r="K55" s="57">
        <v>208</v>
      </c>
      <c r="L55" s="50">
        <v>1.4755858968764251</v>
      </c>
      <c r="M55" s="57">
        <v>0.89659561265812204</v>
      </c>
      <c r="N55" s="57">
        <v>2.428467983024631</v>
      </c>
      <c r="O55" s="57">
        <v>0.1258708822059571</v>
      </c>
      <c r="P55" s="57" t="s">
        <v>1816</v>
      </c>
    </row>
    <row r="56" spans="1:16" ht="18" customHeight="1" x14ac:dyDescent="0.15">
      <c r="A56" s="5" t="s">
        <v>2059</v>
      </c>
      <c r="B56" s="6" t="s">
        <v>2080</v>
      </c>
      <c r="C56" s="6" t="s">
        <v>2067</v>
      </c>
      <c r="D56" s="8" t="s">
        <v>2005</v>
      </c>
      <c r="E56" s="8" t="s">
        <v>2062</v>
      </c>
      <c r="F56" s="43" t="s">
        <v>2063</v>
      </c>
      <c r="G56" s="43" t="s">
        <v>2068</v>
      </c>
      <c r="H56" s="57">
        <v>5198</v>
      </c>
      <c r="I56" s="57">
        <v>1184</v>
      </c>
      <c r="J56" s="57">
        <v>45</v>
      </c>
      <c r="K56" s="57">
        <v>208</v>
      </c>
      <c r="L56" s="50">
        <v>0.85617806456531365</v>
      </c>
      <c r="M56" s="57">
        <v>0.53864913829527417</v>
      </c>
      <c r="N56" s="57">
        <v>1.3608874982381789</v>
      </c>
      <c r="O56" s="57">
        <v>0.511347766880346</v>
      </c>
      <c r="P56" s="57" t="s">
        <v>1816</v>
      </c>
    </row>
    <row r="57" spans="1:16" ht="18" customHeight="1" x14ac:dyDescent="0.15">
      <c r="A57" s="5" t="s">
        <v>2059</v>
      </c>
      <c r="B57" s="6" t="s">
        <v>2080</v>
      </c>
      <c r="C57" s="6" t="s">
        <v>2067</v>
      </c>
      <c r="D57" s="8" t="s">
        <v>2005</v>
      </c>
      <c r="E57" s="8" t="s">
        <v>2065</v>
      </c>
      <c r="F57" s="43" t="s">
        <v>2066</v>
      </c>
      <c r="G57" s="43" t="s">
        <v>2068</v>
      </c>
      <c r="H57" s="57">
        <v>5198</v>
      </c>
      <c r="I57" s="57">
        <v>966</v>
      </c>
      <c r="J57" s="57">
        <v>42</v>
      </c>
      <c r="K57" s="57">
        <v>208</v>
      </c>
      <c r="L57" s="50">
        <v>1.10647621213612</v>
      </c>
      <c r="M57" s="57">
        <v>0.68165094291236639</v>
      </c>
      <c r="N57" s="57">
        <v>1.7960653040283281</v>
      </c>
      <c r="O57" s="57">
        <v>0.68225698373790544</v>
      </c>
      <c r="P57" s="57" t="s">
        <v>1816</v>
      </c>
    </row>
    <row r="58" spans="1:16" ht="18" customHeight="1" x14ac:dyDescent="0.15">
      <c r="A58" s="5" t="s">
        <v>2069</v>
      </c>
      <c r="B58" s="6" t="s">
        <v>2080</v>
      </c>
      <c r="C58" s="6" t="s">
        <v>2061</v>
      </c>
      <c r="D58" s="8" t="s">
        <v>2005</v>
      </c>
      <c r="E58" s="8" t="s">
        <v>2070</v>
      </c>
      <c r="F58" s="43" t="s">
        <v>2071</v>
      </c>
      <c r="G58" s="43" t="s">
        <v>2064</v>
      </c>
      <c r="H58" s="57">
        <v>4000</v>
      </c>
      <c r="I58" s="57">
        <v>457</v>
      </c>
      <c r="J58" s="57">
        <v>18</v>
      </c>
      <c r="K58" s="57">
        <v>162</v>
      </c>
      <c r="L58" s="50">
        <v>1.4528773778843991</v>
      </c>
      <c r="M58" s="57">
        <v>0.6958292377813533</v>
      </c>
      <c r="N58" s="57">
        <v>3.0335785858879492</v>
      </c>
      <c r="O58" s="57">
        <v>0.31997802764291511</v>
      </c>
      <c r="P58" s="57" t="s">
        <v>1816</v>
      </c>
    </row>
    <row r="59" spans="1:16" ht="18" customHeight="1" x14ac:dyDescent="0.15">
      <c r="A59" s="5" t="s">
        <v>2069</v>
      </c>
      <c r="B59" s="6" t="s">
        <v>2080</v>
      </c>
      <c r="C59" s="6" t="s">
        <v>2061</v>
      </c>
      <c r="D59" s="8" t="s">
        <v>2005</v>
      </c>
      <c r="E59" s="8" t="s">
        <v>2072</v>
      </c>
      <c r="F59" s="43" t="s">
        <v>2073</v>
      </c>
      <c r="G59" s="43" t="s">
        <v>2064</v>
      </c>
      <c r="H59" s="57">
        <v>4000</v>
      </c>
      <c r="I59" s="57">
        <v>284</v>
      </c>
      <c r="J59" s="57">
        <v>14</v>
      </c>
      <c r="K59" s="57">
        <v>162</v>
      </c>
      <c r="L59" s="50">
        <v>1.7800874083141951</v>
      </c>
      <c r="M59" s="57">
        <v>0.82959453890768198</v>
      </c>
      <c r="N59" s="57">
        <v>3.8195902126006702</v>
      </c>
      <c r="O59" s="57">
        <v>0.13876595376435011</v>
      </c>
      <c r="P59" s="57" t="s">
        <v>1816</v>
      </c>
    </row>
    <row r="60" spans="1:16" ht="18" customHeight="1" x14ac:dyDescent="0.15">
      <c r="A60" s="5" t="s">
        <v>2069</v>
      </c>
      <c r="B60" s="6" t="s">
        <v>2080</v>
      </c>
      <c r="C60" s="6" t="s">
        <v>2061</v>
      </c>
      <c r="D60" s="8" t="s">
        <v>2005</v>
      </c>
      <c r="E60" s="8" t="s">
        <v>2074</v>
      </c>
      <c r="F60" s="43" t="s">
        <v>2075</v>
      </c>
      <c r="G60" s="43" t="s">
        <v>2064</v>
      </c>
      <c r="H60" s="57">
        <v>4000</v>
      </c>
      <c r="I60" s="57">
        <v>211</v>
      </c>
      <c r="J60" s="57">
        <v>9</v>
      </c>
      <c r="K60" s="57">
        <v>162</v>
      </c>
      <c r="L60" s="50">
        <v>1.414255278096652</v>
      </c>
      <c r="M60" s="57">
        <v>0.51695686607730573</v>
      </c>
      <c r="N60" s="57">
        <v>3.869022974394813</v>
      </c>
      <c r="O60" s="57">
        <v>0.49966138682158928</v>
      </c>
      <c r="P60" s="57" t="s">
        <v>1816</v>
      </c>
    </row>
    <row r="61" spans="1:16" ht="18" customHeight="1" x14ac:dyDescent="0.15">
      <c r="A61" s="5" t="s">
        <v>2069</v>
      </c>
      <c r="B61" s="6" t="s">
        <v>2080</v>
      </c>
      <c r="C61" s="6" t="s">
        <v>2067</v>
      </c>
      <c r="D61" s="8" t="s">
        <v>2005</v>
      </c>
      <c r="E61" s="8" t="s">
        <v>2070</v>
      </c>
      <c r="F61" s="43" t="s">
        <v>2071</v>
      </c>
      <c r="G61" s="43" t="s">
        <v>2068</v>
      </c>
      <c r="H61" s="57">
        <v>4000</v>
      </c>
      <c r="I61" s="57">
        <v>457</v>
      </c>
      <c r="J61" s="57">
        <v>18</v>
      </c>
      <c r="K61" s="57">
        <v>162</v>
      </c>
      <c r="L61" s="50">
        <v>1.1213011661017509</v>
      </c>
      <c r="M61" s="57">
        <v>0.55383346916503717</v>
      </c>
      <c r="N61" s="57">
        <v>2.2702064340688639</v>
      </c>
      <c r="O61" s="57">
        <v>0.75038946337756374</v>
      </c>
      <c r="P61" s="57" t="s">
        <v>1816</v>
      </c>
    </row>
    <row r="62" spans="1:16" ht="18" customHeight="1" x14ac:dyDescent="0.15">
      <c r="A62" s="5" t="s">
        <v>2069</v>
      </c>
      <c r="B62" s="6" t="s">
        <v>2080</v>
      </c>
      <c r="C62" s="6" t="s">
        <v>2067</v>
      </c>
      <c r="D62" s="8" t="s">
        <v>2005</v>
      </c>
      <c r="E62" s="8" t="s">
        <v>2072</v>
      </c>
      <c r="F62" s="43" t="s">
        <v>2073</v>
      </c>
      <c r="G62" s="43" t="s">
        <v>2068</v>
      </c>
      <c r="H62" s="57">
        <v>4000</v>
      </c>
      <c r="I62" s="57">
        <v>284</v>
      </c>
      <c r="J62" s="57">
        <v>14</v>
      </c>
      <c r="K62" s="57">
        <v>162</v>
      </c>
      <c r="L62" s="50">
        <v>1.2538909861243319</v>
      </c>
      <c r="M62" s="57">
        <v>0.56269700826685154</v>
      </c>
      <c r="N62" s="57">
        <v>2.7941193608376782</v>
      </c>
      <c r="O62" s="57">
        <v>0.57996165410332368</v>
      </c>
      <c r="P62" s="57" t="s">
        <v>1816</v>
      </c>
    </row>
    <row r="63" spans="1:16" ht="18" customHeight="1" x14ac:dyDescent="0.15">
      <c r="A63" s="5" t="s">
        <v>2069</v>
      </c>
      <c r="B63" s="6" t="s">
        <v>2080</v>
      </c>
      <c r="C63" s="6" t="s">
        <v>2067</v>
      </c>
      <c r="D63" s="8" t="s">
        <v>2005</v>
      </c>
      <c r="E63" s="8" t="s">
        <v>2074</v>
      </c>
      <c r="F63" s="43" t="s">
        <v>2075</v>
      </c>
      <c r="G63" s="43" t="s">
        <v>2068</v>
      </c>
      <c r="H63" s="57">
        <v>4000</v>
      </c>
      <c r="I63" s="57">
        <v>211</v>
      </c>
      <c r="J63" s="57">
        <v>9</v>
      </c>
      <c r="K63" s="57">
        <v>162</v>
      </c>
      <c r="L63" s="50">
        <v>1.0071552450344261</v>
      </c>
      <c r="M63" s="57">
        <v>0.38093016994861129</v>
      </c>
      <c r="N63" s="57">
        <v>2.66285468472396</v>
      </c>
      <c r="O63" s="57">
        <v>0.98853246335105416</v>
      </c>
      <c r="P63" s="57" t="s">
        <v>1816</v>
      </c>
    </row>
    <row r="64" spans="1:16" ht="18" customHeight="1" x14ac:dyDescent="0.15">
      <c r="A64" s="5" t="s">
        <v>2059</v>
      </c>
      <c r="B64" s="6" t="s">
        <v>2081</v>
      </c>
      <c r="C64" s="6" t="s">
        <v>2061</v>
      </c>
      <c r="D64" s="8" t="s">
        <v>2005</v>
      </c>
      <c r="E64" s="8" t="s">
        <v>2062</v>
      </c>
      <c r="F64" s="43" t="s">
        <v>2063</v>
      </c>
      <c r="G64" s="43" t="s">
        <v>2064</v>
      </c>
      <c r="H64" s="57">
        <v>5135</v>
      </c>
      <c r="I64" s="57">
        <v>1190</v>
      </c>
      <c r="J64" s="57">
        <v>52</v>
      </c>
      <c r="K64" s="57">
        <v>212</v>
      </c>
      <c r="L64" s="50">
        <v>1.177959912656688</v>
      </c>
      <c r="M64" s="57">
        <v>0.68365006870324208</v>
      </c>
      <c r="N64" s="57">
        <v>2.0296780755952422</v>
      </c>
      <c r="O64" s="57">
        <v>0.55518844006202694</v>
      </c>
      <c r="P64" s="57" t="s">
        <v>1816</v>
      </c>
    </row>
    <row r="65" spans="1:16" ht="18" customHeight="1" x14ac:dyDescent="0.15">
      <c r="A65" s="5" t="s">
        <v>2059</v>
      </c>
      <c r="B65" s="6" t="s">
        <v>2081</v>
      </c>
      <c r="C65" s="6" t="s">
        <v>2061</v>
      </c>
      <c r="D65" s="8" t="s">
        <v>2005</v>
      </c>
      <c r="E65" s="8" t="s">
        <v>2065</v>
      </c>
      <c r="F65" s="43" t="s">
        <v>2066</v>
      </c>
      <c r="G65" s="43" t="s">
        <v>2064</v>
      </c>
      <c r="H65" s="57">
        <v>5135</v>
      </c>
      <c r="I65" s="57">
        <v>912</v>
      </c>
      <c r="J65" s="57">
        <v>49</v>
      </c>
      <c r="K65" s="57">
        <v>212</v>
      </c>
      <c r="L65" s="50">
        <v>1.9899421256368031</v>
      </c>
      <c r="M65" s="57">
        <v>1.2110145488817949</v>
      </c>
      <c r="N65" s="57">
        <v>3.2698778615337978</v>
      </c>
      <c r="O65" s="57">
        <v>6.6158977656568399E-3</v>
      </c>
      <c r="P65" s="57" t="s">
        <v>1816</v>
      </c>
    </row>
    <row r="66" spans="1:16" ht="18" customHeight="1" x14ac:dyDescent="0.15">
      <c r="A66" s="5" t="s">
        <v>2059</v>
      </c>
      <c r="B66" s="6" t="s">
        <v>2081</v>
      </c>
      <c r="C66" s="6" t="s">
        <v>2067</v>
      </c>
      <c r="D66" s="8" t="s">
        <v>2005</v>
      </c>
      <c r="E66" s="8" t="s">
        <v>2062</v>
      </c>
      <c r="F66" s="43" t="s">
        <v>2063</v>
      </c>
      <c r="G66" s="43" t="s">
        <v>2068</v>
      </c>
      <c r="H66" s="57">
        <v>5135</v>
      </c>
      <c r="I66" s="57">
        <v>1190</v>
      </c>
      <c r="J66" s="57">
        <v>52</v>
      </c>
      <c r="K66" s="57">
        <v>212</v>
      </c>
      <c r="L66" s="50">
        <v>1.160260703326196</v>
      </c>
      <c r="M66" s="57">
        <v>0.66452626589679165</v>
      </c>
      <c r="N66" s="57">
        <v>2.0258114220154519</v>
      </c>
      <c r="O66" s="57">
        <v>0.60114611216663993</v>
      </c>
      <c r="P66" s="57" t="s">
        <v>1816</v>
      </c>
    </row>
    <row r="67" spans="1:16" ht="18" customHeight="1" x14ac:dyDescent="0.15">
      <c r="A67" s="5" t="s">
        <v>2059</v>
      </c>
      <c r="B67" s="6" t="s">
        <v>2081</v>
      </c>
      <c r="C67" s="6" t="s">
        <v>2067</v>
      </c>
      <c r="D67" s="8" t="s">
        <v>2005</v>
      </c>
      <c r="E67" s="8" t="s">
        <v>2065</v>
      </c>
      <c r="F67" s="43" t="s">
        <v>2066</v>
      </c>
      <c r="G67" s="43" t="s">
        <v>2068</v>
      </c>
      <c r="H67" s="57">
        <v>5135</v>
      </c>
      <c r="I67" s="57">
        <v>912</v>
      </c>
      <c r="J67" s="57">
        <v>49</v>
      </c>
      <c r="K67" s="57">
        <v>212</v>
      </c>
      <c r="L67" s="50">
        <v>1.883622098336095</v>
      </c>
      <c r="M67" s="57">
        <v>1.0762264905202821</v>
      </c>
      <c r="N67" s="57">
        <v>3.2967337643072159</v>
      </c>
      <c r="O67" s="57">
        <v>2.660705765745847E-2</v>
      </c>
      <c r="P67" s="57" t="s">
        <v>1816</v>
      </c>
    </row>
    <row r="68" spans="1:16" ht="18" customHeight="1" x14ac:dyDescent="0.15">
      <c r="A68" s="5" t="s">
        <v>2069</v>
      </c>
      <c r="B68" s="6" t="s">
        <v>2081</v>
      </c>
      <c r="C68" s="6" t="s">
        <v>2061</v>
      </c>
      <c r="D68" s="8" t="s">
        <v>2005</v>
      </c>
      <c r="E68" s="8" t="s">
        <v>2070</v>
      </c>
      <c r="F68" s="43" t="s">
        <v>2071</v>
      </c>
      <c r="G68" s="43" t="s">
        <v>2064</v>
      </c>
      <c r="H68" s="57">
        <v>3932</v>
      </c>
      <c r="I68" s="57">
        <v>393</v>
      </c>
      <c r="J68" s="57">
        <v>18</v>
      </c>
      <c r="K68" s="57">
        <v>159</v>
      </c>
      <c r="L68" s="50">
        <v>1.9256380684343799</v>
      </c>
      <c r="M68" s="57">
        <v>0.92398626488082836</v>
      </c>
      <c r="N68" s="57">
        <v>4.0131353804073484</v>
      </c>
      <c r="O68" s="57">
        <v>8.0294141294886948E-2</v>
      </c>
      <c r="P68" s="57" t="s">
        <v>1816</v>
      </c>
    </row>
    <row r="69" spans="1:16" ht="18" customHeight="1" x14ac:dyDescent="0.15">
      <c r="A69" s="5" t="s">
        <v>2069</v>
      </c>
      <c r="B69" s="6" t="s">
        <v>2081</v>
      </c>
      <c r="C69" s="6" t="s">
        <v>2061</v>
      </c>
      <c r="D69" s="8" t="s">
        <v>2005</v>
      </c>
      <c r="E69" s="8" t="s">
        <v>2072</v>
      </c>
      <c r="F69" s="43" t="s">
        <v>2073</v>
      </c>
      <c r="G69" s="43" t="s">
        <v>2064</v>
      </c>
      <c r="H69" s="57">
        <v>3932</v>
      </c>
      <c r="I69" s="57">
        <v>272</v>
      </c>
      <c r="J69" s="57">
        <v>17</v>
      </c>
      <c r="K69" s="57">
        <v>159</v>
      </c>
      <c r="L69" s="50">
        <v>2.0069695179838489</v>
      </c>
      <c r="M69" s="57">
        <v>0.99947271428313322</v>
      </c>
      <c r="N69" s="57">
        <v>4.0300516347815796</v>
      </c>
      <c r="O69" s="57">
        <v>5.0169357084163139E-2</v>
      </c>
      <c r="P69" s="57" t="s">
        <v>1816</v>
      </c>
    </row>
    <row r="70" spans="1:16" ht="18" customHeight="1" x14ac:dyDescent="0.15">
      <c r="A70" s="5" t="s">
        <v>2069</v>
      </c>
      <c r="B70" s="6" t="s">
        <v>2081</v>
      </c>
      <c r="C70" s="6" t="s">
        <v>2061</v>
      </c>
      <c r="D70" s="8" t="s">
        <v>2005</v>
      </c>
      <c r="E70" s="8" t="s">
        <v>2074</v>
      </c>
      <c r="F70" s="43" t="s">
        <v>2075</v>
      </c>
      <c r="G70" s="43" t="s">
        <v>2064</v>
      </c>
      <c r="H70" s="57">
        <v>3932</v>
      </c>
      <c r="I70" s="57">
        <v>234</v>
      </c>
      <c r="J70" s="57">
        <v>13</v>
      </c>
      <c r="K70" s="57">
        <v>159</v>
      </c>
      <c r="L70" s="50">
        <v>1.6481905472195</v>
      </c>
      <c r="M70" s="57">
        <v>0.75204358469258514</v>
      </c>
      <c r="N70" s="57">
        <v>3.6122003235413009</v>
      </c>
      <c r="O70" s="57">
        <v>0.2119659820511709</v>
      </c>
      <c r="P70" s="57" t="s">
        <v>1816</v>
      </c>
    </row>
    <row r="71" spans="1:16" ht="18" customHeight="1" x14ac:dyDescent="0.15">
      <c r="A71" s="5" t="s">
        <v>2069</v>
      </c>
      <c r="B71" s="6" t="s">
        <v>2081</v>
      </c>
      <c r="C71" s="6" t="s">
        <v>2067</v>
      </c>
      <c r="D71" s="8" t="s">
        <v>2005</v>
      </c>
      <c r="E71" s="8" t="s">
        <v>2070</v>
      </c>
      <c r="F71" s="43" t="s">
        <v>2071</v>
      </c>
      <c r="G71" s="43" t="s">
        <v>2068</v>
      </c>
      <c r="H71" s="57">
        <v>3932</v>
      </c>
      <c r="I71" s="57">
        <v>393</v>
      </c>
      <c r="J71" s="57">
        <v>18</v>
      </c>
      <c r="K71" s="57">
        <v>159</v>
      </c>
      <c r="L71" s="50">
        <v>1.8691307325284301</v>
      </c>
      <c r="M71" s="57">
        <v>0.83986101084476528</v>
      </c>
      <c r="N71" s="57">
        <v>4.1597950734350881</v>
      </c>
      <c r="O71" s="57">
        <v>0.1254176691361199</v>
      </c>
      <c r="P71" s="57" t="s">
        <v>1816</v>
      </c>
    </row>
    <row r="72" spans="1:16" ht="18" customHeight="1" x14ac:dyDescent="0.15">
      <c r="A72" s="5" t="s">
        <v>2069</v>
      </c>
      <c r="B72" s="6" t="s">
        <v>2081</v>
      </c>
      <c r="C72" s="6" t="s">
        <v>2067</v>
      </c>
      <c r="D72" s="8" t="s">
        <v>2005</v>
      </c>
      <c r="E72" s="8" t="s">
        <v>2072</v>
      </c>
      <c r="F72" s="43" t="s">
        <v>2073</v>
      </c>
      <c r="G72" s="43" t="s">
        <v>2068</v>
      </c>
      <c r="H72" s="57">
        <v>3932</v>
      </c>
      <c r="I72" s="57">
        <v>272</v>
      </c>
      <c r="J72" s="57">
        <v>17</v>
      </c>
      <c r="K72" s="57">
        <v>159</v>
      </c>
      <c r="L72" s="50">
        <v>1.9373642401048261</v>
      </c>
      <c r="M72" s="57">
        <v>0.92042767810968362</v>
      </c>
      <c r="N72" s="57">
        <v>4.0778654185469607</v>
      </c>
      <c r="O72" s="57">
        <v>8.1572311466760805E-2</v>
      </c>
      <c r="P72" s="57" t="s">
        <v>1816</v>
      </c>
    </row>
    <row r="73" spans="1:16" ht="18" customHeight="1" x14ac:dyDescent="0.15">
      <c r="A73" s="5" t="s">
        <v>2069</v>
      </c>
      <c r="B73" s="6" t="s">
        <v>2081</v>
      </c>
      <c r="C73" s="6" t="s">
        <v>2067</v>
      </c>
      <c r="D73" s="8" t="s">
        <v>2005</v>
      </c>
      <c r="E73" s="8" t="s">
        <v>2074</v>
      </c>
      <c r="F73" s="43" t="s">
        <v>2075</v>
      </c>
      <c r="G73" s="43" t="s">
        <v>2068</v>
      </c>
      <c r="H73" s="57">
        <v>3932</v>
      </c>
      <c r="I73" s="57">
        <v>234</v>
      </c>
      <c r="J73" s="57">
        <v>13</v>
      </c>
      <c r="K73" s="57">
        <v>159</v>
      </c>
      <c r="L73" s="50">
        <v>1.5475550469396639</v>
      </c>
      <c r="M73" s="57">
        <v>0.67847693347504734</v>
      </c>
      <c r="N73" s="57">
        <v>3.5298571036777981</v>
      </c>
      <c r="O73" s="57">
        <v>0.29928678657798191</v>
      </c>
      <c r="P73" s="57" t="s">
        <v>1816</v>
      </c>
    </row>
    <row r="74" spans="1:16" ht="18" customHeight="1" x14ac:dyDescent="0.15">
      <c r="A74" s="5" t="s">
        <v>2059</v>
      </c>
      <c r="B74" s="6" t="s">
        <v>2082</v>
      </c>
      <c r="C74" s="6" t="s">
        <v>2061</v>
      </c>
      <c r="D74" s="8" t="s">
        <v>2005</v>
      </c>
      <c r="E74" s="8" t="s">
        <v>2062</v>
      </c>
      <c r="F74" s="43" t="s">
        <v>2063</v>
      </c>
      <c r="G74" s="43" t="s">
        <v>2064</v>
      </c>
      <c r="H74" s="57">
        <v>35353</v>
      </c>
      <c r="I74" s="57">
        <v>8475</v>
      </c>
      <c r="J74" s="57">
        <v>313</v>
      </c>
      <c r="K74" s="57">
        <v>1455</v>
      </c>
      <c r="L74" s="50">
        <v>0.96523779826796074</v>
      </c>
      <c r="M74" s="57">
        <v>0.79694784360193527</v>
      </c>
      <c r="N74" s="57">
        <v>1.169065221375446</v>
      </c>
      <c r="O74" s="57">
        <v>0.71738138225397385</v>
      </c>
      <c r="P74" s="57" t="s">
        <v>1816</v>
      </c>
    </row>
    <row r="75" spans="1:16" ht="18" customHeight="1" x14ac:dyDescent="0.15">
      <c r="A75" s="5" t="s">
        <v>2059</v>
      </c>
      <c r="B75" s="6" t="s">
        <v>2082</v>
      </c>
      <c r="C75" s="6" t="s">
        <v>2061</v>
      </c>
      <c r="D75" s="8" t="s">
        <v>2005</v>
      </c>
      <c r="E75" s="8" t="s">
        <v>2065</v>
      </c>
      <c r="F75" s="43" t="s">
        <v>2066</v>
      </c>
      <c r="G75" s="43" t="s">
        <v>2064</v>
      </c>
      <c r="H75" s="57">
        <v>35353</v>
      </c>
      <c r="I75" s="57">
        <v>7153</v>
      </c>
      <c r="J75" s="57">
        <v>373</v>
      </c>
      <c r="K75" s="57">
        <v>1455</v>
      </c>
      <c r="L75" s="50">
        <v>1.7075477553035929</v>
      </c>
      <c r="M75" s="57">
        <v>1.4374457980833171</v>
      </c>
      <c r="N75" s="57">
        <v>2.0284029773714911</v>
      </c>
      <c r="O75" s="57">
        <v>1.1260746211617811E-9</v>
      </c>
      <c r="P75" s="57" t="s">
        <v>1816</v>
      </c>
    </row>
    <row r="76" spans="1:16" ht="18" customHeight="1" x14ac:dyDescent="0.15">
      <c r="A76" s="5" t="s">
        <v>2059</v>
      </c>
      <c r="B76" s="6" t="s">
        <v>2082</v>
      </c>
      <c r="C76" s="6" t="s">
        <v>2067</v>
      </c>
      <c r="D76" s="8" t="s">
        <v>2005</v>
      </c>
      <c r="E76" s="8" t="s">
        <v>2062</v>
      </c>
      <c r="F76" s="43" t="s">
        <v>2063</v>
      </c>
      <c r="G76" s="43" t="s">
        <v>2068</v>
      </c>
      <c r="H76" s="57">
        <v>35353</v>
      </c>
      <c r="I76" s="57">
        <v>8475</v>
      </c>
      <c r="J76" s="57">
        <v>313</v>
      </c>
      <c r="K76" s="57">
        <v>1455</v>
      </c>
      <c r="L76" s="50">
        <v>0.93181590109113721</v>
      </c>
      <c r="M76" s="57">
        <v>0.7685988373116317</v>
      </c>
      <c r="N76" s="57">
        <v>1.1296931915266999</v>
      </c>
      <c r="O76" s="57">
        <v>0.47226826257521098</v>
      </c>
      <c r="P76" s="57" t="s">
        <v>1816</v>
      </c>
    </row>
    <row r="77" spans="1:16" ht="18" customHeight="1" x14ac:dyDescent="0.15">
      <c r="A77" s="5" t="s">
        <v>2059</v>
      </c>
      <c r="B77" s="6" t="s">
        <v>2082</v>
      </c>
      <c r="C77" s="6" t="s">
        <v>2067</v>
      </c>
      <c r="D77" s="8" t="s">
        <v>2005</v>
      </c>
      <c r="E77" s="8" t="s">
        <v>2065</v>
      </c>
      <c r="F77" s="43" t="s">
        <v>2066</v>
      </c>
      <c r="G77" s="43" t="s">
        <v>2068</v>
      </c>
      <c r="H77" s="57">
        <v>35353</v>
      </c>
      <c r="I77" s="57">
        <v>7153</v>
      </c>
      <c r="J77" s="57">
        <v>373</v>
      </c>
      <c r="K77" s="57">
        <v>1455</v>
      </c>
      <c r="L77" s="50">
        <v>1.5193868682362051</v>
      </c>
      <c r="M77" s="57">
        <v>1.271431157558188</v>
      </c>
      <c r="N77" s="57">
        <v>1.8156991368704689</v>
      </c>
      <c r="O77" s="57">
        <v>4.1876846287737979E-6</v>
      </c>
      <c r="P77" s="57" t="s">
        <v>1816</v>
      </c>
    </row>
    <row r="78" spans="1:16" ht="18" customHeight="1" x14ac:dyDescent="0.15">
      <c r="A78" s="5" t="s">
        <v>2069</v>
      </c>
      <c r="B78" s="6" t="s">
        <v>2082</v>
      </c>
      <c r="C78" s="6" t="s">
        <v>2061</v>
      </c>
      <c r="D78" s="8" t="s">
        <v>2005</v>
      </c>
      <c r="E78" s="8" t="s">
        <v>2070</v>
      </c>
      <c r="F78" s="43" t="s">
        <v>2071</v>
      </c>
      <c r="G78" s="43" t="s">
        <v>2064</v>
      </c>
      <c r="H78" s="57">
        <v>26802</v>
      </c>
      <c r="I78" s="57">
        <v>2966</v>
      </c>
      <c r="J78" s="57">
        <v>145</v>
      </c>
      <c r="K78" s="57">
        <v>1137</v>
      </c>
      <c r="L78" s="50">
        <v>1.4580440621451869</v>
      </c>
      <c r="M78" s="57">
        <v>1.13751317342017</v>
      </c>
      <c r="N78" s="57">
        <v>1.868894828501108</v>
      </c>
      <c r="O78" s="57">
        <v>2.9084142872510999E-3</v>
      </c>
      <c r="P78" s="57" t="s">
        <v>1816</v>
      </c>
    </row>
    <row r="79" spans="1:16" ht="18" customHeight="1" x14ac:dyDescent="0.15">
      <c r="A79" s="5" t="s">
        <v>2069</v>
      </c>
      <c r="B79" s="6" t="s">
        <v>2082</v>
      </c>
      <c r="C79" s="6" t="s">
        <v>2061</v>
      </c>
      <c r="D79" s="8" t="s">
        <v>2005</v>
      </c>
      <c r="E79" s="8" t="s">
        <v>2072</v>
      </c>
      <c r="F79" s="43" t="s">
        <v>2073</v>
      </c>
      <c r="G79" s="43" t="s">
        <v>2064</v>
      </c>
      <c r="H79" s="57">
        <v>26802</v>
      </c>
      <c r="I79" s="57">
        <v>2078</v>
      </c>
      <c r="J79" s="57">
        <v>114</v>
      </c>
      <c r="K79" s="57">
        <v>1137</v>
      </c>
      <c r="L79" s="50">
        <v>1.807779354657066</v>
      </c>
      <c r="M79" s="57">
        <v>1.3864887888861961</v>
      </c>
      <c r="N79" s="57">
        <v>2.357080865940246</v>
      </c>
      <c r="O79" s="57">
        <v>1.22023771447533E-5</v>
      </c>
      <c r="P79" s="57" t="s">
        <v>1816</v>
      </c>
    </row>
    <row r="80" spans="1:16" ht="18" customHeight="1" x14ac:dyDescent="0.15">
      <c r="A80" s="5" t="s">
        <v>2069</v>
      </c>
      <c r="B80" s="6" t="s">
        <v>2082</v>
      </c>
      <c r="C80" s="6" t="s">
        <v>2061</v>
      </c>
      <c r="D80" s="8" t="s">
        <v>2005</v>
      </c>
      <c r="E80" s="8" t="s">
        <v>2074</v>
      </c>
      <c r="F80" s="43" t="s">
        <v>2075</v>
      </c>
      <c r="G80" s="43" t="s">
        <v>2064</v>
      </c>
      <c r="H80" s="57">
        <v>26802</v>
      </c>
      <c r="I80" s="57">
        <v>2033</v>
      </c>
      <c r="J80" s="57">
        <v>109</v>
      </c>
      <c r="K80" s="57">
        <v>1137</v>
      </c>
      <c r="L80" s="50">
        <v>1.879636831694222</v>
      </c>
      <c r="M80" s="57">
        <v>1.4260398885662431</v>
      </c>
      <c r="N80" s="57">
        <v>2.4775145824382561</v>
      </c>
      <c r="O80" s="57">
        <v>7.5100520993713641E-6</v>
      </c>
      <c r="P80" s="57" t="s">
        <v>1816</v>
      </c>
    </row>
    <row r="81" spans="1:16" ht="18" customHeight="1" x14ac:dyDescent="0.15">
      <c r="A81" s="5" t="s">
        <v>2069</v>
      </c>
      <c r="B81" s="6" t="s">
        <v>2082</v>
      </c>
      <c r="C81" s="6" t="s">
        <v>2067</v>
      </c>
      <c r="D81" s="8" t="s">
        <v>2005</v>
      </c>
      <c r="E81" s="8" t="s">
        <v>2070</v>
      </c>
      <c r="F81" s="43" t="s">
        <v>2071</v>
      </c>
      <c r="G81" s="43" t="s">
        <v>2068</v>
      </c>
      <c r="H81" s="57">
        <v>26802</v>
      </c>
      <c r="I81" s="57">
        <v>2966</v>
      </c>
      <c r="J81" s="57">
        <v>145</v>
      </c>
      <c r="K81" s="57">
        <v>1137</v>
      </c>
      <c r="L81" s="50">
        <v>1.3351049598771809</v>
      </c>
      <c r="M81" s="57">
        <v>1.0373079946657351</v>
      </c>
      <c r="N81" s="57">
        <v>1.7183953686417399</v>
      </c>
      <c r="O81" s="57">
        <v>2.4802738111094388E-2</v>
      </c>
      <c r="P81" s="57" t="s">
        <v>1816</v>
      </c>
    </row>
    <row r="82" spans="1:16" ht="18" customHeight="1" x14ac:dyDescent="0.15">
      <c r="A82" s="5" t="s">
        <v>2069</v>
      </c>
      <c r="B82" s="6" t="s">
        <v>2082</v>
      </c>
      <c r="C82" s="6" t="s">
        <v>2067</v>
      </c>
      <c r="D82" s="8" t="s">
        <v>2005</v>
      </c>
      <c r="E82" s="8" t="s">
        <v>2072</v>
      </c>
      <c r="F82" s="43" t="s">
        <v>2073</v>
      </c>
      <c r="G82" s="43" t="s">
        <v>2068</v>
      </c>
      <c r="H82" s="57">
        <v>26802</v>
      </c>
      <c r="I82" s="57">
        <v>2078</v>
      </c>
      <c r="J82" s="57">
        <v>114</v>
      </c>
      <c r="K82" s="57">
        <v>1137</v>
      </c>
      <c r="L82" s="50">
        <v>1.601339005350487</v>
      </c>
      <c r="M82" s="57">
        <v>1.2207172409641831</v>
      </c>
      <c r="N82" s="57">
        <v>2.100639299590366</v>
      </c>
      <c r="O82" s="57">
        <v>6.7312000099206996E-4</v>
      </c>
      <c r="P82" s="57" t="s">
        <v>1816</v>
      </c>
    </row>
    <row r="83" spans="1:16" ht="18" customHeight="1" x14ac:dyDescent="0.15">
      <c r="A83" s="63" t="s">
        <v>2069</v>
      </c>
      <c r="B83" s="64" t="s">
        <v>2082</v>
      </c>
      <c r="C83" s="64" t="s">
        <v>2067</v>
      </c>
      <c r="D83" s="65" t="s">
        <v>2005</v>
      </c>
      <c r="E83" s="65" t="s">
        <v>2074</v>
      </c>
      <c r="F83" s="66" t="s">
        <v>2075</v>
      </c>
      <c r="G83" s="66" t="s">
        <v>2068</v>
      </c>
      <c r="H83" s="70">
        <v>26802</v>
      </c>
      <c r="I83" s="70">
        <v>2033</v>
      </c>
      <c r="J83" s="70">
        <v>109</v>
      </c>
      <c r="K83" s="70">
        <v>1137</v>
      </c>
      <c r="L83" s="68">
        <v>1.613174203109911</v>
      </c>
      <c r="M83" s="70">
        <v>1.2131307071452151</v>
      </c>
      <c r="N83" s="70">
        <v>2.145136541554701</v>
      </c>
      <c r="O83" s="70">
        <v>1.00648907216586E-3</v>
      </c>
      <c r="P83" s="70" t="s">
        <v>1816</v>
      </c>
    </row>
    <row r="84" spans="1:16" ht="18" customHeight="1" x14ac:dyDescent="0.15"/>
    <row r="85" spans="1:16" ht="57" customHeight="1" x14ac:dyDescent="0.15">
      <c r="A85" s="75" t="s">
        <v>2083</v>
      </c>
      <c r="B85" s="74"/>
      <c r="C85" s="74"/>
      <c r="D85" s="74"/>
      <c r="E85" s="74"/>
      <c r="F85" s="74"/>
      <c r="G85" s="74"/>
      <c r="H85" s="81"/>
      <c r="I85" s="81"/>
    </row>
    <row r="86" spans="1:16" ht="18" customHeight="1" x14ac:dyDescent="0.15"/>
    <row r="87" spans="1:16" ht="18" customHeight="1" x14ac:dyDescent="0.15"/>
    <row r="88" spans="1:16" ht="18" customHeight="1" x14ac:dyDescent="0.15"/>
    <row r="89" spans="1:16" ht="18" customHeight="1" x14ac:dyDescent="0.15"/>
    <row r="90" spans="1:16" ht="18" customHeight="1" x14ac:dyDescent="0.15"/>
    <row r="91" spans="1:16" ht="18" customHeight="1" x14ac:dyDescent="0.15"/>
    <row r="92" spans="1:16" ht="18" customHeight="1" x14ac:dyDescent="0.15"/>
    <row r="93" spans="1:16" ht="18" customHeight="1" x14ac:dyDescent="0.15"/>
    <row r="94" spans="1:16" ht="18" customHeight="1" x14ac:dyDescent="0.15"/>
    <row r="95" spans="1:16" ht="18" customHeight="1" x14ac:dyDescent="0.15"/>
    <row r="96" spans="1:16" ht="18" customHeight="1" x14ac:dyDescent="0.15"/>
    <row r="97" ht="18" customHeight="1" x14ac:dyDescent="0.15"/>
    <row r="98" ht="18" customHeight="1" x14ac:dyDescent="0.15"/>
    <row r="99" ht="18" customHeight="1" x14ac:dyDescent="0.15"/>
    <row r="100" ht="18" customHeight="1" x14ac:dyDescent="0.15"/>
    <row r="101" ht="18" customHeight="1" x14ac:dyDescent="0.15"/>
    <row r="102" ht="18" customHeight="1" x14ac:dyDescent="0.15"/>
    <row r="103" ht="18" customHeight="1" x14ac:dyDescent="0.15"/>
    <row r="104" ht="18" customHeight="1" x14ac:dyDescent="0.15"/>
    <row r="105" ht="18" customHeight="1" x14ac:dyDescent="0.15"/>
    <row r="106" ht="18" customHeight="1" x14ac:dyDescent="0.15"/>
    <row r="107" ht="18" customHeight="1" x14ac:dyDescent="0.15"/>
    <row r="108" ht="18" customHeight="1" x14ac:dyDescent="0.15"/>
    <row r="109" ht="18" customHeight="1" x14ac:dyDescent="0.15"/>
    <row r="110" ht="18" customHeight="1" x14ac:dyDescent="0.15"/>
    <row r="111" ht="18" customHeight="1" x14ac:dyDescent="0.15"/>
    <row r="112" ht="18" customHeight="1" x14ac:dyDescent="0.15"/>
    <row r="113" ht="18" customHeight="1" x14ac:dyDescent="0.15"/>
    <row r="114" ht="18" customHeight="1" x14ac:dyDescent="0.15"/>
    <row r="115" ht="18" customHeight="1" x14ac:dyDescent="0.15"/>
    <row r="116" ht="18" customHeight="1" x14ac:dyDescent="0.15"/>
    <row r="117" ht="18" customHeight="1" x14ac:dyDescent="0.15"/>
    <row r="118" ht="18" customHeight="1" x14ac:dyDescent="0.15"/>
    <row r="119" ht="18" customHeight="1" x14ac:dyDescent="0.15"/>
    <row r="120" ht="18" customHeight="1" x14ac:dyDescent="0.15"/>
    <row r="121" ht="18" customHeight="1" x14ac:dyDescent="0.15"/>
    <row r="122" ht="18" customHeight="1" x14ac:dyDescent="0.15"/>
    <row r="123" ht="18" customHeight="1" x14ac:dyDescent="0.15"/>
    <row r="124" ht="18" customHeight="1" x14ac:dyDescent="0.15"/>
    <row r="125" ht="18" customHeight="1" x14ac:dyDescent="0.15"/>
    <row r="126" ht="18" customHeight="1" x14ac:dyDescent="0.15"/>
    <row r="127" ht="18" customHeight="1" x14ac:dyDescent="0.15"/>
    <row r="128" ht="18" customHeight="1" x14ac:dyDescent="0.15"/>
    <row r="129" ht="18" customHeight="1" x14ac:dyDescent="0.15"/>
    <row r="130" ht="18" customHeight="1" x14ac:dyDescent="0.15"/>
    <row r="131" ht="18" customHeight="1" x14ac:dyDescent="0.15"/>
    <row r="132" ht="18" customHeight="1" x14ac:dyDescent="0.15"/>
    <row r="133" ht="18" customHeight="1" x14ac:dyDescent="0.15"/>
    <row r="134" ht="18" customHeight="1" x14ac:dyDescent="0.15"/>
    <row r="135" ht="18" customHeight="1" x14ac:dyDescent="0.15"/>
    <row r="136" ht="18" customHeight="1" x14ac:dyDescent="0.15"/>
    <row r="137" ht="18" customHeight="1" x14ac:dyDescent="0.15"/>
    <row r="138" ht="18" customHeight="1" x14ac:dyDescent="0.15"/>
    <row r="139" ht="18" customHeight="1" x14ac:dyDescent="0.15"/>
    <row r="140" ht="18" customHeight="1" x14ac:dyDescent="0.15"/>
    <row r="141" ht="18" customHeight="1" x14ac:dyDescent="0.15"/>
    <row r="142" ht="18" customHeight="1" x14ac:dyDescent="0.15"/>
    <row r="143" ht="18" customHeight="1" x14ac:dyDescent="0.15"/>
    <row r="144" ht="18" customHeight="1" x14ac:dyDescent="0.15"/>
    <row r="145" ht="18" customHeight="1" x14ac:dyDescent="0.15"/>
    <row r="146" ht="18" customHeight="1" x14ac:dyDescent="0.15"/>
    <row r="147" ht="18" customHeight="1" x14ac:dyDescent="0.15"/>
    <row r="148" ht="18" customHeight="1" x14ac:dyDescent="0.15"/>
    <row r="149" ht="18" customHeight="1" x14ac:dyDescent="0.15"/>
    <row r="150" ht="18" customHeight="1" x14ac:dyDescent="0.15"/>
    <row r="151" ht="18" customHeight="1" x14ac:dyDescent="0.15"/>
    <row r="152" ht="18" customHeight="1" x14ac:dyDescent="0.15"/>
    <row r="153" ht="18" customHeight="1" x14ac:dyDescent="0.15"/>
    <row r="154" ht="18" customHeight="1" x14ac:dyDescent="0.15"/>
    <row r="155" ht="18" customHeight="1" x14ac:dyDescent="0.15"/>
    <row r="156" ht="18" customHeight="1" x14ac:dyDescent="0.15"/>
    <row r="157" ht="18" customHeight="1" x14ac:dyDescent="0.15"/>
    <row r="158" ht="18" customHeight="1" x14ac:dyDescent="0.15"/>
    <row r="159" ht="18" customHeight="1" x14ac:dyDescent="0.15"/>
    <row r="160" ht="18" customHeight="1" x14ac:dyDescent="0.15"/>
    <row r="161" ht="18" customHeight="1" x14ac:dyDescent="0.15"/>
    <row r="162" ht="18" customHeight="1" x14ac:dyDescent="0.15"/>
    <row r="163" ht="18" customHeight="1" x14ac:dyDescent="0.15"/>
    <row r="164" ht="18" customHeight="1" x14ac:dyDescent="0.15"/>
    <row r="165" ht="18" customHeight="1" x14ac:dyDescent="0.15"/>
    <row r="166" ht="18" customHeight="1" x14ac:dyDescent="0.15"/>
    <row r="167" ht="18" customHeight="1" x14ac:dyDescent="0.15"/>
    <row r="168" ht="18" customHeight="1" x14ac:dyDescent="0.15"/>
    <row r="169" ht="18" customHeight="1" x14ac:dyDescent="0.15"/>
    <row r="170" ht="18" customHeight="1" x14ac:dyDescent="0.15"/>
    <row r="171" ht="18" customHeight="1" x14ac:dyDescent="0.15"/>
    <row r="172" ht="18" customHeight="1" x14ac:dyDescent="0.15"/>
    <row r="173" ht="18" customHeight="1" x14ac:dyDescent="0.15"/>
    <row r="174" ht="18" customHeight="1" x14ac:dyDescent="0.15"/>
    <row r="175" ht="18" customHeight="1" x14ac:dyDescent="0.15"/>
    <row r="176" ht="18" customHeight="1" x14ac:dyDescent="0.15"/>
    <row r="177" ht="18" customHeight="1" x14ac:dyDescent="0.15"/>
    <row r="178" ht="18" customHeight="1" x14ac:dyDescent="0.15"/>
    <row r="179" ht="18" customHeight="1" x14ac:dyDescent="0.15"/>
    <row r="180" ht="18" customHeight="1" x14ac:dyDescent="0.15"/>
    <row r="181" ht="18" customHeight="1" x14ac:dyDescent="0.15"/>
    <row r="182" ht="18" customHeight="1" x14ac:dyDescent="0.15"/>
    <row r="183" ht="18" customHeight="1" x14ac:dyDescent="0.15"/>
    <row r="184" ht="18" customHeight="1" x14ac:dyDescent="0.15"/>
    <row r="185" ht="18" customHeight="1" x14ac:dyDescent="0.15"/>
    <row r="186" ht="18" customHeight="1" x14ac:dyDescent="0.15"/>
    <row r="187" ht="18" customHeight="1" x14ac:dyDescent="0.15"/>
    <row r="188" ht="18" customHeight="1" x14ac:dyDescent="0.15"/>
    <row r="189" ht="18" customHeight="1" x14ac:dyDescent="0.15"/>
    <row r="190" ht="18" customHeight="1" x14ac:dyDescent="0.15"/>
    <row r="191" ht="18" customHeight="1" x14ac:dyDescent="0.15"/>
    <row r="192" ht="18" customHeight="1" x14ac:dyDescent="0.15"/>
    <row r="193" ht="18" customHeight="1" x14ac:dyDescent="0.15"/>
    <row r="194" ht="18" customHeight="1" x14ac:dyDescent="0.15"/>
    <row r="195" ht="18" customHeight="1" x14ac:dyDescent="0.15"/>
    <row r="196" ht="18" customHeight="1" x14ac:dyDescent="0.15"/>
    <row r="197" ht="18" customHeight="1" x14ac:dyDescent="0.15"/>
    <row r="198" ht="18" customHeight="1" x14ac:dyDescent="0.15"/>
    <row r="199" ht="18" customHeight="1" x14ac:dyDescent="0.15"/>
    <row r="200" ht="18" customHeight="1" x14ac:dyDescent="0.15"/>
    <row r="201" ht="18" customHeight="1" x14ac:dyDescent="0.15"/>
    <row r="202" ht="18" customHeight="1" x14ac:dyDescent="0.15"/>
    <row r="203" ht="18" customHeight="1" x14ac:dyDescent="0.15"/>
    <row r="204" ht="18" customHeight="1" x14ac:dyDescent="0.15"/>
    <row r="205" ht="18" customHeight="1" x14ac:dyDescent="0.15"/>
    <row r="206" ht="18" customHeight="1" x14ac:dyDescent="0.15"/>
    <row r="207" ht="18" customHeight="1" x14ac:dyDescent="0.15"/>
    <row r="208" ht="18" customHeight="1" x14ac:dyDescent="0.15"/>
    <row r="209" ht="18" customHeight="1" x14ac:dyDescent="0.15"/>
    <row r="210" ht="18" customHeight="1" x14ac:dyDescent="0.15"/>
    <row r="211" ht="18" customHeight="1" x14ac:dyDescent="0.15"/>
    <row r="212" ht="18" customHeight="1" x14ac:dyDescent="0.15"/>
    <row r="213" ht="18" customHeight="1" x14ac:dyDescent="0.15"/>
    <row r="214" ht="18" customHeight="1" x14ac:dyDescent="0.15"/>
    <row r="215" ht="18" customHeight="1" x14ac:dyDescent="0.15"/>
    <row r="216" ht="18" customHeight="1" x14ac:dyDescent="0.15"/>
    <row r="217" ht="18" customHeight="1" x14ac:dyDescent="0.15"/>
    <row r="218" ht="18" customHeight="1" x14ac:dyDescent="0.15"/>
    <row r="219" ht="18" customHeight="1" x14ac:dyDescent="0.15"/>
    <row r="220" ht="18" customHeight="1" x14ac:dyDescent="0.15"/>
    <row r="221" ht="18" customHeight="1" x14ac:dyDescent="0.15"/>
    <row r="222" ht="18" customHeight="1" x14ac:dyDescent="0.15"/>
    <row r="223" ht="18" customHeight="1" x14ac:dyDescent="0.15"/>
    <row r="224" ht="18" customHeight="1" x14ac:dyDescent="0.15"/>
    <row r="225" ht="18" customHeight="1" x14ac:dyDescent="0.15"/>
    <row r="226" ht="18" customHeight="1" x14ac:dyDescent="0.15"/>
    <row r="227" ht="18" customHeight="1" x14ac:dyDescent="0.15"/>
    <row r="228" ht="18" customHeight="1" x14ac:dyDescent="0.15"/>
    <row r="229" ht="18" customHeight="1" x14ac:dyDescent="0.15"/>
    <row r="230" ht="18" customHeight="1" x14ac:dyDescent="0.15"/>
    <row r="231" ht="18" customHeight="1" x14ac:dyDescent="0.15"/>
    <row r="232" ht="18" customHeight="1" x14ac:dyDescent="0.15"/>
    <row r="233" ht="18" customHeight="1" x14ac:dyDescent="0.15"/>
    <row r="234" ht="18" customHeight="1" x14ac:dyDescent="0.15"/>
    <row r="235" ht="18" customHeight="1" x14ac:dyDescent="0.15"/>
    <row r="236" ht="18" customHeight="1" x14ac:dyDescent="0.15"/>
    <row r="237" ht="18" customHeight="1" x14ac:dyDescent="0.15"/>
    <row r="238" ht="18" customHeight="1" x14ac:dyDescent="0.15"/>
    <row r="239" ht="18" customHeight="1" x14ac:dyDescent="0.15"/>
    <row r="240" ht="18" customHeight="1" x14ac:dyDescent="0.15"/>
    <row r="241" ht="18" customHeight="1" x14ac:dyDescent="0.15"/>
    <row r="242" ht="18" customHeight="1" x14ac:dyDescent="0.15"/>
    <row r="243" ht="18" customHeight="1" x14ac:dyDescent="0.15"/>
    <row r="244" ht="18" customHeight="1" x14ac:dyDescent="0.15"/>
    <row r="245" ht="18" customHeight="1" x14ac:dyDescent="0.15"/>
    <row r="246" ht="18" customHeight="1" x14ac:dyDescent="0.15"/>
    <row r="247" ht="18" customHeight="1" x14ac:dyDescent="0.15"/>
    <row r="248" ht="18" customHeight="1" x14ac:dyDescent="0.15"/>
    <row r="249" ht="18" customHeight="1" x14ac:dyDescent="0.15"/>
    <row r="250" ht="18" customHeight="1" x14ac:dyDescent="0.15"/>
    <row r="251" ht="18" customHeight="1" x14ac:dyDescent="0.15"/>
    <row r="252" ht="18" customHeight="1" x14ac:dyDescent="0.15"/>
    <row r="253" ht="18" customHeight="1" x14ac:dyDescent="0.15"/>
    <row r="254" ht="18" customHeight="1" x14ac:dyDescent="0.15"/>
    <row r="255" ht="18" customHeight="1" x14ac:dyDescent="0.15"/>
    <row r="256" ht="18" customHeight="1" x14ac:dyDescent="0.15"/>
    <row r="257" ht="18" customHeight="1" x14ac:dyDescent="0.15"/>
    <row r="258" ht="18" customHeight="1" x14ac:dyDescent="0.15"/>
    <row r="259" ht="18" customHeight="1" x14ac:dyDescent="0.15"/>
    <row r="260" ht="18" customHeight="1" x14ac:dyDescent="0.15"/>
    <row r="261" ht="18" customHeight="1" x14ac:dyDescent="0.15"/>
    <row r="262" ht="18" customHeight="1" x14ac:dyDescent="0.15"/>
    <row r="263" ht="18" customHeight="1" x14ac:dyDescent="0.15"/>
    <row r="264" ht="18" customHeight="1" x14ac:dyDescent="0.15"/>
    <row r="265" ht="18" customHeight="1" x14ac:dyDescent="0.15"/>
    <row r="266" ht="18" customHeight="1" x14ac:dyDescent="0.15"/>
    <row r="267" ht="18" customHeight="1" x14ac:dyDescent="0.15"/>
    <row r="268" ht="18" customHeight="1" x14ac:dyDescent="0.15"/>
    <row r="269" ht="18" customHeight="1" x14ac:dyDescent="0.15"/>
    <row r="270" ht="18" customHeight="1" x14ac:dyDescent="0.15"/>
    <row r="271" ht="18" customHeight="1" x14ac:dyDescent="0.15"/>
    <row r="272" ht="18" customHeight="1" x14ac:dyDescent="0.15"/>
    <row r="273" ht="18" customHeight="1" x14ac:dyDescent="0.15"/>
    <row r="274" ht="18" customHeight="1" x14ac:dyDescent="0.15"/>
    <row r="275" ht="18" customHeight="1" x14ac:dyDescent="0.15"/>
    <row r="276" ht="18" customHeight="1" x14ac:dyDescent="0.15"/>
    <row r="277" ht="18" customHeight="1" x14ac:dyDescent="0.15"/>
    <row r="278" ht="18" customHeight="1" x14ac:dyDescent="0.15"/>
    <row r="279" ht="18" customHeight="1" x14ac:dyDescent="0.15"/>
    <row r="280" ht="18" customHeight="1" x14ac:dyDescent="0.15"/>
    <row r="281" ht="18" customHeight="1" x14ac:dyDescent="0.15"/>
    <row r="282" ht="18" customHeight="1" x14ac:dyDescent="0.15"/>
    <row r="283" ht="18" customHeight="1" x14ac:dyDescent="0.15"/>
    <row r="284" ht="18" customHeight="1" x14ac:dyDescent="0.15"/>
    <row r="285" ht="18" customHeight="1" x14ac:dyDescent="0.15"/>
    <row r="286" ht="18" customHeight="1" x14ac:dyDescent="0.15"/>
    <row r="287" ht="18" customHeight="1" x14ac:dyDescent="0.15"/>
    <row r="288" ht="18" customHeight="1" x14ac:dyDescent="0.15"/>
    <row r="289" ht="18" customHeight="1" x14ac:dyDescent="0.15"/>
    <row r="290" ht="18" customHeight="1" x14ac:dyDescent="0.15"/>
    <row r="291" ht="18" customHeight="1" x14ac:dyDescent="0.15"/>
    <row r="292" ht="18" customHeight="1" x14ac:dyDescent="0.15"/>
    <row r="293" ht="18" customHeight="1" x14ac:dyDescent="0.15"/>
    <row r="294" ht="18" customHeight="1" x14ac:dyDescent="0.15"/>
    <row r="295" ht="18" customHeight="1" x14ac:dyDescent="0.15"/>
    <row r="296" ht="18" customHeight="1" x14ac:dyDescent="0.15"/>
    <row r="297" ht="18" customHeight="1" x14ac:dyDescent="0.15"/>
    <row r="298" ht="18" customHeight="1" x14ac:dyDescent="0.15"/>
    <row r="299" ht="18" customHeight="1" x14ac:dyDescent="0.15"/>
    <row r="300" ht="18" customHeight="1" x14ac:dyDescent="0.15"/>
    <row r="301" ht="18" customHeight="1" x14ac:dyDescent="0.15"/>
    <row r="302" ht="18" customHeight="1" x14ac:dyDescent="0.15"/>
    <row r="303" ht="18" customHeight="1" x14ac:dyDescent="0.15"/>
    <row r="304" ht="18" customHeight="1" x14ac:dyDescent="0.15"/>
    <row r="305" ht="18" customHeight="1" x14ac:dyDescent="0.15"/>
    <row r="306" ht="18" customHeight="1" x14ac:dyDescent="0.15"/>
    <row r="307" ht="18" customHeight="1" x14ac:dyDescent="0.15"/>
    <row r="308" ht="18" customHeight="1" x14ac:dyDescent="0.15"/>
    <row r="309" ht="18" customHeight="1" x14ac:dyDescent="0.15"/>
    <row r="310" ht="18" customHeight="1" x14ac:dyDescent="0.15"/>
    <row r="311" ht="18" customHeight="1" x14ac:dyDescent="0.15"/>
    <row r="312" ht="18" customHeight="1" x14ac:dyDescent="0.15"/>
    <row r="313" ht="18" customHeight="1" x14ac:dyDescent="0.15"/>
    <row r="314" ht="18" customHeight="1" x14ac:dyDescent="0.15"/>
    <row r="315" ht="18" customHeight="1" x14ac:dyDescent="0.15"/>
    <row r="316" ht="18" customHeight="1" x14ac:dyDescent="0.15"/>
    <row r="317" ht="18" customHeight="1" x14ac:dyDescent="0.15"/>
    <row r="318" ht="18" customHeight="1" x14ac:dyDescent="0.15"/>
    <row r="319" ht="18" customHeight="1" x14ac:dyDescent="0.15"/>
    <row r="320" ht="18" customHeight="1" x14ac:dyDescent="0.15"/>
    <row r="321" ht="18" customHeight="1" x14ac:dyDescent="0.15"/>
    <row r="322" ht="18" customHeight="1" x14ac:dyDescent="0.15"/>
    <row r="323" ht="18" customHeight="1" x14ac:dyDescent="0.15"/>
    <row r="324" ht="18" customHeight="1" x14ac:dyDescent="0.15"/>
    <row r="325" ht="18" customHeight="1" x14ac:dyDescent="0.15"/>
    <row r="326" ht="18" customHeight="1" x14ac:dyDescent="0.15"/>
    <row r="327" ht="18" customHeight="1" x14ac:dyDescent="0.15"/>
    <row r="328" ht="18" customHeight="1" x14ac:dyDescent="0.15"/>
    <row r="329" ht="18" customHeight="1" x14ac:dyDescent="0.15"/>
    <row r="330" ht="18" customHeight="1" x14ac:dyDescent="0.15"/>
    <row r="331" ht="18" customHeight="1" x14ac:dyDescent="0.15"/>
    <row r="332" ht="18" customHeight="1" x14ac:dyDescent="0.15"/>
    <row r="333" ht="18" customHeight="1" x14ac:dyDescent="0.15"/>
    <row r="334" ht="18" customHeight="1" x14ac:dyDescent="0.15"/>
    <row r="335" ht="18" customHeight="1" x14ac:dyDescent="0.15"/>
    <row r="336" ht="18" customHeight="1" x14ac:dyDescent="0.15"/>
    <row r="337" ht="18" customHeight="1" x14ac:dyDescent="0.15"/>
    <row r="338" ht="18" customHeight="1" x14ac:dyDescent="0.15"/>
    <row r="339" ht="18" customHeight="1" x14ac:dyDescent="0.15"/>
    <row r="340" ht="18" customHeight="1" x14ac:dyDescent="0.15"/>
    <row r="341" ht="18" customHeight="1" x14ac:dyDescent="0.15"/>
    <row r="342" ht="18" customHeight="1" x14ac:dyDescent="0.15"/>
    <row r="343" ht="18" customHeight="1" x14ac:dyDescent="0.15"/>
    <row r="344" ht="18" customHeight="1" x14ac:dyDescent="0.15"/>
    <row r="345" ht="18" customHeight="1" x14ac:dyDescent="0.15"/>
    <row r="346" ht="18" customHeight="1" x14ac:dyDescent="0.15"/>
    <row r="347" ht="18" customHeight="1" x14ac:dyDescent="0.15"/>
    <row r="348" ht="18" customHeight="1" x14ac:dyDescent="0.15"/>
    <row r="349" ht="18" customHeight="1" x14ac:dyDescent="0.15"/>
    <row r="350" ht="18" customHeight="1" x14ac:dyDescent="0.15"/>
    <row r="351" ht="18" customHeight="1" x14ac:dyDescent="0.15"/>
    <row r="352" ht="18" customHeight="1" x14ac:dyDescent="0.15"/>
    <row r="353" ht="18" customHeight="1" x14ac:dyDescent="0.15"/>
    <row r="354" ht="18" customHeight="1" x14ac:dyDescent="0.15"/>
    <row r="355" ht="18" customHeight="1" x14ac:dyDescent="0.15"/>
    <row r="356" ht="18" customHeight="1" x14ac:dyDescent="0.15"/>
    <row r="357" ht="18" customHeight="1" x14ac:dyDescent="0.15"/>
    <row r="358" ht="18" customHeight="1" x14ac:dyDescent="0.15"/>
    <row r="359" ht="18" customHeight="1" x14ac:dyDescent="0.15"/>
    <row r="360" ht="18" customHeight="1" x14ac:dyDescent="0.15"/>
    <row r="361" ht="18" customHeight="1" x14ac:dyDescent="0.15"/>
    <row r="362" ht="18" customHeight="1" x14ac:dyDescent="0.15"/>
    <row r="363" ht="18" customHeight="1" x14ac:dyDescent="0.15"/>
    <row r="364" ht="18" customHeight="1" x14ac:dyDescent="0.15"/>
    <row r="365" ht="18" customHeight="1" x14ac:dyDescent="0.15"/>
    <row r="366" ht="18" customHeight="1" x14ac:dyDescent="0.15"/>
    <row r="367" ht="18" customHeight="1" x14ac:dyDescent="0.15"/>
    <row r="368" ht="18" customHeight="1" x14ac:dyDescent="0.15"/>
    <row r="369" ht="18" customHeight="1" x14ac:dyDescent="0.15"/>
    <row r="370" ht="18" customHeight="1" x14ac:dyDescent="0.15"/>
    <row r="371" ht="18" customHeight="1" x14ac:dyDescent="0.15"/>
    <row r="372" ht="18" customHeight="1" x14ac:dyDescent="0.15"/>
    <row r="373" ht="18" customHeight="1" x14ac:dyDescent="0.15"/>
    <row r="374" ht="18" customHeight="1" x14ac:dyDescent="0.15"/>
    <row r="375" ht="18" customHeight="1" x14ac:dyDescent="0.15"/>
    <row r="376" ht="18" customHeight="1" x14ac:dyDescent="0.15"/>
    <row r="377" ht="18" customHeight="1" x14ac:dyDescent="0.15"/>
    <row r="378" ht="18" customHeight="1" x14ac:dyDescent="0.15"/>
    <row r="379" ht="18" customHeight="1" x14ac:dyDescent="0.15"/>
    <row r="380" ht="18" customHeight="1" x14ac:dyDescent="0.15"/>
    <row r="381" ht="18" customHeight="1" x14ac:dyDescent="0.15"/>
    <row r="382" ht="18" customHeight="1" x14ac:dyDescent="0.15"/>
    <row r="383" ht="18" customHeight="1" x14ac:dyDescent="0.15"/>
    <row r="384" ht="18" customHeight="1" x14ac:dyDescent="0.15"/>
    <row r="385" ht="18" customHeight="1" x14ac:dyDescent="0.15"/>
    <row r="386" ht="18" customHeight="1" x14ac:dyDescent="0.15"/>
    <row r="387" ht="18" customHeight="1" x14ac:dyDescent="0.15"/>
    <row r="388" ht="18" customHeight="1" x14ac:dyDescent="0.15"/>
    <row r="389" ht="18" customHeight="1" x14ac:dyDescent="0.15"/>
    <row r="390" ht="18" customHeight="1" x14ac:dyDescent="0.15"/>
    <row r="391" ht="18" customHeight="1" x14ac:dyDescent="0.15"/>
    <row r="392" ht="18" customHeight="1" x14ac:dyDescent="0.15"/>
    <row r="393" ht="18" customHeight="1" x14ac:dyDescent="0.15"/>
    <row r="394" ht="18" customHeight="1" x14ac:dyDescent="0.15"/>
    <row r="395" ht="18" customHeight="1" x14ac:dyDescent="0.15"/>
    <row r="396" ht="18" customHeight="1" x14ac:dyDescent="0.15"/>
    <row r="397" ht="18" customHeight="1" x14ac:dyDescent="0.15"/>
    <row r="398" ht="18" customHeight="1" x14ac:dyDescent="0.15"/>
    <row r="399" ht="18" customHeight="1" x14ac:dyDescent="0.15"/>
    <row r="400" ht="18" customHeight="1" x14ac:dyDescent="0.15"/>
    <row r="401" ht="18" customHeight="1" x14ac:dyDescent="0.15"/>
    <row r="402" ht="18" customHeight="1" x14ac:dyDescent="0.15"/>
    <row r="403" ht="18" customHeight="1" x14ac:dyDescent="0.15"/>
    <row r="404" ht="18" customHeight="1" x14ac:dyDescent="0.15"/>
    <row r="405" ht="18" customHeight="1" x14ac:dyDescent="0.15"/>
    <row r="406" ht="18" customHeight="1" x14ac:dyDescent="0.15"/>
    <row r="407" ht="18" customHeight="1" x14ac:dyDescent="0.15"/>
    <row r="408" ht="18" customHeight="1" x14ac:dyDescent="0.15"/>
    <row r="409" ht="18" customHeight="1" x14ac:dyDescent="0.15"/>
    <row r="410" ht="18" customHeight="1" x14ac:dyDescent="0.15"/>
    <row r="411" ht="18" customHeight="1" x14ac:dyDescent="0.15"/>
    <row r="412" ht="18" customHeight="1" x14ac:dyDescent="0.15"/>
    <row r="413" ht="18" customHeight="1" x14ac:dyDescent="0.15"/>
    <row r="414" ht="18" customHeight="1" x14ac:dyDescent="0.15"/>
    <row r="415" ht="18" customHeight="1" x14ac:dyDescent="0.15"/>
    <row r="416" ht="18" customHeight="1" x14ac:dyDescent="0.15"/>
    <row r="417" ht="18" customHeight="1" x14ac:dyDescent="0.15"/>
    <row r="418" ht="18" customHeight="1" x14ac:dyDescent="0.15"/>
    <row r="419" ht="18" customHeight="1" x14ac:dyDescent="0.15"/>
    <row r="420" ht="18" customHeight="1" x14ac:dyDescent="0.15"/>
    <row r="421" ht="18" customHeight="1" x14ac:dyDescent="0.15"/>
    <row r="422" ht="18" customHeight="1" x14ac:dyDescent="0.15"/>
    <row r="423" ht="18" customHeight="1" x14ac:dyDescent="0.15"/>
    <row r="424" ht="18" customHeight="1" x14ac:dyDescent="0.15"/>
    <row r="425" ht="18" customHeight="1" x14ac:dyDescent="0.15"/>
    <row r="426" ht="18" customHeight="1" x14ac:dyDescent="0.15"/>
    <row r="427" ht="18" customHeight="1" x14ac:dyDescent="0.15"/>
    <row r="428" ht="18" customHeight="1" x14ac:dyDescent="0.15"/>
    <row r="429" ht="18" customHeight="1" x14ac:dyDescent="0.15"/>
    <row r="430" ht="18" customHeight="1" x14ac:dyDescent="0.15"/>
    <row r="431" ht="18" customHeight="1" x14ac:dyDescent="0.15"/>
    <row r="432" ht="18" customHeight="1" x14ac:dyDescent="0.15"/>
    <row r="433" ht="18" customHeight="1" x14ac:dyDescent="0.15"/>
    <row r="434" ht="18" customHeight="1" x14ac:dyDescent="0.15"/>
    <row r="435" ht="18" customHeight="1" x14ac:dyDescent="0.15"/>
    <row r="436" ht="18" customHeight="1" x14ac:dyDescent="0.15"/>
    <row r="437" ht="18" customHeight="1" x14ac:dyDescent="0.15"/>
    <row r="438" ht="18" customHeight="1" x14ac:dyDescent="0.15"/>
    <row r="439" ht="18" customHeight="1" x14ac:dyDescent="0.15"/>
    <row r="440" ht="18" customHeight="1" x14ac:dyDescent="0.15"/>
    <row r="441" ht="18" customHeight="1" x14ac:dyDescent="0.15"/>
    <row r="442" ht="18" customHeight="1" x14ac:dyDescent="0.15"/>
    <row r="443" ht="18" customHeight="1" x14ac:dyDescent="0.15"/>
    <row r="444" ht="18" customHeight="1" x14ac:dyDescent="0.15"/>
    <row r="445" ht="18" customHeight="1" x14ac:dyDescent="0.15"/>
    <row r="446" ht="18" customHeight="1" x14ac:dyDescent="0.15"/>
    <row r="447" ht="18" customHeight="1" x14ac:dyDescent="0.15"/>
    <row r="448" ht="18" customHeight="1" x14ac:dyDescent="0.15"/>
    <row r="449" ht="18" customHeight="1" x14ac:dyDescent="0.15"/>
    <row r="450" ht="18" customHeight="1" x14ac:dyDescent="0.15"/>
    <row r="451" ht="18" customHeight="1" x14ac:dyDescent="0.15"/>
    <row r="452" ht="18" customHeight="1" x14ac:dyDescent="0.15"/>
    <row r="453" ht="18" customHeight="1" x14ac:dyDescent="0.15"/>
    <row r="454" ht="18" customHeight="1" x14ac:dyDescent="0.15"/>
    <row r="455" ht="18" customHeight="1" x14ac:dyDescent="0.15"/>
    <row r="456" ht="18" customHeight="1" x14ac:dyDescent="0.15"/>
    <row r="457" ht="18" customHeight="1" x14ac:dyDescent="0.15"/>
    <row r="458" ht="18" customHeight="1" x14ac:dyDescent="0.15"/>
    <row r="459" ht="18" customHeight="1" x14ac:dyDescent="0.15"/>
    <row r="460" ht="18" customHeight="1" x14ac:dyDescent="0.15"/>
    <row r="461" ht="18" customHeight="1" x14ac:dyDescent="0.15"/>
    <row r="462" ht="18" customHeight="1" x14ac:dyDescent="0.15"/>
    <row r="463" ht="18" customHeight="1" x14ac:dyDescent="0.15"/>
    <row r="464" ht="18" customHeight="1" x14ac:dyDescent="0.15"/>
    <row r="465" ht="18" customHeight="1" x14ac:dyDescent="0.15"/>
    <row r="466" ht="18" customHeight="1" x14ac:dyDescent="0.15"/>
    <row r="467" ht="18" customHeight="1" x14ac:dyDescent="0.15"/>
    <row r="468" ht="18" customHeight="1" x14ac:dyDescent="0.15"/>
    <row r="469" ht="18" customHeight="1" x14ac:dyDescent="0.15"/>
    <row r="470" ht="18" customHeight="1" x14ac:dyDescent="0.15"/>
    <row r="471" ht="18" customHeight="1" x14ac:dyDescent="0.15"/>
    <row r="472" ht="18" customHeight="1" x14ac:dyDescent="0.15"/>
    <row r="473" ht="18" customHeight="1" x14ac:dyDescent="0.15"/>
    <row r="474" ht="18" customHeight="1" x14ac:dyDescent="0.15"/>
    <row r="475" ht="18" customHeight="1" x14ac:dyDescent="0.15"/>
    <row r="476" ht="18" customHeight="1" x14ac:dyDescent="0.15"/>
    <row r="477" ht="18" customHeight="1" x14ac:dyDescent="0.15"/>
    <row r="478" ht="18" customHeight="1" x14ac:dyDescent="0.15"/>
    <row r="479" ht="18" customHeight="1" x14ac:dyDescent="0.15"/>
    <row r="480" ht="18" customHeight="1" x14ac:dyDescent="0.15"/>
    <row r="481" ht="18" customHeight="1" x14ac:dyDescent="0.15"/>
    <row r="482" ht="18" customHeight="1" x14ac:dyDescent="0.15"/>
    <row r="483" ht="18" customHeight="1" x14ac:dyDescent="0.15"/>
    <row r="484" ht="18" customHeight="1" x14ac:dyDescent="0.15"/>
    <row r="485" ht="18" customHeight="1" x14ac:dyDescent="0.15"/>
    <row r="486" ht="18" customHeight="1" x14ac:dyDescent="0.15"/>
    <row r="487" ht="18" customHeight="1" x14ac:dyDescent="0.15"/>
    <row r="488" ht="18" customHeight="1" x14ac:dyDescent="0.15"/>
    <row r="489" ht="18" customHeight="1" x14ac:dyDescent="0.15"/>
    <row r="490" ht="18" customHeight="1" x14ac:dyDescent="0.15"/>
    <row r="491" ht="18" customHeight="1" x14ac:dyDescent="0.15"/>
    <row r="492" ht="18" customHeight="1" x14ac:dyDescent="0.15"/>
    <row r="493" ht="18" customHeight="1" x14ac:dyDescent="0.15"/>
    <row r="494" ht="18" customHeight="1" x14ac:dyDescent="0.15"/>
    <row r="495" ht="18" customHeight="1" x14ac:dyDescent="0.15"/>
    <row r="496" ht="18" customHeight="1" x14ac:dyDescent="0.15"/>
    <row r="497" ht="18" customHeight="1" x14ac:dyDescent="0.15"/>
    <row r="498" ht="18" customHeight="1" x14ac:dyDescent="0.15"/>
    <row r="499" ht="18" customHeight="1" x14ac:dyDescent="0.15"/>
    <row r="500" ht="18" customHeight="1" x14ac:dyDescent="0.15"/>
    <row r="501" ht="18" customHeight="1" x14ac:dyDescent="0.15"/>
    <row r="502" ht="18" customHeight="1" x14ac:dyDescent="0.15"/>
    <row r="503" ht="18" customHeight="1" x14ac:dyDescent="0.15"/>
    <row r="504" ht="18" customHeight="1" x14ac:dyDescent="0.15"/>
    <row r="505" ht="18" customHeight="1" x14ac:dyDescent="0.15"/>
    <row r="506" ht="18" customHeight="1" x14ac:dyDescent="0.15"/>
    <row r="507" ht="18" customHeight="1" x14ac:dyDescent="0.15"/>
    <row r="508" ht="18" customHeight="1" x14ac:dyDescent="0.15"/>
    <row r="509" ht="18" customHeight="1" x14ac:dyDescent="0.15"/>
    <row r="510" ht="18" customHeight="1" x14ac:dyDescent="0.15"/>
    <row r="511" ht="18" customHeight="1" x14ac:dyDescent="0.15"/>
    <row r="512" ht="18" customHeight="1" x14ac:dyDescent="0.15"/>
    <row r="513" ht="18" customHeight="1" x14ac:dyDescent="0.15"/>
    <row r="514" ht="18" customHeight="1" x14ac:dyDescent="0.15"/>
    <row r="515" ht="18" customHeight="1" x14ac:dyDescent="0.15"/>
    <row r="516" ht="18" customHeight="1" x14ac:dyDescent="0.15"/>
    <row r="517" ht="18" customHeight="1" x14ac:dyDescent="0.15"/>
    <row r="518" ht="18" customHeight="1" x14ac:dyDescent="0.15"/>
    <row r="519" ht="18" customHeight="1" x14ac:dyDescent="0.15"/>
    <row r="520" ht="18" customHeight="1" x14ac:dyDescent="0.15"/>
    <row r="521" ht="18" customHeight="1" x14ac:dyDescent="0.15"/>
    <row r="522" ht="18" customHeight="1" x14ac:dyDescent="0.15"/>
    <row r="523" ht="18" customHeight="1" x14ac:dyDescent="0.15"/>
    <row r="524" ht="18" customHeight="1" x14ac:dyDescent="0.15"/>
    <row r="525" ht="18" customHeight="1" x14ac:dyDescent="0.15"/>
    <row r="526" ht="18" customHeight="1" x14ac:dyDescent="0.15"/>
    <row r="527" ht="18" customHeight="1" x14ac:dyDescent="0.15"/>
    <row r="528" ht="18" customHeight="1" x14ac:dyDescent="0.15"/>
    <row r="529" ht="18" customHeight="1" x14ac:dyDescent="0.15"/>
    <row r="530" ht="18" customHeight="1" x14ac:dyDescent="0.15"/>
    <row r="531" ht="18" customHeight="1" x14ac:dyDescent="0.15"/>
    <row r="532" ht="18" customHeight="1" x14ac:dyDescent="0.15"/>
    <row r="533" ht="18" customHeight="1" x14ac:dyDescent="0.15"/>
    <row r="534" ht="18" customHeight="1" x14ac:dyDescent="0.15"/>
    <row r="535" ht="18" customHeight="1" x14ac:dyDescent="0.15"/>
    <row r="536" ht="18" customHeight="1" x14ac:dyDescent="0.15"/>
    <row r="537" ht="18" customHeight="1" x14ac:dyDescent="0.15"/>
    <row r="538" ht="18" customHeight="1" x14ac:dyDescent="0.15"/>
    <row r="539" ht="18" customHeight="1" x14ac:dyDescent="0.15"/>
    <row r="540" ht="18" customHeight="1" x14ac:dyDescent="0.15"/>
    <row r="541" ht="18" customHeight="1" x14ac:dyDescent="0.15"/>
    <row r="542" ht="18" customHeight="1" x14ac:dyDescent="0.15"/>
    <row r="543" ht="18" customHeight="1" x14ac:dyDescent="0.15"/>
    <row r="544" ht="18" customHeight="1" x14ac:dyDescent="0.15"/>
    <row r="545" ht="18" customHeight="1" x14ac:dyDescent="0.15"/>
    <row r="546" ht="18" customHeight="1" x14ac:dyDescent="0.15"/>
    <row r="547" ht="18" customHeight="1" x14ac:dyDescent="0.15"/>
    <row r="548" ht="18" customHeight="1" x14ac:dyDescent="0.15"/>
    <row r="549" ht="18" customHeight="1" x14ac:dyDescent="0.15"/>
    <row r="550" ht="18" customHeight="1" x14ac:dyDescent="0.15"/>
    <row r="551" ht="18" customHeight="1" x14ac:dyDescent="0.15"/>
    <row r="552" ht="53.25" customHeight="1" x14ac:dyDescent="0.15"/>
  </sheetData>
  <mergeCells count="2">
    <mergeCell ref="A85:I85"/>
    <mergeCell ref="A1:P1"/>
  </mergeCells>
  <phoneticPr fontId="5"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552"/>
  <sheetViews>
    <sheetView topLeftCell="A22" workbookViewId="0">
      <selection activeCell="I25" sqref="I25"/>
    </sheetView>
  </sheetViews>
  <sheetFormatPr defaultRowHeight="13.5" x14ac:dyDescent="0.15"/>
  <cols>
    <col min="1" max="1" width="15" customWidth="1"/>
    <col min="2" max="2" width="11.5" customWidth="1"/>
    <col min="3" max="3" width="9.875" customWidth="1"/>
    <col min="4" max="4" width="12" customWidth="1"/>
    <col min="5" max="5" width="27.5" customWidth="1"/>
    <col min="6" max="6" width="10" customWidth="1"/>
    <col min="7" max="7" width="9.375" customWidth="1"/>
    <col min="8" max="8" width="9" style="61" customWidth="1"/>
    <col min="9" max="9" width="11.125" style="61" customWidth="1"/>
    <col min="10" max="10" width="14.75" style="61" customWidth="1"/>
    <col min="11" max="11" width="10.5" style="61" customWidth="1"/>
    <col min="12" max="12" width="11" style="61" customWidth="1"/>
    <col min="13" max="13" width="9" customWidth="1"/>
  </cols>
  <sheetData>
    <row r="1" spans="1:12" ht="18" customHeight="1" x14ac:dyDescent="0.15">
      <c r="A1" s="76" t="s">
        <v>2084</v>
      </c>
      <c r="B1" s="74"/>
      <c r="C1" s="74"/>
      <c r="D1" s="74"/>
      <c r="E1" s="74"/>
      <c r="F1" s="74"/>
      <c r="G1" s="74"/>
      <c r="H1" s="81"/>
      <c r="I1" s="81"/>
      <c r="J1" s="81"/>
      <c r="K1" s="81"/>
      <c r="L1" s="81"/>
    </row>
    <row r="2" spans="1:12" ht="18" customHeight="1" x14ac:dyDescent="0.15"/>
    <row r="3" spans="1:12" ht="18" customHeight="1" x14ac:dyDescent="0.15">
      <c r="A3" s="22" t="s">
        <v>1983</v>
      </c>
      <c r="B3" s="20" t="s">
        <v>2085</v>
      </c>
      <c r="C3" s="20" t="s">
        <v>2054</v>
      </c>
      <c r="D3" s="20" t="s">
        <v>2053</v>
      </c>
      <c r="E3" s="20" t="s">
        <v>2055</v>
      </c>
      <c r="F3" s="20" t="s">
        <v>1989</v>
      </c>
      <c r="G3" s="20" t="s">
        <v>1990</v>
      </c>
      <c r="H3" s="62" t="s">
        <v>1991</v>
      </c>
      <c r="I3" s="62" t="s">
        <v>1992</v>
      </c>
      <c r="J3" s="62" t="s">
        <v>1004</v>
      </c>
      <c r="K3" s="62" t="s">
        <v>2086</v>
      </c>
      <c r="L3" s="62" t="s">
        <v>2087</v>
      </c>
    </row>
    <row r="4" spans="1:12" ht="18" customHeight="1" x14ac:dyDescent="0.15">
      <c r="A4" s="5" t="s">
        <v>2088</v>
      </c>
      <c r="B4" s="6" t="s">
        <v>2089</v>
      </c>
      <c r="C4" s="6" t="s">
        <v>2061</v>
      </c>
      <c r="D4" s="8" t="s">
        <v>2090</v>
      </c>
      <c r="E4" s="8" t="s">
        <v>2091</v>
      </c>
      <c r="F4" s="43">
        <v>1.21766924596727</v>
      </c>
      <c r="G4" s="43">
        <v>0.90446512424145376</v>
      </c>
      <c r="H4" s="57">
        <v>1.6393317473882789</v>
      </c>
      <c r="I4" s="57">
        <v>0.194250269784078</v>
      </c>
      <c r="J4" s="57">
        <v>5831</v>
      </c>
      <c r="K4" s="57">
        <v>2601</v>
      </c>
      <c r="L4" s="57">
        <v>276</v>
      </c>
    </row>
    <row r="5" spans="1:12" ht="18" customHeight="1" x14ac:dyDescent="0.15">
      <c r="A5" s="5" t="s">
        <v>2088</v>
      </c>
      <c r="B5" s="6" t="s">
        <v>2089</v>
      </c>
      <c r="C5" s="6" t="s">
        <v>2061</v>
      </c>
      <c r="D5" s="8" t="s">
        <v>2092</v>
      </c>
      <c r="E5" s="8" t="s">
        <v>2091</v>
      </c>
      <c r="F5" s="43">
        <v>1.0768970848619659</v>
      </c>
      <c r="G5" s="43">
        <v>0.77640097181938184</v>
      </c>
      <c r="H5" s="57">
        <v>1.4936963933295919</v>
      </c>
      <c r="I5" s="57">
        <v>0.65717923310904069</v>
      </c>
      <c r="J5" s="57">
        <v>5839</v>
      </c>
      <c r="K5" s="57">
        <v>2576</v>
      </c>
      <c r="L5" s="57">
        <v>246</v>
      </c>
    </row>
    <row r="6" spans="1:12" ht="18" customHeight="1" x14ac:dyDescent="0.15">
      <c r="A6" s="5" t="s">
        <v>2088</v>
      </c>
      <c r="B6" s="6" t="s">
        <v>2089</v>
      </c>
      <c r="C6" s="6" t="s">
        <v>2061</v>
      </c>
      <c r="D6" s="8" t="s">
        <v>2093</v>
      </c>
      <c r="E6" s="8" t="s">
        <v>2091</v>
      </c>
      <c r="F6" s="43">
        <v>1.237778929251268</v>
      </c>
      <c r="G6" s="43">
        <v>0.91112602491252248</v>
      </c>
      <c r="H6" s="57">
        <v>1.681541999467651</v>
      </c>
      <c r="I6" s="57">
        <v>0.172385630698074</v>
      </c>
      <c r="J6" s="57">
        <v>5980</v>
      </c>
      <c r="K6" s="57">
        <v>2573</v>
      </c>
      <c r="L6" s="57">
        <v>277</v>
      </c>
    </row>
    <row r="7" spans="1:12" ht="18" customHeight="1" x14ac:dyDescent="0.15">
      <c r="A7" s="5" t="s">
        <v>2088</v>
      </c>
      <c r="B7" s="6" t="s">
        <v>2089</v>
      </c>
      <c r="C7" s="6" t="s">
        <v>2061</v>
      </c>
      <c r="D7" s="8" t="s">
        <v>2094</v>
      </c>
      <c r="E7" s="8" t="s">
        <v>2091</v>
      </c>
      <c r="F7" s="43">
        <v>1.51994289779305</v>
      </c>
      <c r="G7" s="43">
        <v>1.1240304582653871</v>
      </c>
      <c r="H7" s="57">
        <v>2.055305882117016</v>
      </c>
      <c r="I7" s="57">
        <v>6.540087353393286E-3</v>
      </c>
      <c r="J7" s="57">
        <v>5925</v>
      </c>
      <c r="K7" s="57">
        <v>2835</v>
      </c>
      <c r="L7" s="57">
        <v>288</v>
      </c>
    </row>
    <row r="8" spans="1:12" ht="18" customHeight="1" x14ac:dyDescent="0.15">
      <c r="A8" s="5" t="s">
        <v>2088</v>
      </c>
      <c r="B8" s="6" t="s">
        <v>2089</v>
      </c>
      <c r="C8" s="6" t="s">
        <v>2061</v>
      </c>
      <c r="D8" s="8" t="s">
        <v>2095</v>
      </c>
      <c r="E8" s="8" t="s">
        <v>2091</v>
      </c>
      <c r="F8" s="43">
        <v>1.268301629982628</v>
      </c>
      <c r="G8" s="43">
        <v>1.087461246469227</v>
      </c>
      <c r="H8" s="57">
        <v>1.4792150339511989</v>
      </c>
      <c r="I8" s="57">
        <v>2.459885236749735E-3</v>
      </c>
      <c r="J8" s="57">
        <v>23575</v>
      </c>
      <c r="K8" s="57">
        <v>10585</v>
      </c>
      <c r="L8" s="57">
        <v>1087</v>
      </c>
    </row>
    <row r="9" spans="1:12" ht="18" customHeight="1" x14ac:dyDescent="0.15">
      <c r="A9" s="5" t="s">
        <v>2088</v>
      </c>
      <c r="B9" s="6" t="s">
        <v>2089</v>
      </c>
      <c r="C9" s="6" t="s">
        <v>2067</v>
      </c>
      <c r="D9" s="8" t="s">
        <v>2090</v>
      </c>
      <c r="E9" s="8" t="s">
        <v>2096</v>
      </c>
      <c r="F9" s="43">
        <v>1.1673460869365699</v>
      </c>
      <c r="G9" s="43">
        <v>0.86115556306172591</v>
      </c>
      <c r="H9" s="57">
        <v>1.582405020808588</v>
      </c>
      <c r="I9" s="57">
        <v>0.3188115684248175</v>
      </c>
      <c r="J9" s="57">
        <v>5831</v>
      </c>
      <c r="K9" s="57">
        <v>2601</v>
      </c>
      <c r="L9" s="57">
        <v>276</v>
      </c>
    </row>
    <row r="10" spans="1:12" ht="18" customHeight="1" x14ac:dyDescent="0.15">
      <c r="A10" s="5" t="s">
        <v>2088</v>
      </c>
      <c r="B10" s="6" t="s">
        <v>2089</v>
      </c>
      <c r="C10" s="6" t="s">
        <v>2067</v>
      </c>
      <c r="D10" s="8" t="s">
        <v>2092</v>
      </c>
      <c r="E10" s="8" t="s">
        <v>2096</v>
      </c>
      <c r="F10" s="43">
        <v>1.0886826980327811</v>
      </c>
      <c r="G10" s="43">
        <v>0.77651899319049933</v>
      </c>
      <c r="H10" s="57">
        <v>1.5263374462048329</v>
      </c>
      <c r="I10" s="57">
        <v>0.62211906989851662</v>
      </c>
      <c r="J10" s="57">
        <v>5839</v>
      </c>
      <c r="K10" s="57">
        <v>2576</v>
      </c>
      <c r="L10" s="57">
        <v>246</v>
      </c>
    </row>
    <row r="11" spans="1:12" ht="18" customHeight="1" x14ac:dyDescent="0.15">
      <c r="A11" s="5" t="s">
        <v>2088</v>
      </c>
      <c r="B11" s="6" t="s">
        <v>2089</v>
      </c>
      <c r="C11" s="6" t="s">
        <v>2067</v>
      </c>
      <c r="D11" s="8" t="s">
        <v>2093</v>
      </c>
      <c r="E11" s="8" t="s">
        <v>2096</v>
      </c>
      <c r="F11" s="43">
        <v>1.264513845402899</v>
      </c>
      <c r="G11" s="43">
        <v>0.92469589120221596</v>
      </c>
      <c r="H11" s="57">
        <v>1.7292120365504591</v>
      </c>
      <c r="I11" s="57">
        <v>0.14164683197571459</v>
      </c>
      <c r="J11" s="57">
        <v>5980</v>
      </c>
      <c r="K11" s="57">
        <v>2573</v>
      </c>
      <c r="L11" s="57">
        <v>277</v>
      </c>
    </row>
    <row r="12" spans="1:12" ht="18" customHeight="1" x14ac:dyDescent="0.15">
      <c r="A12" s="5" t="s">
        <v>2088</v>
      </c>
      <c r="B12" s="6" t="s">
        <v>2089</v>
      </c>
      <c r="C12" s="6" t="s">
        <v>2067</v>
      </c>
      <c r="D12" s="8" t="s">
        <v>2094</v>
      </c>
      <c r="E12" s="8" t="s">
        <v>2096</v>
      </c>
      <c r="F12" s="43">
        <v>1.5149400102395261</v>
      </c>
      <c r="G12" s="43">
        <v>1.113236291793178</v>
      </c>
      <c r="H12" s="57">
        <v>2.06159577400026</v>
      </c>
      <c r="I12" s="57">
        <v>8.2331512791706772E-3</v>
      </c>
      <c r="J12" s="57">
        <v>5925</v>
      </c>
      <c r="K12" s="57">
        <v>2835</v>
      </c>
      <c r="L12" s="57">
        <v>288</v>
      </c>
    </row>
    <row r="13" spans="1:12" ht="18" customHeight="1" x14ac:dyDescent="0.15">
      <c r="A13" s="5" t="s">
        <v>2088</v>
      </c>
      <c r="B13" s="6" t="s">
        <v>2089</v>
      </c>
      <c r="C13" s="6" t="s">
        <v>2067</v>
      </c>
      <c r="D13" s="8" t="s">
        <v>2095</v>
      </c>
      <c r="E13" s="8" t="s">
        <v>2096</v>
      </c>
      <c r="F13" s="43">
        <v>1.2653468076975649</v>
      </c>
      <c r="G13" s="43">
        <v>1.0807731137733469</v>
      </c>
      <c r="H13" s="57">
        <v>1.481441870958859</v>
      </c>
      <c r="I13" s="57">
        <v>3.4384911295795599E-3</v>
      </c>
      <c r="J13" s="57">
        <v>23575</v>
      </c>
      <c r="K13" s="57">
        <v>10585</v>
      </c>
      <c r="L13" s="57">
        <v>1087</v>
      </c>
    </row>
    <row r="14" spans="1:12" ht="18" customHeight="1" x14ac:dyDescent="0.15">
      <c r="A14" s="5" t="s">
        <v>2097</v>
      </c>
      <c r="B14" s="6" t="s">
        <v>2065</v>
      </c>
      <c r="C14" s="6" t="s">
        <v>2061</v>
      </c>
      <c r="D14" s="8" t="s">
        <v>2090</v>
      </c>
      <c r="E14" s="8" t="s">
        <v>2091</v>
      </c>
      <c r="F14" s="43">
        <v>0.60007007228188314</v>
      </c>
      <c r="G14" s="43">
        <v>0.47589317740074621</v>
      </c>
      <c r="H14" s="57">
        <v>0.75664898920196189</v>
      </c>
      <c r="I14" s="57">
        <v>1.5797446930448852E-5</v>
      </c>
      <c r="J14" s="57">
        <v>5802</v>
      </c>
      <c r="K14" s="57">
        <v>2581</v>
      </c>
      <c r="L14" s="57">
        <v>2282</v>
      </c>
    </row>
    <row r="15" spans="1:12" ht="18" customHeight="1" x14ac:dyDescent="0.15">
      <c r="A15" s="5" t="s">
        <v>2097</v>
      </c>
      <c r="B15" s="6" t="s">
        <v>2062</v>
      </c>
      <c r="C15" s="6" t="s">
        <v>2061</v>
      </c>
      <c r="D15" s="8" t="s">
        <v>2090</v>
      </c>
      <c r="E15" s="8" t="s">
        <v>2091</v>
      </c>
      <c r="F15" s="43">
        <v>0.85097447539872995</v>
      </c>
      <c r="G15" s="43">
        <v>0.68410041782812536</v>
      </c>
      <c r="H15" s="57">
        <v>1.0585544737411381</v>
      </c>
      <c r="I15" s="57">
        <v>0.14733557041423601</v>
      </c>
      <c r="J15" s="57">
        <v>5802</v>
      </c>
      <c r="K15" s="57">
        <v>2581</v>
      </c>
      <c r="L15" s="57">
        <v>2282</v>
      </c>
    </row>
    <row r="16" spans="1:12" ht="18" customHeight="1" x14ac:dyDescent="0.15">
      <c r="A16" s="5" t="s">
        <v>2097</v>
      </c>
      <c r="B16" s="6" t="s">
        <v>2065</v>
      </c>
      <c r="C16" s="6" t="s">
        <v>2061</v>
      </c>
      <c r="D16" s="8" t="s">
        <v>2092</v>
      </c>
      <c r="E16" s="8" t="s">
        <v>2091</v>
      </c>
      <c r="F16" s="43">
        <v>0.68002498929420963</v>
      </c>
      <c r="G16" s="43">
        <v>0.5404506851742058</v>
      </c>
      <c r="H16" s="57">
        <v>0.85564511018342337</v>
      </c>
      <c r="I16" s="57">
        <v>1.001664540160687E-3</v>
      </c>
      <c r="J16" s="57">
        <v>5827</v>
      </c>
      <c r="K16" s="57">
        <v>2572</v>
      </c>
      <c r="L16" s="57">
        <v>2292</v>
      </c>
    </row>
    <row r="17" spans="1:12" ht="18" customHeight="1" x14ac:dyDescent="0.15">
      <c r="A17" s="5" t="s">
        <v>2097</v>
      </c>
      <c r="B17" s="6" t="s">
        <v>2062</v>
      </c>
      <c r="C17" s="6" t="s">
        <v>2061</v>
      </c>
      <c r="D17" s="8" t="s">
        <v>2092</v>
      </c>
      <c r="E17" s="8" t="s">
        <v>2091</v>
      </c>
      <c r="F17" s="43">
        <v>0.9341815940468583</v>
      </c>
      <c r="G17" s="43">
        <v>0.75656926284860415</v>
      </c>
      <c r="H17" s="57">
        <v>1.153490226882985</v>
      </c>
      <c r="I17" s="57">
        <v>0.52686356266935808</v>
      </c>
      <c r="J17" s="57">
        <v>5827</v>
      </c>
      <c r="K17" s="57">
        <v>2572</v>
      </c>
      <c r="L17" s="57">
        <v>2292</v>
      </c>
    </row>
    <row r="18" spans="1:12" ht="18" customHeight="1" x14ac:dyDescent="0.15">
      <c r="A18" s="5" t="s">
        <v>2097</v>
      </c>
      <c r="B18" s="6" t="s">
        <v>2065</v>
      </c>
      <c r="C18" s="6" t="s">
        <v>2061</v>
      </c>
      <c r="D18" s="8" t="s">
        <v>2093</v>
      </c>
      <c r="E18" s="8" t="s">
        <v>2091</v>
      </c>
      <c r="F18" s="43">
        <v>0.63161512007915854</v>
      </c>
      <c r="G18" s="43">
        <v>0.50234856182136489</v>
      </c>
      <c r="H18" s="57">
        <v>0.79414512199692955</v>
      </c>
      <c r="I18" s="57">
        <v>8.3964477004333545E-5</v>
      </c>
      <c r="J18" s="57">
        <v>5967</v>
      </c>
      <c r="K18" s="57">
        <v>2563</v>
      </c>
      <c r="L18" s="57">
        <v>2392</v>
      </c>
    </row>
    <row r="19" spans="1:12" ht="18" customHeight="1" x14ac:dyDescent="0.15">
      <c r="A19" s="5" t="s">
        <v>2097</v>
      </c>
      <c r="B19" s="6" t="s">
        <v>2062</v>
      </c>
      <c r="C19" s="6" t="s">
        <v>2061</v>
      </c>
      <c r="D19" s="8" t="s">
        <v>2093</v>
      </c>
      <c r="E19" s="8" t="s">
        <v>2091</v>
      </c>
      <c r="F19" s="43">
        <v>0.95448438197410956</v>
      </c>
      <c r="G19" s="43">
        <v>0.77635973104243849</v>
      </c>
      <c r="H19" s="57">
        <v>1.173477189767713</v>
      </c>
      <c r="I19" s="57">
        <v>0.65846987443402261</v>
      </c>
      <c r="J19" s="57">
        <v>5967</v>
      </c>
      <c r="K19" s="57">
        <v>2563</v>
      </c>
      <c r="L19" s="57">
        <v>2392</v>
      </c>
    </row>
    <row r="20" spans="1:12" ht="18" customHeight="1" x14ac:dyDescent="0.15">
      <c r="A20" s="5" t="s">
        <v>2097</v>
      </c>
      <c r="B20" s="6" t="s">
        <v>2065</v>
      </c>
      <c r="C20" s="6" t="s">
        <v>2061</v>
      </c>
      <c r="D20" s="8" t="s">
        <v>2094</v>
      </c>
      <c r="E20" s="8" t="s">
        <v>2091</v>
      </c>
      <c r="F20" s="43">
        <v>0.6148619607667769</v>
      </c>
      <c r="G20" s="43">
        <v>0.49567926650169908</v>
      </c>
      <c r="H20" s="57">
        <v>0.76270131987993828</v>
      </c>
      <c r="I20" s="57">
        <v>9.6870056623885494E-6</v>
      </c>
      <c r="J20" s="57">
        <v>5914</v>
      </c>
      <c r="K20" s="57">
        <v>2827</v>
      </c>
      <c r="L20" s="57">
        <v>2384</v>
      </c>
    </row>
    <row r="21" spans="1:12" ht="18" customHeight="1" x14ac:dyDescent="0.15">
      <c r="A21" s="5" t="s">
        <v>2097</v>
      </c>
      <c r="B21" s="6" t="s">
        <v>2062</v>
      </c>
      <c r="C21" s="6" t="s">
        <v>2061</v>
      </c>
      <c r="D21" s="8" t="s">
        <v>2094</v>
      </c>
      <c r="E21" s="8" t="s">
        <v>2091</v>
      </c>
      <c r="F21" s="43">
        <v>0.93371726187802417</v>
      </c>
      <c r="G21" s="43">
        <v>0.7664382639337366</v>
      </c>
      <c r="H21" s="57">
        <v>1.1375057407159539</v>
      </c>
      <c r="I21" s="57">
        <v>0.49595233046400178</v>
      </c>
      <c r="J21" s="57">
        <v>5914</v>
      </c>
      <c r="K21" s="57">
        <v>2827</v>
      </c>
      <c r="L21" s="57">
        <v>2384</v>
      </c>
    </row>
    <row r="22" spans="1:12" ht="18" customHeight="1" x14ac:dyDescent="0.15">
      <c r="A22" s="5" t="s">
        <v>2097</v>
      </c>
      <c r="B22" s="6" t="s">
        <v>2065</v>
      </c>
      <c r="C22" s="6" t="s">
        <v>2061</v>
      </c>
      <c r="D22" s="8" t="s">
        <v>2095</v>
      </c>
      <c r="E22" s="8" t="s">
        <v>2091</v>
      </c>
      <c r="F22" s="43">
        <v>0.62955296747777012</v>
      </c>
      <c r="G22" s="43">
        <v>0.56223636440827707</v>
      </c>
      <c r="H22" s="57">
        <v>0.70492939260019072</v>
      </c>
      <c r="I22" s="57">
        <v>1.0573666794022259E-15</v>
      </c>
      <c r="J22" s="57">
        <v>23510</v>
      </c>
      <c r="K22" s="57">
        <v>10543</v>
      </c>
      <c r="L22" s="57">
        <v>9350</v>
      </c>
    </row>
    <row r="23" spans="1:12" ht="18" customHeight="1" x14ac:dyDescent="0.15">
      <c r="A23" s="5" t="s">
        <v>2097</v>
      </c>
      <c r="B23" s="6" t="s">
        <v>2062</v>
      </c>
      <c r="C23" s="6" t="s">
        <v>2061</v>
      </c>
      <c r="D23" s="8" t="s">
        <v>2095</v>
      </c>
      <c r="E23" s="8" t="s">
        <v>2091</v>
      </c>
      <c r="F23" s="43">
        <v>0.91892859093020507</v>
      </c>
      <c r="G23" s="43">
        <v>0.82822782694088148</v>
      </c>
      <c r="H23" s="57">
        <v>1.019562163647572</v>
      </c>
      <c r="I23" s="57">
        <v>0.110806578448121</v>
      </c>
      <c r="J23" s="57">
        <v>23510</v>
      </c>
      <c r="K23" s="57">
        <v>10543</v>
      </c>
      <c r="L23" s="57">
        <v>9350</v>
      </c>
    </row>
    <row r="24" spans="1:12" ht="18" customHeight="1" x14ac:dyDescent="0.15">
      <c r="A24" s="5" t="s">
        <v>2097</v>
      </c>
      <c r="B24" s="6" t="s">
        <v>2065</v>
      </c>
      <c r="C24" s="6" t="s">
        <v>2067</v>
      </c>
      <c r="D24" s="8" t="s">
        <v>2090</v>
      </c>
      <c r="E24" s="8" t="s">
        <v>2096</v>
      </c>
      <c r="F24" s="43">
        <v>0.58181266750558902</v>
      </c>
      <c r="G24" s="43">
        <v>0.4591419468935527</v>
      </c>
      <c r="H24" s="57">
        <v>0.73725779654902279</v>
      </c>
      <c r="I24" s="57">
        <v>7.3594823559458589E-6</v>
      </c>
      <c r="J24" s="57">
        <v>5802</v>
      </c>
      <c r="K24" s="57">
        <v>2581</v>
      </c>
      <c r="L24" s="57">
        <v>2282</v>
      </c>
    </row>
    <row r="25" spans="1:12" ht="18" customHeight="1" x14ac:dyDescent="0.15">
      <c r="A25" s="5" t="s">
        <v>2097</v>
      </c>
      <c r="B25" s="6" t="s">
        <v>2062</v>
      </c>
      <c r="C25" s="6" t="s">
        <v>2067</v>
      </c>
      <c r="D25" s="8" t="s">
        <v>2090</v>
      </c>
      <c r="E25" s="8" t="s">
        <v>2096</v>
      </c>
      <c r="F25" s="43">
        <v>0.84022726543920778</v>
      </c>
      <c r="G25" s="43">
        <v>0.67476605496421738</v>
      </c>
      <c r="H25" s="57">
        <v>1.046261667126819</v>
      </c>
      <c r="I25" s="57">
        <v>0.1197564021401382</v>
      </c>
      <c r="J25" s="57">
        <v>5802</v>
      </c>
      <c r="K25" s="57">
        <v>2581</v>
      </c>
      <c r="L25" s="57">
        <v>2282</v>
      </c>
    </row>
    <row r="26" spans="1:12" ht="18" customHeight="1" x14ac:dyDescent="0.15">
      <c r="A26" s="5" t="s">
        <v>2097</v>
      </c>
      <c r="B26" s="6" t="s">
        <v>2065</v>
      </c>
      <c r="C26" s="6" t="s">
        <v>2067</v>
      </c>
      <c r="D26" s="8" t="s">
        <v>2092</v>
      </c>
      <c r="E26" s="8" t="s">
        <v>2096</v>
      </c>
      <c r="F26" s="43">
        <v>0.69628648468335907</v>
      </c>
      <c r="G26" s="43">
        <v>0.55167480650167144</v>
      </c>
      <c r="H26" s="57">
        <v>0.8788055264423984</v>
      </c>
      <c r="I26" s="57">
        <v>2.3065478516219309E-3</v>
      </c>
      <c r="J26" s="57">
        <v>5827</v>
      </c>
      <c r="K26" s="57">
        <v>2572</v>
      </c>
      <c r="L26" s="57">
        <v>2292</v>
      </c>
    </row>
    <row r="27" spans="1:12" ht="18" customHeight="1" x14ac:dyDescent="0.15">
      <c r="A27" s="5" t="s">
        <v>2097</v>
      </c>
      <c r="B27" s="6" t="s">
        <v>2062</v>
      </c>
      <c r="C27" s="6" t="s">
        <v>2067</v>
      </c>
      <c r="D27" s="8" t="s">
        <v>2092</v>
      </c>
      <c r="E27" s="8" t="s">
        <v>2096</v>
      </c>
      <c r="F27" s="43">
        <v>0.96276155550117803</v>
      </c>
      <c r="G27" s="43">
        <v>0.77954465834063646</v>
      </c>
      <c r="H27" s="57">
        <v>1.1890400413032109</v>
      </c>
      <c r="I27" s="57">
        <v>0.72457559437201113</v>
      </c>
      <c r="J27" s="57">
        <v>5827</v>
      </c>
      <c r="K27" s="57">
        <v>2572</v>
      </c>
      <c r="L27" s="57">
        <v>2292</v>
      </c>
    </row>
    <row r="28" spans="1:12" ht="18" customHeight="1" x14ac:dyDescent="0.15">
      <c r="A28" s="5" t="s">
        <v>2097</v>
      </c>
      <c r="B28" s="6" t="s">
        <v>2065</v>
      </c>
      <c r="C28" s="6" t="s">
        <v>2067</v>
      </c>
      <c r="D28" s="8" t="s">
        <v>2093</v>
      </c>
      <c r="E28" s="8" t="s">
        <v>2096</v>
      </c>
      <c r="F28" s="43">
        <v>0.63202391613648434</v>
      </c>
      <c r="G28" s="43">
        <v>0.50097368273925158</v>
      </c>
      <c r="H28" s="57">
        <v>0.79735571813740758</v>
      </c>
      <c r="I28" s="57">
        <v>1.088346688644078E-4</v>
      </c>
      <c r="J28" s="57">
        <v>5967</v>
      </c>
      <c r="K28" s="57">
        <v>2563</v>
      </c>
      <c r="L28" s="57">
        <v>2392</v>
      </c>
    </row>
    <row r="29" spans="1:12" ht="18" customHeight="1" x14ac:dyDescent="0.15">
      <c r="A29" s="5" t="s">
        <v>2097</v>
      </c>
      <c r="B29" s="6" t="s">
        <v>2062</v>
      </c>
      <c r="C29" s="6" t="s">
        <v>2067</v>
      </c>
      <c r="D29" s="8" t="s">
        <v>2093</v>
      </c>
      <c r="E29" s="8" t="s">
        <v>2096</v>
      </c>
      <c r="F29" s="43">
        <v>0.98673200961463703</v>
      </c>
      <c r="G29" s="43">
        <v>0.80253329258144102</v>
      </c>
      <c r="H29" s="57">
        <v>1.213208308986552</v>
      </c>
      <c r="I29" s="57">
        <v>0.89918001130211944</v>
      </c>
      <c r="J29" s="57">
        <v>5967</v>
      </c>
      <c r="K29" s="57">
        <v>2563</v>
      </c>
      <c r="L29" s="57">
        <v>2392</v>
      </c>
    </row>
    <row r="30" spans="1:12" ht="18" customHeight="1" x14ac:dyDescent="0.15">
      <c r="A30" s="5" t="s">
        <v>2097</v>
      </c>
      <c r="B30" s="6" t="s">
        <v>2065</v>
      </c>
      <c r="C30" s="6" t="s">
        <v>2067</v>
      </c>
      <c r="D30" s="8" t="s">
        <v>2094</v>
      </c>
      <c r="E30" s="8" t="s">
        <v>2096</v>
      </c>
      <c r="F30" s="43">
        <v>0.63894259716820412</v>
      </c>
      <c r="G30" s="43">
        <v>0.51289204252703269</v>
      </c>
      <c r="H30" s="57">
        <v>0.79597187834032856</v>
      </c>
      <c r="I30" s="57">
        <v>6.4632951059811973E-5</v>
      </c>
      <c r="J30" s="57">
        <v>5914</v>
      </c>
      <c r="K30" s="57">
        <v>2827</v>
      </c>
      <c r="L30" s="57">
        <v>2384</v>
      </c>
    </row>
    <row r="31" spans="1:12" ht="18" customHeight="1" x14ac:dyDescent="0.15">
      <c r="A31" s="5" t="s">
        <v>2097</v>
      </c>
      <c r="B31" s="6" t="s">
        <v>2062</v>
      </c>
      <c r="C31" s="6" t="s">
        <v>2067</v>
      </c>
      <c r="D31" s="8" t="s">
        <v>2094</v>
      </c>
      <c r="E31" s="8" t="s">
        <v>2096</v>
      </c>
      <c r="F31" s="43">
        <v>0.97544269895693303</v>
      </c>
      <c r="G31" s="43">
        <v>0.80033743463135554</v>
      </c>
      <c r="H31" s="57">
        <v>1.1888591208864949</v>
      </c>
      <c r="I31" s="57">
        <v>0.80545059777248473</v>
      </c>
      <c r="J31" s="57">
        <v>5914</v>
      </c>
      <c r="K31" s="57">
        <v>2827</v>
      </c>
      <c r="L31" s="57">
        <v>2384</v>
      </c>
    </row>
    <row r="32" spans="1:12" ht="18" customHeight="1" x14ac:dyDescent="0.15">
      <c r="A32" s="5" t="s">
        <v>2097</v>
      </c>
      <c r="B32" s="6" t="s">
        <v>2065</v>
      </c>
      <c r="C32" s="6" t="s">
        <v>2067</v>
      </c>
      <c r="D32" s="8" t="s">
        <v>2095</v>
      </c>
      <c r="E32" s="8" t="s">
        <v>2096</v>
      </c>
      <c r="F32" s="43">
        <v>0.63852743753897423</v>
      </c>
      <c r="G32" s="43">
        <v>0.56918973178318333</v>
      </c>
      <c r="H32" s="57">
        <v>0.71631174233023032</v>
      </c>
      <c r="I32" s="57">
        <v>2.0306046074348139E-14</v>
      </c>
      <c r="J32" s="57">
        <v>23510</v>
      </c>
      <c r="K32" s="57">
        <v>10543</v>
      </c>
      <c r="L32" s="57">
        <v>9350</v>
      </c>
    </row>
    <row r="33" spans="1:12" ht="18" customHeight="1" x14ac:dyDescent="0.15">
      <c r="A33" s="5" t="s">
        <v>2097</v>
      </c>
      <c r="B33" s="6" t="s">
        <v>2062</v>
      </c>
      <c r="C33" s="6" t="s">
        <v>2067</v>
      </c>
      <c r="D33" s="8" t="s">
        <v>2095</v>
      </c>
      <c r="E33" s="8" t="s">
        <v>2096</v>
      </c>
      <c r="F33" s="43">
        <v>0.9400477978369024</v>
      </c>
      <c r="G33" s="43">
        <v>0.84719488901989104</v>
      </c>
      <c r="H33" s="57">
        <v>1.0430774237086571</v>
      </c>
      <c r="I33" s="57">
        <v>0.2439647065194869</v>
      </c>
      <c r="J33" s="57">
        <v>23510</v>
      </c>
      <c r="K33" s="57">
        <v>10543</v>
      </c>
      <c r="L33" s="57">
        <v>9350</v>
      </c>
    </row>
    <row r="34" spans="1:12" ht="18" customHeight="1" x14ac:dyDescent="0.15">
      <c r="A34" s="5" t="s">
        <v>2098</v>
      </c>
      <c r="B34" s="6" t="s">
        <v>2089</v>
      </c>
      <c r="C34" s="6" t="s">
        <v>2061</v>
      </c>
      <c r="D34" s="8" t="s">
        <v>2090</v>
      </c>
      <c r="E34" s="8" t="s">
        <v>2091</v>
      </c>
      <c r="F34" s="43">
        <v>1.2220105043285701</v>
      </c>
      <c r="G34" s="43">
        <v>1.0430985084843369</v>
      </c>
      <c r="H34" s="57">
        <v>1.431609441048098</v>
      </c>
      <c r="I34" s="57">
        <v>1.305022836790609E-2</v>
      </c>
      <c r="J34" s="57">
        <v>5799</v>
      </c>
      <c r="K34" s="57">
        <v>2579</v>
      </c>
      <c r="L34" s="57">
        <v>1559</v>
      </c>
    </row>
    <row r="35" spans="1:12" ht="18" customHeight="1" x14ac:dyDescent="0.15">
      <c r="A35" s="5" t="s">
        <v>2098</v>
      </c>
      <c r="B35" s="6" t="s">
        <v>2089</v>
      </c>
      <c r="C35" s="6" t="s">
        <v>2061</v>
      </c>
      <c r="D35" s="8" t="s">
        <v>2092</v>
      </c>
      <c r="E35" s="8" t="s">
        <v>2091</v>
      </c>
      <c r="F35" s="43">
        <v>0.91763654424675001</v>
      </c>
      <c r="G35" s="43">
        <v>0.78772484147734934</v>
      </c>
      <c r="H35" s="57">
        <v>1.0689733051427841</v>
      </c>
      <c r="I35" s="57">
        <v>0.26976904239707772</v>
      </c>
      <c r="J35" s="57">
        <v>5822</v>
      </c>
      <c r="K35" s="57">
        <v>2569</v>
      </c>
      <c r="L35" s="57">
        <v>1595</v>
      </c>
    </row>
    <row r="36" spans="1:12" ht="18" customHeight="1" x14ac:dyDescent="0.15">
      <c r="A36" s="5" t="s">
        <v>2098</v>
      </c>
      <c r="B36" s="6" t="s">
        <v>2089</v>
      </c>
      <c r="C36" s="6" t="s">
        <v>2061</v>
      </c>
      <c r="D36" s="8" t="s">
        <v>2093</v>
      </c>
      <c r="E36" s="8" t="s">
        <v>2091</v>
      </c>
      <c r="F36" s="43">
        <v>1.019181905234962</v>
      </c>
      <c r="G36" s="43">
        <v>0.8709555538155791</v>
      </c>
      <c r="H36" s="57">
        <v>1.1926346314777769</v>
      </c>
      <c r="I36" s="57">
        <v>0.81269725331365728</v>
      </c>
      <c r="J36" s="57">
        <v>5969</v>
      </c>
      <c r="K36" s="57">
        <v>2565</v>
      </c>
      <c r="L36" s="57">
        <v>1544</v>
      </c>
    </row>
    <row r="37" spans="1:12" ht="18" customHeight="1" x14ac:dyDescent="0.15">
      <c r="A37" s="5" t="s">
        <v>2098</v>
      </c>
      <c r="B37" s="6" t="s">
        <v>2089</v>
      </c>
      <c r="C37" s="6" t="s">
        <v>2061</v>
      </c>
      <c r="D37" s="8" t="s">
        <v>2094</v>
      </c>
      <c r="E37" s="8" t="s">
        <v>2091</v>
      </c>
      <c r="F37" s="43">
        <v>0.96543969414358499</v>
      </c>
      <c r="G37" s="43">
        <v>0.82982050155879938</v>
      </c>
      <c r="H37" s="57">
        <v>1.123223397442193</v>
      </c>
      <c r="I37" s="57">
        <v>0.64882470139344273</v>
      </c>
      <c r="J37" s="57">
        <v>5912</v>
      </c>
      <c r="K37" s="57">
        <v>2825</v>
      </c>
      <c r="L37" s="57">
        <v>1557</v>
      </c>
    </row>
    <row r="38" spans="1:12" ht="18" customHeight="1" x14ac:dyDescent="0.15">
      <c r="A38" s="5" t="s">
        <v>2098</v>
      </c>
      <c r="B38" s="6" t="s">
        <v>2089</v>
      </c>
      <c r="C38" s="6" t="s">
        <v>2061</v>
      </c>
      <c r="D38" s="8" t="s">
        <v>2095</v>
      </c>
      <c r="E38" s="8" t="s">
        <v>2091</v>
      </c>
      <c r="F38" s="43">
        <v>1.0240682775427259</v>
      </c>
      <c r="G38" s="43">
        <v>0.94769654722128538</v>
      </c>
      <c r="H38" s="57">
        <v>1.1065945530183019</v>
      </c>
      <c r="I38" s="57">
        <v>0.54754579260658631</v>
      </c>
      <c r="J38" s="57">
        <v>23502</v>
      </c>
      <c r="K38" s="57">
        <v>10538</v>
      </c>
      <c r="L38" s="57">
        <v>6255</v>
      </c>
    </row>
    <row r="39" spans="1:12" ht="18" customHeight="1" x14ac:dyDescent="0.15">
      <c r="A39" s="5" t="s">
        <v>2098</v>
      </c>
      <c r="B39" s="6" t="s">
        <v>2089</v>
      </c>
      <c r="C39" s="6" t="s">
        <v>2067</v>
      </c>
      <c r="D39" s="8" t="s">
        <v>2090</v>
      </c>
      <c r="E39" s="8" t="s">
        <v>2096</v>
      </c>
      <c r="F39" s="43">
        <v>1.190740719844936</v>
      </c>
      <c r="G39" s="43">
        <v>1.0147050013197669</v>
      </c>
      <c r="H39" s="57">
        <v>1.397315929312168</v>
      </c>
      <c r="I39" s="57">
        <v>3.245103061312777E-2</v>
      </c>
      <c r="J39" s="57">
        <v>5799</v>
      </c>
      <c r="K39" s="57">
        <v>2579</v>
      </c>
      <c r="L39" s="57">
        <v>1559</v>
      </c>
    </row>
    <row r="40" spans="1:12" ht="18" customHeight="1" x14ac:dyDescent="0.15">
      <c r="A40" s="5" t="s">
        <v>2098</v>
      </c>
      <c r="B40" s="6" t="s">
        <v>2089</v>
      </c>
      <c r="C40" s="6" t="s">
        <v>2067</v>
      </c>
      <c r="D40" s="8" t="s">
        <v>2092</v>
      </c>
      <c r="E40" s="8" t="s">
        <v>2096</v>
      </c>
      <c r="F40" s="43">
        <v>0.90109374870639847</v>
      </c>
      <c r="G40" s="43">
        <v>0.77159044475576188</v>
      </c>
      <c r="H40" s="57">
        <v>1.0523328139642389</v>
      </c>
      <c r="I40" s="57">
        <v>0.18830851932684889</v>
      </c>
      <c r="J40" s="57">
        <v>5822</v>
      </c>
      <c r="K40" s="57">
        <v>2569</v>
      </c>
      <c r="L40" s="57">
        <v>1595</v>
      </c>
    </row>
    <row r="41" spans="1:12" ht="18" customHeight="1" x14ac:dyDescent="0.15">
      <c r="A41" s="5" t="s">
        <v>2098</v>
      </c>
      <c r="B41" s="6" t="s">
        <v>2089</v>
      </c>
      <c r="C41" s="6" t="s">
        <v>2067</v>
      </c>
      <c r="D41" s="8" t="s">
        <v>2093</v>
      </c>
      <c r="E41" s="8" t="s">
        <v>2096</v>
      </c>
      <c r="F41" s="43">
        <v>1.0027352675866721</v>
      </c>
      <c r="G41" s="43">
        <v>0.85512185124733331</v>
      </c>
      <c r="H41" s="57">
        <v>1.17583010584452</v>
      </c>
      <c r="I41" s="57">
        <v>0.97318035798258717</v>
      </c>
      <c r="J41" s="57">
        <v>5969</v>
      </c>
      <c r="K41" s="57">
        <v>2565</v>
      </c>
      <c r="L41" s="57">
        <v>1544</v>
      </c>
    </row>
    <row r="42" spans="1:12" ht="18" customHeight="1" x14ac:dyDescent="0.15">
      <c r="A42" s="5" t="s">
        <v>2098</v>
      </c>
      <c r="B42" s="6" t="s">
        <v>2089</v>
      </c>
      <c r="C42" s="6" t="s">
        <v>2067</v>
      </c>
      <c r="D42" s="8" t="s">
        <v>2094</v>
      </c>
      <c r="E42" s="8" t="s">
        <v>2096</v>
      </c>
      <c r="F42" s="43">
        <v>0.96158348720775555</v>
      </c>
      <c r="G42" s="43">
        <v>0.82557524346855038</v>
      </c>
      <c r="H42" s="57">
        <v>1.119998219648469</v>
      </c>
      <c r="I42" s="57">
        <v>0.61463507174008902</v>
      </c>
      <c r="J42" s="57">
        <v>5912</v>
      </c>
      <c r="K42" s="57">
        <v>2825</v>
      </c>
      <c r="L42" s="57">
        <v>1557</v>
      </c>
    </row>
    <row r="43" spans="1:12" ht="18" customHeight="1" x14ac:dyDescent="0.15">
      <c r="A43" s="63" t="s">
        <v>2098</v>
      </c>
      <c r="B43" s="64" t="s">
        <v>2089</v>
      </c>
      <c r="C43" s="64" t="s">
        <v>2067</v>
      </c>
      <c r="D43" s="65" t="s">
        <v>2095</v>
      </c>
      <c r="E43" s="65" t="s">
        <v>2096</v>
      </c>
      <c r="F43" s="66">
        <v>1.007757743937352</v>
      </c>
      <c r="G43" s="66">
        <v>0.93177979682569945</v>
      </c>
      <c r="H43" s="70">
        <v>1.0899309836137989</v>
      </c>
      <c r="I43" s="70">
        <v>0.84678296717878565</v>
      </c>
      <c r="J43" s="70">
        <v>23502</v>
      </c>
      <c r="K43" s="70">
        <v>10538</v>
      </c>
      <c r="L43" s="70">
        <v>6255</v>
      </c>
    </row>
    <row r="44" spans="1:12" ht="18" customHeight="1" x14ac:dyDescent="0.15"/>
    <row r="45" spans="1:12" ht="47.25" customHeight="1" x14ac:dyDescent="0.15">
      <c r="A45" s="75" t="s">
        <v>2099</v>
      </c>
      <c r="B45" s="74"/>
      <c r="C45" s="74"/>
      <c r="D45" s="74"/>
      <c r="E45" s="74"/>
      <c r="F45" s="74"/>
      <c r="G45" s="74"/>
      <c r="H45" s="81"/>
      <c r="I45" s="81"/>
    </row>
    <row r="46" spans="1:12" ht="18" customHeight="1" x14ac:dyDescent="0.15"/>
    <row r="47" spans="1:12" ht="18" customHeight="1" x14ac:dyDescent="0.15"/>
    <row r="48" spans="1:12" ht="18" customHeight="1" x14ac:dyDescent="0.15"/>
    <row r="49" ht="18" customHeight="1" x14ac:dyDescent="0.15"/>
    <row r="50" ht="18" customHeight="1" x14ac:dyDescent="0.15"/>
    <row r="51" ht="18" customHeight="1" x14ac:dyDescent="0.15"/>
    <row r="52" ht="18" customHeight="1" x14ac:dyDescent="0.15"/>
    <row r="53" ht="18" customHeight="1" x14ac:dyDescent="0.15"/>
    <row r="54" ht="18" customHeight="1" x14ac:dyDescent="0.15"/>
    <row r="55" ht="18" customHeight="1" x14ac:dyDescent="0.15"/>
    <row r="56" ht="18" customHeight="1" x14ac:dyDescent="0.15"/>
    <row r="57" ht="18" customHeight="1" x14ac:dyDescent="0.15"/>
    <row r="58" ht="18" customHeight="1" x14ac:dyDescent="0.15"/>
    <row r="59" ht="18" customHeight="1" x14ac:dyDescent="0.15"/>
    <row r="60" ht="18" customHeight="1" x14ac:dyDescent="0.15"/>
    <row r="61" ht="18" customHeight="1" x14ac:dyDescent="0.15"/>
    <row r="62" ht="18" customHeight="1" x14ac:dyDescent="0.15"/>
    <row r="63" ht="18" customHeight="1" x14ac:dyDescent="0.15"/>
    <row r="64" ht="18" customHeight="1" x14ac:dyDescent="0.15"/>
    <row r="65" ht="18" customHeight="1" x14ac:dyDescent="0.15"/>
    <row r="66" ht="18" customHeight="1" x14ac:dyDescent="0.15"/>
    <row r="67" ht="18" customHeight="1" x14ac:dyDescent="0.15"/>
    <row r="68" ht="18" customHeight="1" x14ac:dyDescent="0.15"/>
    <row r="69" ht="18" customHeight="1" x14ac:dyDescent="0.15"/>
    <row r="70" ht="18" customHeight="1" x14ac:dyDescent="0.15"/>
    <row r="71" ht="18" customHeight="1" x14ac:dyDescent="0.15"/>
    <row r="72" ht="18" customHeight="1" x14ac:dyDescent="0.15"/>
    <row r="73" ht="18" customHeight="1" x14ac:dyDescent="0.15"/>
    <row r="74" ht="18" customHeight="1" x14ac:dyDescent="0.15"/>
    <row r="75" ht="18" customHeight="1" x14ac:dyDescent="0.15"/>
    <row r="76" ht="18" customHeight="1" x14ac:dyDescent="0.15"/>
    <row r="77" ht="18" customHeight="1" x14ac:dyDescent="0.15"/>
    <row r="78" ht="18" customHeight="1" x14ac:dyDescent="0.15"/>
    <row r="79" ht="18" customHeight="1" x14ac:dyDescent="0.15"/>
    <row r="80" ht="18" customHeight="1" x14ac:dyDescent="0.15"/>
    <row r="81" ht="18" customHeight="1" x14ac:dyDescent="0.15"/>
    <row r="82" ht="18" customHeight="1" x14ac:dyDescent="0.15"/>
    <row r="83" ht="18" customHeight="1" x14ac:dyDescent="0.15"/>
    <row r="84" ht="18" customHeight="1" x14ac:dyDescent="0.15"/>
    <row r="85" ht="48" customHeight="1" x14ac:dyDescent="0.15"/>
    <row r="86" ht="18" customHeight="1" x14ac:dyDescent="0.15"/>
    <row r="87" ht="18" customHeight="1" x14ac:dyDescent="0.15"/>
    <row r="88" ht="18" customHeight="1" x14ac:dyDescent="0.15"/>
    <row r="89" ht="18" customHeight="1" x14ac:dyDescent="0.15"/>
    <row r="90" ht="18" customHeight="1" x14ac:dyDescent="0.15"/>
    <row r="91" ht="18" customHeight="1" x14ac:dyDescent="0.15"/>
    <row r="92" ht="18" customHeight="1" x14ac:dyDescent="0.15"/>
    <row r="93" ht="18" customHeight="1" x14ac:dyDescent="0.15"/>
    <row r="94" ht="18" customHeight="1" x14ac:dyDescent="0.15"/>
    <row r="95" ht="18" customHeight="1" x14ac:dyDescent="0.15"/>
    <row r="96" ht="18" customHeight="1" x14ac:dyDescent="0.15"/>
    <row r="97" ht="18" customHeight="1" x14ac:dyDescent="0.15"/>
    <row r="98" ht="18" customHeight="1" x14ac:dyDescent="0.15"/>
    <row r="99" ht="18" customHeight="1" x14ac:dyDescent="0.15"/>
    <row r="100" ht="18" customHeight="1" x14ac:dyDescent="0.15"/>
    <row r="101" ht="18" customHeight="1" x14ac:dyDescent="0.15"/>
    <row r="102" ht="18" customHeight="1" x14ac:dyDescent="0.15"/>
    <row r="103" ht="18" customHeight="1" x14ac:dyDescent="0.15"/>
    <row r="104" ht="18" customHeight="1" x14ac:dyDescent="0.15"/>
    <row r="105" ht="18" customHeight="1" x14ac:dyDescent="0.15"/>
    <row r="106" ht="18" customHeight="1" x14ac:dyDescent="0.15"/>
    <row r="107" ht="18" customHeight="1" x14ac:dyDescent="0.15"/>
    <row r="108" ht="18" customHeight="1" x14ac:dyDescent="0.15"/>
    <row r="109" ht="18" customHeight="1" x14ac:dyDescent="0.15"/>
    <row r="110" ht="18" customHeight="1" x14ac:dyDescent="0.15"/>
    <row r="111" ht="18" customHeight="1" x14ac:dyDescent="0.15"/>
    <row r="112" ht="18" customHeight="1" x14ac:dyDescent="0.15"/>
    <row r="113" ht="18" customHeight="1" x14ac:dyDescent="0.15"/>
    <row r="114" ht="18" customHeight="1" x14ac:dyDescent="0.15"/>
    <row r="115" ht="18" customHeight="1" x14ac:dyDescent="0.15"/>
    <row r="116" ht="18" customHeight="1" x14ac:dyDescent="0.15"/>
    <row r="117" ht="18" customHeight="1" x14ac:dyDescent="0.15"/>
    <row r="118" ht="18" customHeight="1" x14ac:dyDescent="0.15"/>
    <row r="119" ht="18" customHeight="1" x14ac:dyDescent="0.15"/>
    <row r="120" ht="18" customHeight="1" x14ac:dyDescent="0.15"/>
    <row r="121" ht="18" customHeight="1" x14ac:dyDescent="0.15"/>
    <row r="122" ht="18" customHeight="1" x14ac:dyDescent="0.15"/>
    <row r="123" ht="18" customHeight="1" x14ac:dyDescent="0.15"/>
    <row r="124" ht="18" customHeight="1" x14ac:dyDescent="0.15"/>
    <row r="125" ht="18" customHeight="1" x14ac:dyDescent="0.15"/>
    <row r="126" ht="18" customHeight="1" x14ac:dyDescent="0.15"/>
    <row r="127" ht="18" customHeight="1" x14ac:dyDescent="0.15"/>
    <row r="128" ht="18" customHeight="1" x14ac:dyDescent="0.15"/>
    <row r="129" ht="18" customHeight="1" x14ac:dyDescent="0.15"/>
    <row r="130" ht="18" customHeight="1" x14ac:dyDescent="0.15"/>
    <row r="131" ht="18" customHeight="1" x14ac:dyDescent="0.15"/>
    <row r="132" ht="18" customHeight="1" x14ac:dyDescent="0.15"/>
    <row r="133" ht="18" customHeight="1" x14ac:dyDescent="0.15"/>
    <row r="134" ht="18" customHeight="1" x14ac:dyDescent="0.15"/>
    <row r="135" ht="18" customHeight="1" x14ac:dyDescent="0.15"/>
    <row r="136" ht="18" customHeight="1" x14ac:dyDescent="0.15"/>
    <row r="137" ht="18" customHeight="1" x14ac:dyDescent="0.15"/>
    <row r="138" ht="18" customHeight="1" x14ac:dyDescent="0.15"/>
    <row r="139" ht="18" customHeight="1" x14ac:dyDescent="0.15"/>
    <row r="140" ht="18" customHeight="1" x14ac:dyDescent="0.15"/>
    <row r="141" ht="18" customHeight="1" x14ac:dyDescent="0.15"/>
    <row r="142" ht="18" customHeight="1" x14ac:dyDescent="0.15"/>
    <row r="143" ht="18" customHeight="1" x14ac:dyDescent="0.15"/>
    <row r="144" ht="18" customHeight="1" x14ac:dyDescent="0.15"/>
    <row r="145" ht="18" customHeight="1" x14ac:dyDescent="0.15"/>
    <row r="146" ht="18" customHeight="1" x14ac:dyDescent="0.15"/>
    <row r="147" ht="18" customHeight="1" x14ac:dyDescent="0.15"/>
    <row r="148" ht="18" customHeight="1" x14ac:dyDescent="0.15"/>
    <row r="149" ht="18" customHeight="1" x14ac:dyDescent="0.15"/>
    <row r="150" ht="18" customHeight="1" x14ac:dyDescent="0.15"/>
    <row r="151" ht="18" customHeight="1" x14ac:dyDescent="0.15"/>
    <row r="152" ht="18" customHeight="1" x14ac:dyDescent="0.15"/>
    <row r="153" ht="18" customHeight="1" x14ac:dyDescent="0.15"/>
    <row r="154" ht="18" customHeight="1" x14ac:dyDescent="0.15"/>
    <row r="155" ht="18" customHeight="1" x14ac:dyDescent="0.15"/>
    <row r="156" ht="18" customHeight="1" x14ac:dyDescent="0.15"/>
    <row r="157" ht="18" customHeight="1" x14ac:dyDescent="0.15"/>
    <row r="158" ht="18" customHeight="1" x14ac:dyDescent="0.15"/>
    <row r="159" ht="18" customHeight="1" x14ac:dyDescent="0.15"/>
    <row r="160" ht="18" customHeight="1" x14ac:dyDescent="0.15"/>
    <row r="161" ht="18" customHeight="1" x14ac:dyDescent="0.15"/>
    <row r="162" ht="18" customHeight="1" x14ac:dyDescent="0.15"/>
    <row r="163" ht="18" customHeight="1" x14ac:dyDescent="0.15"/>
    <row r="164" ht="18" customHeight="1" x14ac:dyDescent="0.15"/>
    <row r="165" ht="18" customHeight="1" x14ac:dyDescent="0.15"/>
    <row r="166" ht="18" customHeight="1" x14ac:dyDescent="0.15"/>
    <row r="167" ht="18" customHeight="1" x14ac:dyDescent="0.15"/>
    <row r="168" ht="18" customHeight="1" x14ac:dyDescent="0.15"/>
    <row r="169" ht="18" customHeight="1" x14ac:dyDescent="0.15"/>
    <row r="170" ht="18" customHeight="1" x14ac:dyDescent="0.15"/>
    <row r="171" ht="18" customHeight="1" x14ac:dyDescent="0.15"/>
    <row r="172" ht="18" customHeight="1" x14ac:dyDescent="0.15"/>
    <row r="173" ht="18" customHeight="1" x14ac:dyDescent="0.15"/>
    <row r="174" ht="18" customHeight="1" x14ac:dyDescent="0.15"/>
    <row r="175" ht="18" customHeight="1" x14ac:dyDescent="0.15"/>
    <row r="176" ht="18" customHeight="1" x14ac:dyDescent="0.15"/>
    <row r="177" ht="18" customHeight="1" x14ac:dyDescent="0.15"/>
    <row r="178" ht="18" customHeight="1" x14ac:dyDescent="0.15"/>
    <row r="179" ht="18" customHeight="1" x14ac:dyDescent="0.15"/>
    <row r="180" ht="18" customHeight="1" x14ac:dyDescent="0.15"/>
    <row r="181" ht="18" customHeight="1" x14ac:dyDescent="0.15"/>
    <row r="182" ht="18" customHeight="1" x14ac:dyDescent="0.15"/>
    <row r="183" ht="18" customHeight="1" x14ac:dyDescent="0.15"/>
    <row r="184" ht="18" customHeight="1" x14ac:dyDescent="0.15"/>
    <row r="185" ht="18" customHeight="1" x14ac:dyDescent="0.15"/>
    <row r="186" ht="18" customHeight="1" x14ac:dyDescent="0.15"/>
    <row r="187" ht="18" customHeight="1" x14ac:dyDescent="0.15"/>
    <row r="188" ht="18" customHeight="1" x14ac:dyDescent="0.15"/>
    <row r="189" ht="18" customHeight="1" x14ac:dyDescent="0.15"/>
    <row r="190" ht="18" customHeight="1" x14ac:dyDescent="0.15"/>
    <row r="191" ht="18" customHeight="1" x14ac:dyDescent="0.15"/>
    <row r="192" ht="18" customHeight="1" x14ac:dyDescent="0.15"/>
    <row r="193" ht="18" customHeight="1" x14ac:dyDescent="0.15"/>
    <row r="194" ht="18" customHeight="1" x14ac:dyDescent="0.15"/>
    <row r="195" ht="18" customHeight="1" x14ac:dyDescent="0.15"/>
    <row r="196" ht="18" customHeight="1" x14ac:dyDescent="0.15"/>
    <row r="197" ht="18" customHeight="1" x14ac:dyDescent="0.15"/>
    <row r="198" ht="18" customHeight="1" x14ac:dyDescent="0.15"/>
    <row r="199" ht="18" customHeight="1" x14ac:dyDescent="0.15"/>
    <row r="200" ht="18" customHeight="1" x14ac:dyDescent="0.15"/>
    <row r="201" ht="18" customHeight="1" x14ac:dyDescent="0.15"/>
    <row r="202" ht="18" customHeight="1" x14ac:dyDescent="0.15"/>
    <row r="203" ht="18" customHeight="1" x14ac:dyDescent="0.15"/>
    <row r="204" ht="18" customHeight="1" x14ac:dyDescent="0.15"/>
    <row r="205" ht="18" customHeight="1" x14ac:dyDescent="0.15"/>
    <row r="206" ht="18" customHeight="1" x14ac:dyDescent="0.15"/>
    <row r="207" ht="18" customHeight="1" x14ac:dyDescent="0.15"/>
    <row r="208" ht="18" customHeight="1" x14ac:dyDescent="0.15"/>
    <row r="209" ht="18" customHeight="1" x14ac:dyDescent="0.15"/>
    <row r="210" ht="18" customHeight="1" x14ac:dyDescent="0.15"/>
    <row r="211" ht="18" customHeight="1" x14ac:dyDescent="0.15"/>
    <row r="212" ht="18" customHeight="1" x14ac:dyDescent="0.15"/>
    <row r="213" ht="18" customHeight="1" x14ac:dyDescent="0.15"/>
    <row r="214" ht="18" customHeight="1" x14ac:dyDescent="0.15"/>
    <row r="215" ht="18" customHeight="1" x14ac:dyDescent="0.15"/>
    <row r="216" ht="18" customHeight="1" x14ac:dyDescent="0.15"/>
    <row r="217" ht="18" customHeight="1" x14ac:dyDescent="0.15"/>
    <row r="218" ht="18" customHeight="1" x14ac:dyDescent="0.15"/>
    <row r="219" ht="18" customHeight="1" x14ac:dyDescent="0.15"/>
    <row r="220" ht="18" customHeight="1" x14ac:dyDescent="0.15"/>
    <row r="221" ht="18" customHeight="1" x14ac:dyDescent="0.15"/>
    <row r="222" ht="18" customHeight="1" x14ac:dyDescent="0.15"/>
    <row r="223" ht="18" customHeight="1" x14ac:dyDescent="0.15"/>
    <row r="224" ht="18" customHeight="1" x14ac:dyDescent="0.15"/>
    <row r="225" ht="18" customHeight="1" x14ac:dyDescent="0.15"/>
    <row r="226" ht="18" customHeight="1" x14ac:dyDescent="0.15"/>
    <row r="227" ht="18" customHeight="1" x14ac:dyDescent="0.15"/>
    <row r="228" ht="18" customHeight="1" x14ac:dyDescent="0.15"/>
    <row r="229" ht="18" customHeight="1" x14ac:dyDescent="0.15"/>
    <row r="230" ht="18" customHeight="1" x14ac:dyDescent="0.15"/>
    <row r="231" ht="18" customHeight="1" x14ac:dyDescent="0.15"/>
    <row r="232" ht="18" customHeight="1" x14ac:dyDescent="0.15"/>
    <row r="233" ht="18" customHeight="1" x14ac:dyDescent="0.15"/>
    <row r="234" ht="18" customHeight="1" x14ac:dyDescent="0.15"/>
    <row r="235" ht="18" customHeight="1" x14ac:dyDescent="0.15"/>
    <row r="236" ht="18" customHeight="1" x14ac:dyDescent="0.15"/>
    <row r="237" ht="18" customHeight="1" x14ac:dyDescent="0.15"/>
    <row r="238" ht="18" customHeight="1" x14ac:dyDescent="0.15"/>
    <row r="239" ht="18" customHeight="1" x14ac:dyDescent="0.15"/>
    <row r="240" ht="18" customHeight="1" x14ac:dyDescent="0.15"/>
    <row r="241" ht="18" customHeight="1" x14ac:dyDescent="0.15"/>
    <row r="242" ht="18" customHeight="1" x14ac:dyDescent="0.15"/>
    <row r="243" ht="18" customHeight="1" x14ac:dyDescent="0.15"/>
    <row r="244" ht="18" customHeight="1" x14ac:dyDescent="0.15"/>
    <row r="245" ht="18" customHeight="1" x14ac:dyDescent="0.15"/>
    <row r="246" ht="18" customHeight="1" x14ac:dyDescent="0.15"/>
    <row r="247" ht="18" customHeight="1" x14ac:dyDescent="0.15"/>
    <row r="248" ht="18" customHeight="1" x14ac:dyDescent="0.15"/>
    <row r="249" ht="18" customHeight="1" x14ac:dyDescent="0.15"/>
    <row r="250" ht="18" customHeight="1" x14ac:dyDescent="0.15"/>
    <row r="251" ht="18" customHeight="1" x14ac:dyDescent="0.15"/>
    <row r="252" ht="18" customHeight="1" x14ac:dyDescent="0.15"/>
    <row r="253" ht="18" customHeight="1" x14ac:dyDescent="0.15"/>
    <row r="254" ht="18" customHeight="1" x14ac:dyDescent="0.15"/>
    <row r="255" ht="18" customHeight="1" x14ac:dyDescent="0.15"/>
    <row r="256" ht="18" customHeight="1" x14ac:dyDescent="0.15"/>
    <row r="257" ht="18" customHeight="1" x14ac:dyDescent="0.15"/>
    <row r="258" ht="18" customHeight="1" x14ac:dyDescent="0.15"/>
    <row r="259" ht="18" customHeight="1" x14ac:dyDescent="0.15"/>
    <row r="260" ht="18" customHeight="1" x14ac:dyDescent="0.15"/>
    <row r="261" ht="18" customHeight="1" x14ac:dyDescent="0.15"/>
    <row r="262" ht="18" customHeight="1" x14ac:dyDescent="0.15"/>
    <row r="263" ht="18" customHeight="1" x14ac:dyDescent="0.15"/>
    <row r="264" ht="18" customHeight="1" x14ac:dyDescent="0.15"/>
    <row r="265" ht="18" customHeight="1" x14ac:dyDescent="0.15"/>
    <row r="266" ht="18" customHeight="1" x14ac:dyDescent="0.15"/>
    <row r="267" ht="18" customHeight="1" x14ac:dyDescent="0.15"/>
    <row r="268" ht="18" customHeight="1" x14ac:dyDescent="0.15"/>
    <row r="269" ht="18" customHeight="1" x14ac:dyDescent="0.15"/>
    <row r="270" ht="18" customHeight="1" x14ac:dyDescent="0.15"/>
    <row r="271" ht="18" customHeight="1" x14ac:dyDescent="0.15"/>
    <row r="272" ht="18" customHeight="1" x14ac:dyDescent="0.15"/>
    <row r="273" ht="18" customHeight="1" x14ac:dyDescent="0.15"/>
    <row r="274" ht="18" customHeight="1" x14ac:dyDescent="0.15"/>
    <row r="275" ht="18" customHeight="1" x14ac:dyDescent="0.15"/>
    <row r="276" ht="18" customHeight="1" x14ac:dyDescent="0.15"/>
    <row r="277" ht="18" customHeight="1" x14ac:dyDescent="0.15"/>
    <row r="278" ht="18" customHeight="1" x14ac:dyDescent="0.15"/>
    <row r="279" ht="18" customHeight="1" x14ac:dyDescent="0.15"/>
    <row r="280" ht="18" customHeight="1" x14ac:dyDescent="0.15"/>
    <row r="281" ht="18" customHeight="1" x14ac:dyDescent="0.15"/>
    <row r="282" ht="18" customHeight="1" x14ac:dyDescent="0.15"/>
    <row r="283" ht="18" customHeight="1" x14ac:dyDescent="0.15"/>
    <row r="284" ht="18" customHeight="1" x14ac:dyDescent="0.15"/>
    <row r="285" ht="18" customHeight="1" x14ac:dyDescent="0.15"/>
    <row r="286" ht="18" customHeight="1" x14ac:dyDescent="0.15"/>
    <row r="287" ht="18" customHeight="1" x14ac:dyDescent="0.15"/>
    <row r="288" ht="18" customHeight="1" x14ac:dyDescent="0.15"/>
    <row r="289" ht="18" customHeight="1" x14ac:dyDescent="0.15"/>
    <row r="290" ht="18" customHeight="1" x14ac:dyDescent="0.15"/>
    <row r="291" ht="18" customHeight="1" x14ac:dyDescent="0.15"/>
    <row r="292" ht="18" customHeight="1" x14ac:dyDescent="0.15"/>
    <row r="293" ht="18" customHeight="1" x14ac:dyDescent="0.15"/>
    <row r="294" ht="18" customHeight="1" x14ac:dyDescent="0.15"/>
    <row r="295" ht="18" customHeight="1" x14ac:dyDescent="0.15"/>
    <row r="296" ht="18" customHeight="1" x14ac:dyDescent="0.15"/>
    <row r="297" ht="18" customHeight="1" x14ac:dyDescent="0.15"/>
    <row r="298" ht="18" customHeight="1" x14ac:dyDescent="0.15"/>
    <row r="299" ht="18" customHeight="1" x14ac:dyDescent="0.15"/>
    <row r="300" ht="18" customHeight="1" x14ac:dyDescent="0.15"/>
    <row r="301" ht="18" customHeight="1" x14ac:dyDescent="0.15"/>
    <row r="302" ht="18" customHeight="1" x14ac:dyDescent="0.15"/>
    <row r="303" ht="18" customHeight="1" x14ac:dyDescent="0.15"/>
    <row r="304" ht="18" customHeight="1" x14ac:dyDescent="0.15"/>
    <row r="305" ht="18" customHeight="1" x14ac:dyDescent="0.15"/>
    <row r="306" ht="18" customHeight="1" x14ac:dyDescent="0.15"/>
    <row r="307" ht="18" customHeight="1" x14ac:dyDescent="0.15"/>
    <row r="308" ht="18" customHeight="1" x14ac:dyDescent="0.15"/>
    <row r="309" ht="18" customHeight="1" x14ac:dyDescent="0.15"/>
    <row r="310" ht="18" customHeight="1" x14ac:dyDescent="0.15"/>
    <row r="311" ht="18" customHeight="1" x14ac:dyDescent="0.15"/>
    <row r="312" ht="18" customHeight="1" x14ac:dyDescent="0.15"/>
    <row r="313" ht="18" customHeight="1" x14ac:dyDescent="0.15"/>
    <row r="314" ht="18" customHeight="1" x14ac:dyDescent="0.15"/>
    <row r="315" ht="18" customHeight="1" x14ac:dyDescent="0.15"/>
    <row r="316" ht="18" customHeight="1" x14ac:dyDescent="0.15"/>
    <row r="317" ht="18" customHeight="1" x14ac:dyDescent="0.15"/>
    <row r="318" ht="18" customHeight="1" x14ac:dyDescent="0.15"/>
    <row r="319" ht="18" customHeight="1" x14ac:dyDescent="0.15"/>
    <row r="320" ht="18" customHeight="1" x14ac:dyDescent="0.15"/>
    <row r="321" ht="18" customHeight="1" x14ac:dyDescent="0.15"/>
    <row r="322" ht="18" customHeight="1" x14ac:dyDescent="0.15"/>
    <row r="323" ht="18" customHeight="1" x14ac:dyDescent="0.15"/>
    <row r="324" ht="18" customHeight="1" x14ac:dyDescent="0.15"/>
    <row r="325" ht="18" customHeight="1" x14ac:dyDescent="0.15"/>
    <row r="326" ht="18" customHeight="1" x14ac:dyDescent="0.15"/>
    <row r="327" ht="18" customHeight="1" x14ac:dyDescent="0.15"/>
    <row r="328" ht="18" customHeight="1" x14ac:dyDescent="0.15"/>
    <row r="329" ht="18" customHeight="1" x14ac:dyDescent="0.15"/>
    <row r="330" ht="18" customHeight="1" x14ac:dyDescent="0.15"/>
    <row r="331" ht="18" customHeight="1" x14ac:dyDescent="0.15"/>
    <row r="332" ht="18" customHeight="1" x14ac:dyDescent="0.15"/>
    <row r="333" ht="18" customHeight="1" x14ac:dyDescent="0.15"/>
    <row r="334" ht="18" customHeight="1" x14ac:dyDescent="0.15"/>
    <row r="335" ht="18" customHeight="1" x14ac:dyDescent="0.15"/>
    <row r="336" ht="18" customHeight="1" x14ac:dyDescent="0.15"/>
    <row r="337" ht="18" customHeight="1" x14ac:dyDescent="0.15"/>
    <row r="338" ht="18" customHeight="1" x14ac:dyDescent="0.15"/>
    <row r="339" ht="18" customHeight="1" x14ac:dyDescent="0.15"/>
    <row r="340" ht="18" customHeight="1" x14ac:dyDescent="0.15"/>
    <row r="341" ht="18" customHeight="1" x14ac:dyDescent="0.15"/>
    <row r="342" ht="18" customHeight="1" x14ac:dyDescent="0.15"/>
    <row r="343" ht="18" customHeight="1" x14ac:dyDescent="0.15"/>
    <row r="344" ht="18" customHeight="1" x14ac:dyDescent="0.15"/>
    <row r="345" ht="18" customHeight="1" x14ac:dyDescent="0.15"/>
    <row r="346" ht="18" customHeight="1" x14ac:dyDescent="0.15"/>
    <row r="347" ht="18" customHeight="1" x14ac:dyDescent="0.15"/>
    <row r="348" ht="18" customHeight="1" x14ac:dyDescent="0.15"/>
    <row r="349" ht="18" customHeight="1" x14ac:dyDescent="0.15"/>
    <row r="350" ht="18" customHeight="1" x14ac:dyDescent="0.15"/>
    <row r="351" ht="18" customHeight="1" x14ac:dyDescent="0.15"/>
    <row r="352" ht="18" customHeight="1" x14ac:dyDescent="0.15"/>
    <row r="353" ht="18" customHeight="1" x14ac:dyDescent="0.15"/>
    <row r="354" ht="18" customHeight="1" x14ac:dyDescent="0.15"/>
    <row r="355" ht="18" customHeight="1" x14ac:dyDescent="0.15"/>
    <row r="356" ht="18" customHeight="1" x14ac:dyDescent="0.15"/>
    <row r="357" ht="18" customHeight="1" x14ac:dyDescent="0.15"/>
    <row r="358" ht="18" customHeight="1" x14ac:dyDescent="0.15"/>
    <row r="359" ht="18" customHeight="1" x14ac:dyDescent="0.15"/>
    <row r="360" ht="18" customHeight="1" x14ac:dyDescent="0.15"/>
    <row r="361" ht="18" customHeight="1" x14ac:dyDescent="0.15"/>
    <row r="362" ht="18" customHeight="1" x14ac:dyDescent="0.15"/>
    <row r="363" ht="18" customHeight="1" x14ac:dyDescent="0.15"/>
    <row r="364" ht="18" customHeight="1" x14ac:dyDescent="0.15"/>
    <row r="365" ht="18" customHeight="1" x14ac:dyDescent="0.15"/>
    <row r="366" ht="18" customHeight="1" x14ac:dyDescent="0.15"/>
    <row r="367" ht="18" customHeight="1" x14ac:dyDescent="0.15"/>
    <row r="368" ht="18" customHeight="1" x14ac:dyDescent="0.15"/>
    <row r="369" ht="18" customHeight="1" x14ac:dyDescent="0.15"/>
    <row r="370" ht="18" customHeight="1" x14ac:dyDescent="0.15"/>
    <row r="371" ht="18" customHeight="1" x14ac:dyDescent="0.15"/>
    <row r="372" ht="18" customHeight="1" x14ac:dyDescent="0.15"/>
    <row r="373" ht="18" customHeight="1" x14ac:dyDescent="0.15"/>
    <row r="374" ht="18" customHeight="1" x14ac:dyDescent="0.15"/>
    <row r="375" ht="18" customHeight="1" x14ac:dyDescent="0.15"/>
    <row r="376" ht="18" customHeight="1" x14ac:dyDescent="0.15"/>
    <row r="377" ht="18" customHeight="1" x14ac:dyDescent="0.15"/>
    <row r="378" ht="18" customHeight="1" x14ac:dyDescent="0.15"/>
    <row r="379" ht="18" customHeight="1" x14ac:dyDescent="0.15"/>
    <row r="380" ht="18" customHeight="1" x14ac:dyDescent="0.15"/>
    <row r="381" ht="18" customHeight="1" x14ac:dyDescent="0.15"/>
    <row r="382" ht="18" customHeight="1" x14ac:dyDescent="0.15"/>
    <row r="383" ht="18" customHeight="1" x14ac:dyDescent="0.15"/>
    <row r="384" ht="18" customHeight="1" x14ac:dyDescent="0.15"/>
    <row r="385" ht="18" customHeight="1" x14ac:dyDescent="0.15"/>
    <row r="386" ht="18" customHeight="1" x14ac:dyDescent="0.15"/>
    <row r="387" ht="18" customHeight="1" x14ac:dyDescent="0.15"/>
    <row r="388" ht="18" customHeight="1" x14ac:dyDescent="0.15"/>
    <row r="389" ht="18" customHeight="1" x14ac:dyDescent="0.15"/>
    <row r="390" ht="18" customHeight="1" x14ac:dyDescent="0.15"/>
    <row r="391" ht="18" customHeight="1" x14ac:dyDescent="0.15"/>
    <row r="392" ht="18" customHeight="1" x14ac:dyDescent="0.15"/>
    <row r="393" ht="18" customHeight="1" x14ac:dyDescent="0.15"/>
    <row r="394" ht="18" customHeight="1" x14ac:dyDescent="0.15"/>
    <row r="395" ht="18" customHeight="1" x14ac:dyDescent="0.15"/>
    <row r="396" ht="18" customHeight="1" x14ac:dyDescent="0.15"/>
    <row r="397" ht="18" customHeight="1" x14ac:dyDescent="0.15"/>
    <row r="398" ht="18" customHeight="1" x14ac:dyDescent="0.15"/>
    <row r="399" ht="18" customHeight="1" x14ac:dyDescent="0.15"/>
    <row r="400" ht="18" customHeight="1" x14ac:dyDescent="0.15"/>
    <row r="401" ht="18" customHeight="1" x14ac:dyDescent="0.15"/>
    <row r="402" ht="18" customHeight="1" x14ac:dyDescent="0.15"/>
    <row r="403" ht="18" customHeight="1" x14ac:dyDescent="0.15"/>
    <row r="404" ht="18" customHeight="1" x14ac:dyDescent="0.15"/>
    <row r="405" ht="18" customHeight="1" x14ac:dyDescent="0.15"/>
    <row r="406" ht="18" customHeight="1" x14ac:dyDescent="0.15"/>
    <row r="407" ht="18" customHeight="1" x14ac:dyDescent="0.15"/>
    <row r="408" ht="18" customHeight="1" x14ac:dyDescent="0.15"/>
    <row r="409" ht="18" customHeight="1" x14ac:dyDescent="0.15"/>
    <row r="410" ht="18" customHeight="1" x14ac:dyDescent="0.15"/>
    <row r="411" ht="18" customHeight="1" x14ac:dyDescent="0.15"/>
    <row r="412" ht="18" customHeight="1" x14ac:dyDescent="0.15"/>
    <row r="413" ht="18" customHeight="1" x14ac:dyDescent="0.15"/>
    <row r="414" ht="18" customHeight="1" x14ac:dyDescent="0.15"/>
    <row r="415" ht="18" customHeight="1" x14ac:dyDescent="0.15"/>
    <row r="416" ht="18" customHeight="1" x14ac:dyDescent="0.15"/>
    <row r="417" ht="18" customHeight="1" x14ac:dyDescent="0.15"/>
    <row r="418" ht="18" customHeight="1" x14ac:dyDescent="0.15"/>
    <row r="419" ht="18" customHeight="1" x14ac:dyDescent="0.15"/>
    <row r="420" ht="18" customHeight="1" x14ac:dyDescent="0.15"/>
    <row r="421" ht="18" customHeight="1" x14ac:dyDescent="0.15"/>
    <row r="422" ht="18" customHeight="1" x14ac:dyDescent="0.15"/>
    <row r="423" ht="18" customHeight="1" x14ac:dyDescent="0.15"/>
    <row r="424" ht="18" customHeight="1" x14ac:dyDescent="0.15"/>
    <row r="425" ht="18" customHeight="1" x14ac:dyDescent="0.15"/>
    <row r="426" ht="18" customHeight="1" x14ac:dyDescent="0.15"/>
    <row r="427" ht="18" customHeight="1" x14ac:dyDescent="0.15"/>
    <row r="428" ht="18" customHeight="1" x14ac:dyDescent="0.15"/>
    <row r="429" ht="18" customHeight="1" x14ac:dyDescent="0.15"/>
    <row r="430" ht="18" customHeight="1" x14ac:dyDescent="0.15"/>
    <row r="431" ht="18" customHeight="1" x14ac:dyDescent="0.15"/>
    <row r="432" ht="18" customHeight="1" x14ac:dyDescent="0.15"/>
    <row r="433" ht="18" customHeight="1" x14ac:dyDescent="0.15"/>
    <row r="434" ht="18" customHeight="1" x14ac:dyDescent="0.15"/>
    <row r="435" ht="18" customHeight="1" x14ac:dyDescent="0.15"/>
    <row r="436" ht="18" customHeight="1" x14ac:dyDescent="0.15"/>
    <row r="437" ht="18" customHeight="1" x14ac:dyDescent="0.15"/>
    <row r="438" ht="18" customHeight="1" x14ac:dyDescent="0.15"/>
    <row r="439" ht="18" customHeight="1" x14ac:dyDescent="0.15"/>
    <row r="440" ht="18" customHeight="1" x14ac:dyDescent="0.15"/>
    <row r="441" ht="18" customHeight="1" x14ac:dyDescent="0.15"/>
    <row r="442" ht="18" customHeight="1" x14ac:dyDescent="0.15"/>
    <row r="443" ht="18" customHeight="1" x14ac:dyDescent="0.15"/>
    <row r="444" ht="18" customHeight="1" x14ac:dyDescent="0.15"/>
    <row r="445" ht="18" customHeight="1" x14ac:dyDescent="0.15"/>
    <row r="446" ht="18" customHeight="1" x14ac:dyDescent="0.15"/>
    <row r="447" ht="18" customHeight="1" x14ac:dyDescent="0.15"/>
    <row r="448" ht="18" customHeight="1" x14ac:dyDescent="0.15"/>
    <row r="449" ht="18" customHeight="1" x14ac:dyDescent="0.15"/>
    <row r="450" ht="18" customHeight="1" x14ac:dyDescent="0.15"/>
    <row r="451" ht="18" customHeight="1" x14ac:dyDescent="0.15"/>
    <row r="452" ht="18" customHeight="1" x14ac:dyDescent="0.15"/>
    <row r="453" ht="18" customHeight="1" x14ac:dyDescent="0.15"/>
    <row r="454" ht="18" customHeight="1" x14ac:dyDescent="0.15"/>
    <row r="455" ht="18" customHeight="1" x14ac:dyDescent="0.15"/>
    <row r="456" ht="18" customHeight="1" x14ac:dyDescent="0.15"/>
    <row r="457" ht="18" customHeight="1" x14ac:dyDescent="0.15"/>
    <row r="458" ht="18" customHeight="1" x14ac:dyDescent="0.15"/>
    <row r="459" ht="18" customHeight="1" x14ac:dyDescent="0.15"/>
    <row r="460" ht="18" customHeight="1" x14ac:dyDescent="0.15"/>
    <row r="461" ht="18" customHeight="1" x14ac:dyDescent="0.15"/>
    <row r="462" ht="18" customHeight="1" x14ac:dyDescent="0.15"/>
    <row r="463" ht="18" customHeight="1" x14ac:dyDescent="0.15"/>
    <row r="464" ht="18" customHeight="1" x14ac:dyDescent="0.15"/>
    <row r="465" ht="18" customHeight="1" x14ac:dyDescent="0.15"/>
    <row r="466" ht="18" customHeight="1" x14ac:dyDescent="0.15"/>
    <row r="467" ht="18" customHeight="1" x14ac:dyDescent="0.15"/>
    <row r="468" ht="18" customHeight="1" x14ac:dyDescent="0.15"/>
    <row r="469" ht="18" customHeight="1" x14ac:dyDescent="0.15"/>
    <row r="470" ht="18" customHeight="1" x14ac:dyDescent="0.15"/>
    <row r="471" ht="18" customHeight="1" x14ac:dyDescent="0.15"/>
    <row r="472" ht="18" customHeight="1" x14ac:dyDescent="0.15"/>
    <row r="473" ht="18" customHeight="1" x14ac:dyDescent="0.15"/>
    <row r="474" ht="18" customHeight="1" x14ac:dyDescent="0.15"/>
    <row r="475" ht="18" customHeight="1" x14ac:dyDescent="0.15"/>
    <row r="476" ht="18" customHeight="1" x14ac:dyDescent="0.15"/>
    <row r="477" ht="18" customHeight="1" x14ac:dyDescent="0.15"/>
    <row r="478" ht="18" customHeight="1" x14ac:dyDescent="0.15"/>
    <row r="479" ht="18" customHeight="1" x14ac:dyDescent="0.15"/>
    <row r="480" ht="18" customHeight="1" x14ac:dyDescent="0.15"/>
    <row r="481" ht="18" customHeight="1" x14ac:dyDescent="0.15"/>
    <row r="482" ht="18" customHeight="1" x14ac:dyDescent="0.15"/>
    <row r="483" ht="18" customHeight="1" x14ac:dyDescent="0.15"/>
    <row r="484" ht="18" customHeight="1" x14ac:dyDescent="0.15"/>
    <row r="485" ht="18" customHeight="1" x14ac:dyDescent="0.15"/>
    <row r="486" ht="18" customHeight="1" x14ac:dyDescent="0.15"/>
    <row r="487" ht="18" customHeight="1" x14ac:dyDescent="0.15"/>
    <row r="488" ht="18" customHeight="1" x14ac:dyDescent="0.15"/>
    <row r="489" ht="18" customHeight="1" x14ac:dyDescent="0.15"/>
    <row r="490" ht="18" customHeight="1" x14ac:dyDescent="0.15"/>
    <row r="491" ht="18" customHeight="1" x14ac:dyDescent="0.15"/>
    <row r="492" ht="18" customHeight="1" x14ac:dyDescent="0.15"/>
    <row r="493" ht="18" customHeight="1" x14ac:dyDescent="0.15"/>
    <row r="494" ht="18" customHeight="1" x14ac:dyDescent="0.15"/>
    <row r="495" ht="18" customHeight="1" x14ac:dyDescent="0.15"/>
    <row r="496" ht="18" customHeight="1" x14ac:dyDescent="0.15"/>
    <row r="497" ht="18" customHeight="1" x14ac:dyDescent="0.15"/>
    <row r="498" ht="18" customHeight="1" x14ac:dyDescent="0.15"/>
    <row r="499" ht="18" customHeight="1" x14ac:dyDescent="0.15"/>
    <row r="500" ht="18" customHeight="1" x14ac:dyDescent="0.15"/>
    <row r="501" ht="18" customHeight="1" x14ac:dyDescent="0.15"/>
    <row r="502" ht="18" customHeight="1" x14ac:dyDescent="0.15"/>
    <row r="503" ht="18" customHeight="1" x14ac:dyDescent="0.15"/>
    <row r="504" ht="18" customHeight="1" x14ac:dyDescent="0.15"/>
    <row r="505" ht="18" customHeight="1" x14ac:dyDescent="0.15"/>
    <row r="506" ht="18" customHeight="1" x14ac:dyDescent="0.15"/>
    <row r="507" ht="18" customHeight="1" x14ac:dyDescent="0.15"/>
    <row r="508" ht="18" customHeight="1" x14ac:dyDescent="0.15"/>
    <row r="509" ht="18" customHeight="1" x14ac:dyDescent="0.15"/>
    <row r="510" ht="18" customHeight="1" x14ac:dyDescent="0.15"/>
    <row r="511" ht="18" customHeight="1" x14ac:dyDescent="0.15"/>
    <row r="512" ht="18" customHeight="1" x14ac:dyDescent="0.15"/>
    <row r="513" ht="18" customHeight="1" x14ac:dyDescent="0.15"/>
    <row r="514" ht="18" customHeight="1" x14ac:dyDescent="0.15"/>
    <row r="515" ht="18" customHeight="1" x14ac:dyDescent="0.15"/>
    <row r="516" ht="18" customHeight="1" x14ac:dyDescent="0.15"/>
    <row r="517" ht="18" customHeight="1" x14ac:dyDescent="0.15"/>
    <row r="518" ht="18" customHeight="1" x14ac:dyDescent="0.15"/>
    <row r="519" ht="18" customHeight="1" x14ac:dyDescent="0.15"/>
    <row r="520" ht="18" customHeight="1" x14ac:dyDescent="0.15"/>
    <row r="521" ht="18" customHeight="1" x14ac:dyDescent="0.15"/>
    <row r="522" ht="18" customHeight="1" x14ac:dyDescent="0.15"/>
    <row r="523" ht="18" customHeight="1" x14ac:dyDescent="0.15"/>
    <row r="524" ht="18" customHeight="1" x14ac:dyDescent="0.15"/>
    <row r="525" ht="18" customHeight="1" x14ac:dyDescent="0.15"/>
    <row r="526" ht="18" customHeight="1" x14ac:dyDescent="0.15"/>
    <row r="527" ht="18" customHeight="1" x14ac:dyDescent="0.15"/>
    <row r="528" ht="18" customHeight="1" x14ac:dyDescent="0.15"/>
    <row r="529" ht="18" customHeight="1" x14ac:dyDescent="0.15"/>
    <row r="530" ht="18" customHeight="1" x14ac:dyDescent="0.15"/>
    <row r="531" ht="18" customHeight="1" x14ac:dyDescent="0.15"/>
    <row r="532" ht="18" customHeight="1" x14ac:dyDescent="0.15"/>
    <row r="533" ht="18" customHeight="1" x14ac:dyDescent="0.15"/>
    <row r="534" ht="18" customHeight="1" x14ac:dyDescent="0.15"/>
    <row r="535" ht="18" customHeight="1" x14ac:dyDescent="0.15"/>
    <row r="536" ht="18" customHeight="1" x14ac:dyDescent="0.15"/>
    <row r="537" ht="18" customHeight="1" x14ac:dyDescent="0.15"/>
    <row r="538" ht="18" customHeight="1" x14ac:dyDescent="0.15"/>
    <row r="539" ht="18" customHeight="1" x14ac:dyDescent="0.15"/>
    <row r="540" ht="18" customHeight="1" x14ac:dyDescent="0.15"/>
    <row r="541" ht="18" customHeight="1" x14ac:dyDescent="0.15"/>
    <row r="542" ht="18" customHeight="1" x14ac:dyDescent="0.15"/>
    <row r="543" ht="18" customHeight="1" x14ac:dyDescent="0.15"/>
    <row r="544" ht="18" customHeight="1" x14ac:dyDescent="0.15"/>
    <row r="545" ht="18" customHeight="1" x14ac:dyDescent="0.15"/>
    <row r="546" ht="18" customHeight="1" x14ac:dyDescent="0.15"/>
    <row r="547" ht="18" customHeight="1" x14ac:dyDescent="0.15"/>
    <row r="548" ht="18" customHeight="1" x14ac:dyDescent="0.15"/>
    <row r="549" ht="18" customHeight="1" x14ac:dyDescent="0.15"/>
    <row r="550" ht="18" customHeight="1" x14ac:dyDescent="0.15"/>
    <row r="551" ht="18" customHeight="1" x14ac:dyDescent="0.15"/>
    <row r="552" ht="53.25" customHeight="1" x14ac:dyDescent="0.15"/>
  </sheetData>
  <mergeCells count="2">
    <mergeCell ref="A45:I45"/>
    <mergeCell ref="A1:L1"/>
  </mergeCells>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Legend</vt:lpstr>
      <vt:lpstr>Supplementary Table 1</vt:lpstr>
      <vt:lpstr>Supplementary Table 2</vt:lpstr>
      <vt:lpstr>Supplementary Table 3</vt:lpstr>
      <vt:lpstr>Supplementary Table 4</vt:lpstr>
      <vt:lpstr>Supplementary Table 5</vt:lpstr>
      <vt:lpstr>Supplementary Table 6</vt:lpstr>
      <vt:lpstr>Supplementary Table 7</vt:lpstr>
      <vt:lpstr>Supplementary Table 8</vt:lpstr>
      <vt:lpstr>Supplementary Table 9</vt:lpstr>
      <vt:lpstr>Supplementary Table 10</vt:lpstr>
      <vt:lpstr>Supplementary Table 11</vt:lpstr>
      <vt:lpstr>Supplementary Table 12</vt:lpstr>
      <vt:lpstr>Supplementary Table 13</vt:lpstr>
      <vt:lpstr>Supplementary Table 14</vt:lpstr>
      <vt:lpstr>Supplementary Table 15</vt:lpstr>
      <vt:lpstr>Supplementary Table 16</vt:lpstr>
      <vt:lpstr>Supplementary Table 17</vt:lpstr>
      <vt:lpstr>Supplementary Table 18</vt:lpstr>
      <vt:lpstr>Supplementary Table 19</vt:lpstr>
      <vt:lpstr>Supplementary Table 20</vt:lpstr>
      <vt:lpstr>Supplementary Table 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Admins</cp:lastModifiedBy>
  <dcterms:created xsi:type="dcterms:W3CDTF">2026-09-19T16:20:55Z</dcterms:created>
  <dcterms:modified xsi:type="dcterms:W3CDTF">2026-10-27T07:35:52Z</dcterms:modified>
</cp:coreProperties>
</file>